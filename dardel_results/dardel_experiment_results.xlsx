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obynbrooks/Documents/GitHub/matching-distance-code/"/>
    </mc:Choice>
  </mc:AlternateContent>
  <xr:revisionPtr revIDLastSave="0" documentId="8_{F6299FF6-FF66-1545-AF3A-2E409A933ABA}" xr6:coauthVersionLast="47" xr6:coauthVersionMax="47" xr10:uidLastSave="{00000000-0000-0000-0000-000000000000}"/>
  <bookViews>
    <workbookView xWindow="13980" yWindow="680" windowWidth="20320" windowHeight="21660" xr2:uid="{00000000-000D-0000-FFFF-FFFF00000000}"/>
  </bookViews>
  <sheets>
    <sheet name="Explanation of Dardel variables" sheetId="9" r:id="rId1"/>
    <sheet name="dardel_experiment_results" sheetId="1" r:id="rId2"/>
    <sheet name="ratio all lines vs critical lin" sheetId="2" r:id="rId3"/>
    <sheet name="focus on ratio all lines vs cri" sheetId="3" r:id="rId4"/>
    <sheet name="graphpruningtime" sheetId="4" r:id="rId5"/>
    <sheet name="graphtime" sheetId="5" r:id="rId6"/>
    <sheet name="graphpruningnumber_cp" sheetId="6" r:id="rId7"/>
    <sheet name="graphtotal_timevnumber critical" sheetId="7" r:id="rId8"/>
    <sheet name="Avrg time vs sum of rectangles" sheetId="8" r:id="rId9"/>
  </sheets>
  <definedNames>
    <definedName name="_xlnm._FilterDatabase" localSheetId="1" hidden="1">dardel_experiment_results!$A$1:$Z$703</definedName>
    <definedName name="_xlnm._FilterDatabase" localSheetId="3" hidden="1">'focus on ratio all lines vs cri'!$A$1:$AA$35</definedName>
    <definedName name="_xlnm._FilterDatabase" localSheetId="2" hidden="1">'ratio all lines vs critical lin'!$A$1:$Y$703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7" i="8" l="1"/>
  <c r="F217" i="8"/>
  <c r="E217" i="8"/>
  <c r="D217" i="8"/>
  <c r="C216" i="8"/>
  <c r="C215" i="8"/>
  <c r="C214" i="8"/>
  <c r="C213" i="8"/>
  <c r="C212" i="8"/>
  <c r="C211" i="8"/>
  <c r="C210" i="8"/>
  <c r="C209" i="8"/>
  <c r="C208" i="8"/>
  <c r="C207" i="8"/>
  <c r="G206" i="8"/>
  <c r="F206" i="8"/>
  <c r="E206" i="8"/>
  <c r="D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G125" i="8"/>
  <c r="F125" i="8"/>
  <c r="E125" i="8"/>
  <c r="D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G64" i="8"/>
  <c r="F64" i="8"/>
  <c r="E64" i="8"/>
  <c r="D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G23" i="8"/>
  <c r="S3" i="8" s="1"/>
  <c r="F23" i="8"/>
  <c r="E23" i="8"/>
  <c r="D23" i="8"/>
  <c r="M3" i="8" s="1"/>
  <c r="G22" i="8"/>
  <c r="R3" i="8" s="1"/>
  <c r="F22" i="8"/>
  <c r="P3" i="8" s="1"/>
  <c r="E22" i="8"/>
  <c r="N3" i="8" s="1"/>
  <c r="D22" i="8"/>
  <c r="L3" i="8" s="1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Q3" i="8"/>
  <c r="O3" i="8"/>
  <c r="C3" i="8"/>
  <c r="C2" i="8"/>
  <c r="D235" i="7"/>
  <c r="C235" i="7"/>
  <c r="B235" i="7"/>
  <c r="A235" i="7"/>
  <c r="D234" i="7"/>
  <c r="C234" i="7"/>
  <c r="B234" i="7"/>
  <c r="A234" i="7"/>
  <c r="D233" i="7"/>
  <c r="C233" i="7"/>
  <c r="B233" i="7"/>
  <c r="A233" i="7"/>
  <c r="D232" i="7"/>
  <c r="C232" i="7"/>
  <c r="B232" i="7"/>
  <c r="A232" i="7"/>
  <c r="D231" i="7"/>
  <c r="C231" i="7"/>
  <c r="B231" i="7"/>
  <c r="A231" i="7"/>
  <c r="D230" i="7"/>
  <c r="C230" i="7"/>
  <c r="B230" i="7"/>
  <c r="A230" i="7"/>
  <c r="D229" i="7"/>
  <c r="C229" i="7"/>
  <c r="B229" i="7"/>
  <c r="A229" i="7"/>
  <c r="D228" i="7"/>
  <c r="C228" i="7"/>
  <c r="B228" i="7"/>
  <c r="A228" i="7"/>
  <c r="D227" i="7"/>
  <c r="C227" i="7"/>
  <c r="B227" i="7"/>
  <c r="A227" i="7"/>
  <c r="D226" i="7"/>
  <c r="C226" i="7"/>
  <c r="B226" i="7"/>
  <c r="A226" i="7"/>
  <c r="D225" i="7"/>
  <c r="C225" i="7"/>
  <c r="B225" i="7"/>
  <c r="A225" i="7"/>
  <c r="D224" i="7"/>
  <c r="C224" i="7"/>
  <c r="B224" i="7"/>
  <c r="A224" i="7"/>
  <c r="D223" i="7"/>
  <c r="C223" i="7"/>
  <c r="B223" i="7"/>
  <c r="A223" i="7"/>
  <c r="D222" i="7"/>
  <c r="C222" i="7"/>
  <c r="B222" i="7"/>
  <c r="A222" i="7"/>
  <c r="D221" i="7"/>
  <c r="C221" i="7"/>
  <c r="B221" i="7"/>
  <c r="A221" i="7"/>
  <c r="D220" i="7"/>
  <c r="C220" i="7"/>
  <c r="B220" i="7"/>
  <c r="A220" i="7"/>
  <c r="D219" i="7"/>
  <c r="C219" i="7"/>
  <c r="B219" i="7"/>
  <c r="A219" i="7"/>
  <c r="D218" i="7"/>
  <c r="C218" i="7"/>
  <c r="B218" i="7"/>
  <c r="A218" i="7"/>
  <c r="D217" i="7"/>
  <c r="C217" i="7"/>
  <c r="B217" i="7"/>
  <c r="A217" i="7"/>
  <c r="D216" i="7"/>
  <c r="C216" i="7"/>
  <c r="B216" i="7"/>
  <c r="A216" i="7"/>
  <c r="D215" i="7"/>
  <c r="C215" i="7"/>
  <c r="B215" i="7"/>
  <c r="A215" i="7"/>
  <c r="D214" i="7"/>
  <c r="C214" i="7"/>
  <c r="B214" i="7"/>
  <c r="A214" i="7"/>
  <c r="D213" i="7"/>
  <c r="C213" i="7"/>
  <c r="B213" i="7"/>
  <c r="A213" i="7"/>
  <c r="D212" i="7"/>
  <c r="C212" i="7"/>
  <c r="B212" i="7"/>
  <c r="A212" i="7"/>
  <c r="D211" i="7"/>
  <c r="C211" i="7"/>
  <c r="B211" i="7"/>
  <c r="A211" i="7"/>
  <c r="D210" i="7"/>
  <c r="C210" i="7"/>
  <c r="B210" i="7"/>
  <c r="A210" i="7"/>
  <c r="D209" i="7"/>
  <c r="C209" i="7"/>
  <c r="B209" i="7"/>
  <c r="A209" i="7"/>
  <c r="D208" i="7"/>
  <c r="C208" i="7"/>
  <c r="B208" i="7"/>
  <c r="A208" i="7"/>
  <c r="D207" i="7"/>
  <c r="C207" i="7"/>
  <c r="B207" i="7"/>
  <c r="A207" i="7"/>
  <c r="D206" i="7"/>
  <c r="C206" i="7"/>
  <c r="B206" i="7"/>
  <c r="A206" i="7"/>
  <c r="D205" i="7"/>
  <c r="C205" i="7"/>
  <c r="B205" i="7"/>
  <c r="A205" i="7"/>
  <c r="D204" i="7"/>
  <c r="C204" i="7"/>
  <c r="B204" i="7"/>
  <c r="A204" i="7"/>
  <c r="D203" i="7"/>
  <c r="C203" i="7"/>
  <c r="B203" i="7"/>
  <c r="A203" i="7"/>
  <c r="D202" i="7"/>
  <c r="C202" i="7"/>
  <c r="B202" i="7"/>
  <c r="A202" i="7"/>
  <c r="D201" i="7"/>
  <c r="C201" i="7"/>
  <c r="B201" i="7"/>
  <c r="A201" i="7"/>
  <c r="D200" i="7"/>
  <c r="C200" i="7"/>
  <c r="B200" i="7"/>
  <c r="A200" i="7"/>
  <c r="D199" i="7"/>
  <c r="C199" i="7"/>
  <c r="B199" i="7"/>
  <c r="A199" i="7"/>
  <c r="D198" i="7"/>
  <c r="C198" i="7"/>
  <c r="B198" i="7"/>
  <c r="A198" i="7"/>
  <c r="D197" i="7"/>
  <c r="C197" i="7"/>
  <c r="B197" i="7"/>
  <c r="A197" i="7"/>
  <c r="D196" i="7"/>
  <c r="C196" i="7"/>
  <c r="B196" i="7"/>
  <c r="A196" i="7"/>
  <c r="D195" i="7"/>
  <c r="C195" i="7"/>
  <c r="B195" i="7"/>
  <c r="A195" i="7"/>
  <c r="D194" i="7"/>
  <c r="C194" i="7"/>
  <c r="B194" i="7"/>
  <c r="A194" i="7"/>
  <c r="D193" i="7"/>
  <c r="C193" i="7"/>
  <c r="B193" i="7"/>
  <c r="A193" i="7"/>
  <c r="D192" i="7"/>
  <c r="C192" i="7"/>
  <c r="B192" i="7"/>
  <c r="A192" i="7"/>
  <c r="D191" i="7"/>
  <c r="C191" i="7"/>
  <c r="B191" i="7"/>
  <c r="A191" i="7"/>
  <c r="D190" i="7"/>
  <c r="C190" i="7"/>
  <c r="B190" i="7"/>
  <c r="A190" i="7"/>
  <c r="D189" i="7"/>
  <c r="C189" i="7"/>
  <c r="B189" i="7"/>
  <c r="A189" i="7"/>
  <c r="D188" i="7"/>
  <c r="C188" i="7"/>
  <c r="B188" i="7"/>
  <c r="A188" i="7"/>
  <c r="D187" i="7"/>
  <c r="C187" i="7"/>
  <c r="B187" i="7"/>
  <c r="A187" i="7"/>
  <c r="D186" i="7"/>
  <c r="C186" i="7"/>
  <c r="B186" i="7"/>
  <c r="A186" i="7"/>
  <c r="D185" i="7"/>
  <c r="C185" i="7"/>
  <c r="B185" i="7"/>
  <c r="A185" i="7"/>
  <c r="D184" i="7"/>
  <c r="C184" i="7"/>
  <c r="B184" i="7"/>
  <c r="A184" i="7"/>
  <c r="D183" i="7"/>
  <c r="C183" i="7"/>
  <c r="B183" i="7"/>
  <c r="A183" i="7"/>
  <c r="D182" i="7"/>
  <c r="C182" i="7"/>
  <c r="B182" i="7"/>
  <c r="A182" i="7"/>
  <c r="D181" i="7"/>
  <c r="C181" i="7"/>
  <c r="B181" i="7"/>
  <c r="A181" i="7"/>
  <c r="D180" i="7"/>
  <c r="C180" i="7"/>
  <c r="B180" i="7"/>
  <c r="A180" i="7"/>
  <c r="D179" i="7"/>
  <c r="C179" i="7"/>
  <c r="B179" i="7"/>
  <c r="A179" i="7"/>
  <c r="D178" i="7"/>
  <c r="C178" i="7"/>
  <c r="B178" i="7"/>
  <c r="A178" i="7"/>
  <c r="D177" i="7"/>
  <c r="C177" i="7"/>
  <c r="B177" i="7"/>
  <c r="A177" i="7"/>
  <c r="D176" i="7"/>
  <c r="C176" i="7"/>
  <c r="B176" i="7"/>
  <c r="A176" i="7"/>
  <c r="D175" i="7"/>
  <c r="C175" i="7"/>
  <c r="B175" i="7"/>
  <c r="A175" i="7"/>
  <c r="D174" i="7"/>
  <c r="C174" i="7"/>
  <c r="B174" i="7"/>
  <c r="A174" i="7"/>
  <c r="D173" i="7"/>
  <c r="C173" i="7"/>
  <c r="B173" i="7"/>
  <c r="A173" i="7"/>
  <c r="D172" i="7"/>
  <c r="C172" i="7"/>
  <c r="B172" i="7"/>
  <c r="A172" i="7"/>
  <c r="D171" i="7"/>
  <c r="C171" i="7"/>
  <c r="B171" i="7"/>
  <c r="A171" i="7"/>
  <c r="D170" i="7"/>
  <c r="C170" i="7"/>
  <c r="B170" i="7"/>
  <c r="A170" i="7"/>
  <c r="D169" i="7"/>
  <c r="C169" i="7"/>
  <c r="B169" i="7"/>
  <c r="A169" i="7"/>
  <c r="D168" i="7"/>
  <c r="C168" i="7"/>
  <c r="B168" i="7"/>
  <c r="A168" i="7"/>
  <c r="D167" i="7"/>
  <c r="C167" i="7"/>
  <c r="B167" i="7"/>
  <c r="A167" i="7"/>
  <c r="D166" i="7"/>
  <c r="C166" i="7"/>
  <c r="B166" i="7"/>
  <c r="A166" i="7"/>
  <c r="D165" i="7"/>
  <c r="C165" i="7"/>
  <c r="B165" i="7"/>
  <c r="A165" i="7"/>
  <c r="D164" i="7"/>
  <c r="C164" i="7"/>
  <c r="B164" i="7"/>
  <c r="A164" i="7"/>
  <c r="D163" i="7"/>
  <c r="C163" i="7"/>
  <c r="B163" i="7"/>
  <c r="A163" i="7"/>
  <c r="D162" i="7"/>
  <c r="C162" i="7"/>
  <c r="B162" i="7"/>
  <c r="A162" i="7"/>
  <c r="D161" i="7"/>
  <c r="C161" i="7"/>
  <c r="B161" i="7"/>
  <c r="A161" i="7"/>
  <c r="D160" i="7"/>
  <c r="C160" i="7"/>
  <c r="B160" i="7"/>
  <c r="A160" i="7"/>
  <c r="D159" i="7"/>
  <c r="C159" i="7"/>
  <c r="B159" i="7"/>
  <c r="A159" i="7"/>
  <c r="D158" i="7"/>
  <c r="C158" i="7"/>
  <c r="B158" i="7"/>
  <c r="A158" i="7"/>
  <c r="D157" i="7"/>
  <c r="C157" i="7"/>
  <c r="B157" i="7"/>
  <c r="A157" i="7"/>
  <c r="D156" i="7"/>
  <c r="C156" i="7"/>
  <c r="B156" i="7"/>
  <c r="A156" i="7"/>
  <c r="D155" i="7"/>
  <c r="C155" i="7"/>
  <c r="B155" i="7"/>
  <c r="A155" i="7"/>
  <c r="D154" i="7"/>
  <c r="C154" i="7"/>
  <c r="B154" i="7"/>
  <c r="A154" i="7"/>
  <c r="D153" i="7"/>
  <c r="C153" i="7"/>
  <c r="B153" i="7"/>
  <c r="A153" i="7"/>
  <c r="D152" i="7"/>
  <c r="C152" i="7"/>
  <c r="B152" i="7"/>
  <c r="A152" i="7"/>
  <c r="D151" i="7"/>
  <c r="C151" i="7"/>
  <c r="B151" i="7"/>
  <c r="A151" i="7"/>
  <c r="D150" i="7"/>
  <c r="C150" i="7"/>
  <c r="B150" i="7"/>
  <c r="A150" i="7"/>
  <c r="D149" i="7"/>
  <c r="C149" i="7"/>
  <c r="B149" i="7"/>
  <c r="A149" i="7"/>
  <c r="D148" i="7"/>
  <c r="C148" i="7"/>
  <c r="B148" i="7"/>
  <c r="A148" i="7"/>
  <c r="D147" i="7"/>
  <c r="C147" i="7"/>
  <c r="B147" i="7"/>
  <c r="A147" i="7"/>
  <c r="D146" i="7"/>
  <c r="C146" i="7"/>
  <c r="B146" i="7"/>
  <c r="A146" i="7"/>
  <c r="D145" i="7"/>
  <c r="C145" i="7"/>
  <c r="B145" i="7"/>
  <c r="A145" i="7"/>
  <c r="D144" i="7"/>
  <c r="C144" i="7"/>
  <c r="B144" i="7"/>
  <c r="A144" i="7"/>
  <c r="D143" i="7"/>
  <c r="C143" i="7"/>
  <c r="B143" i="7"/>
  <c r="A143" i="7"/>
  <c r="D142" i="7"/>
  <c r="C142" i="7"/>
  <c r="B142" i="7"/>
  <c r="A142" i="7"/>
  <c r="D141" i="7"/>
  <c r="C141" i="7"/>
  <c r="B141" i="7"/>
  <c r="A141" i="7"/>
  <c r="D140" i="7"/>
  <c r="C140" i="7"/>
  <c r="B140" i="7"/>
  <c r="A140" i="7"/>
  <c r="D139" i="7"/>
  <c r="C139" i="7"/>
  <c r="B139" i="7"/>
  <c r="A139" i="7"/>
  <c r="D138" i="7"/>
  <c r="C138" i="7"/>
  <c r="B138" i="7"/>
  <c r="A138" i="7"/>
  <c r="D137" i="7"/>
  <c r="C137" i="7"/>
  <c r="B137" i="7"/>
  <c r="A137" i="7"/>
  <c r="D136" i="7"/>
  <c r="C136" i="7"/>
  <c r="B136" i="7"/>
  <c r="A136" i="7"/>
  <c r="D135" i="7"/>
  <c r="C135" i="7"/>
  <c r="B135" i="7"/>
  <c r="A135" i="7"/>
  <c r="D134" i="7"/>
  <c r="C134" i="7"/>
  <c r="B134" i="7"/>
  <c r="A134" i="7"/>
  <c r="D133" i="7"/>
  <c r="C133" i="7"/>
  <c r="B133" i="7"/>
  <c r="A133" i="7"/>
  <c r="D132" i="7"/>
  <c r="C132" i="7"/>
  <c r="B132" i="7"/>
  <c r="A132" i="7"/>
  <c r="D131" i="7"/>
  <c r="C131" i="7"/>
  <c r="B131" i="7"/>
  <c r="A131" i="7"/>
  <c r="D130" i="7"/>
  <c r="C130" i="7"/>
  <c r="B130" i="7"/>
  <c r="A130" i="7"/>
  <c r="D129" i="7"/>
  <c r="C129" i="7"/>
  <c r="B129" i="7"/>
  <c r="A129" i="7"/>
  <c r="D128" i="7"/>
  <c r="C128" i="7"/>
  <c r="B128" i="7"/>
  <c r="A128" i="7"/>
  <c r="D127" i="7"/>
  <c r="C127" i="7"/>
  <c r="B127" i="7"/>
  <c r="A127" i="7"/>
  <c r="D126" i="7"/>
  <c r="C126" i="7"/>
  <c r="B126" i="7"/>
  <c r="A126" i="7"/>
  <c r="D125" i="7"/>
  <c r="C125" i="7"/>
  <c r="B125" i="7"/>
  <c r="A125" i="7"/>
  <c r="D124" i="7"/>
  <c r="C124" i="7"/>
  <c r="B124" i="7"/>
  <c r="A124" i="7"/>
  <c r="D123" i="7"/>
  <c r="C123" i="7"/>
  <c r="B123" i="7"/>
  <c r="A123" i="7"/>
  <c r="D122" i="7"/>
  <c r="C122" i="7"/>
  <c r="B122" i="7"/>
  <c r="A122" i="7"/>
  <c r="D121" i="7"/>
  <c r="C121" i="7"/>
  <c r="B121" i="7"/>
  <c r="A121" i="7"/>
  <c r="D120" i="7"/>
  <c r="C120" i="7"/>
  <c r="B120" i="7"/>
  <c r="A120" i="7"/>
  <c r="D119" i="7"/>
  <c r="C119" i="7"/>
  <c r="B119" i="7"/>
  <c r="A119" i="7"/>
  <c r="D118" i="7"/>
  <c r="C118" i="7"/>
  <c r="B118" i="7"/>
  <c r="A118" i="7"/>
  <c r="D117" i="7"/>
  <c r="C117" i="7"/>
  <c r="B117" i="7"/>
  <c r="A117" i="7"/>
  <c r="D116" i="7"/>
  <c r="C116" i="7"/>
  <c r="B116" i="7"/>
  <c r="A116" i="7"/>
  <c r="D115" i="7"/>
  <c r="C115" i="7"/>
  <c r="B115" i="7"/>
  <c r="A115" i="7"/>
  <c r="D114" i="7"/>
  <c r="C114" i="7"/>
  <c r="B114" i="7"/>
  <c r="A114" i="7"/>
  <c r="D113" i="7"/>
  <c r="C113" i="7"/>
  <c r="B113" i="7"/>
  <c r="A113" i="7"/>
  <c r="D112" i="7"/>
  <c r="C112" i="7"/>
  <c r="B112" i="7"/>
  <c r="A112" i="7"/>
  <c r="D111" i="7"/>
  <c r="C111" i="7"/>
  <c r="B111" i="7"/>
  <c r="A111" i="7"/>
  <c r="D110" i="7"/>
  <c r="C110" i="7"/>
  <c r="B110" i="7"/>
  <c r="A110" i="7"/>
  <c r="D109" i="7"/>
  <c r="C109" i="7"/>
  <c r="B109" i="7"/>
  <c r="A109" i="7"/>
  <c r="D108" i="7"/>
  <c r="C108" i="7"/>
  <c r="B108" i="7"/>
  <c r="A108" i="7"/>
  <c r="D107" i="7"/>
  <c r="C107" i="7"/>
  <c r="B107" i="7"/>
  <c r="A107" i="7"/>
  <c r="D106" i="7"/>
  <c r="C106" i="7"/>
  <c r="B106" i="7"/>
  <c r="A106" i="7"/>
  <c r="D105" i="7"/>
  <c r="C105" i="7"/>
  <c r="B105" i="7"/>
  <c r="A105" i="7"/>
  <c r="D104" i="7"/>
  <c r="C104" i="7"/>
  <c r="B104" i="7"/>
  <c r="A104" i="7"/>
  <c r="D103" i="7"/>
  <c r="C103" i="7"/>
  <c r="B103" i="7"/>
  <c r="A103" i="7"/>
  <c r="D102" i="7"/>
  <c r="C102" i="7"/>
  <c r="B102" i="7"/>
  <c r="A102" i="7"/>
  <c r="D101" i="7"/>
  <c r="C101" i="7"/>
  <c r="B101" i="7"/>
  <c r="A101" i="7"/>
  <c r="D100" i="7"/>
  <c r="C100" i="7"/>
  <c r="B100" i="7"/>
  <c r="A100" i="7"/>
  <c r="D99" i="7"/>
  <c r="C99" i="7"/>
  <c r="B99" i="7"/>
  <c r="A99" i="7"/>
  <c r="D98" i="7"/>
  <c r="C98" i="7"/>
  <c r="B98" i="7"/>
  <c r="A98" i="7"/>
  <c r="D97" i="7"/>
  <c r="C97" i="7"/>
  <c r="B97" i="7"/>
  <c r="A97" i="7"/>
  <c r="D96" i="7"/>
  <c r="C96" i="7"/>
  <c r="B96" i="7"/>
  <c r="A96" i="7"/>
  <c r="D95" i="7"/>
  <c r="C95" i="7"/>
  <c r="B95" i="7"/>
  <c r="A95" i="7"/>
  <c r="D94" i="7"/>
  <c r="C94" i="7"/>
  <c r="B94" i="7"/>
  <c r="A94" i="7"/>
  <c r="D93" i="7"/>
  <c r="C93" i="7"/>
  <c r="B93" i="7"/>
  <c r="A93" i="7"/>
  <c r="D92" i="7"/>
  <c r="C92" i="7"/>
  <c r="B92" i="7"/>
  <c r="A92" i="7"/>
  <c r="D91" i="7"/>
  <c r="C91" i="7"/>
  <c r="B91" i="7"/>
  <c r="A91" i="7"/>
  <c r="D90" i="7"/>
  <c r="C90" i="7"/>
  <c r="B90" i="7"/>
  <c r="A90" i="7"/>
  <c r="D89" i="7"/>
  <c r="C89" i="7"/>
  <c r="B89" i="7"/>
  <c r="A89" i="7"/>
  <c r="D88" i="7"/>
  <c r="C88" i="7"/>
  <c r="B88" i="7"/>
  <c r="A88" i="7"/>
  <c r="D87" i="7"/>
  <c r="C87" i="7"/>
  <c r="B87" i="7"/>
  <c r="A87" i="7"/>
  <c r="D86" i="7"/>
  <c r="C86" i="7"/>
  <c r="B86" i="7"/>
  <c r="A86" i="7"/>
  <c r="D85" i="7"/>
  <c r="C85" i="7"/>
  <c r="B85" i="7"/>
  <c r="A85" i="7"/>
  <c r="D84" i="7"/>
  <c r="C84" i="7"/>
  <c r="B84" i="7"/>
  <c r="A84" i="7"/>
  <c r="D83" i="7"/>
  <c r="C83" i="7"/>
  <c r="B83" i="7"/>
  <c r="A83" i="7"/>
  <c r="D82" i="7"/>
  <c r="C82" i="7"/>
  <c r="B82" i="7"/>
  <c r="A82" i="7"/>
  <c r="D81" i="7"/>
  <c r="C81" i="7"/>
  <c r="B81" i="7"/>
  <c r="A81" i="7"/>
  <c r="D80" i="7"/>
  <c r="C80" i="7"/>
  <c r="B80" i="7"/>
  <c r="A80" i="7"/>
  <c r="D79" i="7"/>
  <c r="C79" i="7"/>
  <c r="B79" i="7"/>
  <c r="A79" i="7"/>
  <c r="D78" i="7"/>
  <c r="C78" i="7"/>
  <c r="B78" i="7"/>
  <c r="A78" i="7"/>
  <c r="D77" i="7"/>
  <c r="C77" i="7"/>
  <c r="B77" i="7"/>
  <c r="A77" i="7"/>
  <c r="D76" i="7"/>
  <c r="C76" i="7"/>
  <c r="B76" i="7"/>
  <c r="A76" i="7"/>
  <c r="D75" i="7"/>
  <c r="C75" i="7"/>
  <c r="B75" i="7"/>
  <c r="A75" i="7"/>
  <c r="D74" i="7"/>
  <c r="C74" i="7"/>
  <c r="B74" i="7"/>
  <c r="A74" i="7"/>
  <c r="D73" i="7"/>
  <c r="C73" i="7"/>
  <c r="B73" i="7"/>
  <c r="A73" i="7"/>
  <c r="D72" i="7"/>
  <c r="C72" i="7"/>
  <c r="B72" i="7"/>
  <c r="A72" i="7"/>
  <c r="D71" i="7"/>
  <c r="C71" i="7"/>
  <c r="B71" i="7"/>
  <c r="A71" i="7"/>
  <c r="D70" i="7"/>
  <c r="C70" i="7"/>
  <c r="B70" i="7"/>
  <c r="A70" i="7"/>
  <c r="D69" i="7"/>
  <c r="C69" i="7"/>
  <c r="B69" i="7"/>
  <c r="A69" i="7"/>
  <c r="D68" i="7"/>
  <c r="C68" i="7"/>
  <c r="B68" i="7"/>
  <c r="A68" i="7"/>
  <c r="D67" i="7"/>
  <c r="C67" i="7"/>
  <c r="B67" i="7"/>
  <c r="A67" i="7"/>
  <c r="D66" i="7"/>
  <c r="C66" i="7"/>
  <c r="B66" i="7"/>
  <c r="A66" i="7"/>
  <c r="D65" i="7"/>
  <c r="C65" i="7"/>
  <c r="B65" i="7"/>
  <c r="A65" i="7"/>
  <c r="D64" i="7"/>
  <c r="C64" i="7"/>
  <c r="B64" i="7"/>
  <c r="A64" i="7"/>
  <c r="D63" i="7"/>
  <c r="C63" i="7"/>
  <c r="B63" i="7"/>
  <c r="A63" i="7"/>
  <c r="D62" i="7"/>
  <c r="C62" i="7"/>
  <c r="B62" i="7"/>
  <c r="A62" i="7"/>
  <c r="D61" i="7"/>
  <c r="C61" i="7"/>
  <c r="B61" i="7"/>
  <c r="A61" i="7"/>
  <c r="D60" i="7"/>
  <c r="C60" i="7"/>
  <c r="B60" i="7"/>
  <c r="A60" i="7"/>
  <c r="D59" i="7"/>
  <c r="C59" i="7"/>
  <c r="B59" i="7"/>
  <c r="A59" i="7"/>
  <c r="D58" i="7"/>
  <c r="C58" i="7"/>
  <c r="B58" i="7"/>
  <c r="A58" i="7"/>
  <c r="D57" i="7"/>
  <c r="C57" i="7"/>
  <c r="B57" i="7"/>
  <c r="A57" i="7"/>
  <c r="D56" i="7"/>
  <c r="C56" i="7"/>
  <c r="B56" i="7"/>
  <c r="A56" i="7"/>
  <c r="D55" i="7"/>
  <c r="C55" i="7"/>
  <c r="B55" i="7"/>
  <c r="A55" i="7"/>
  <c r="D54" i="7"/>
  <c r="C54" i="7"/>
  <c r="B54" i="7"/>
  <c r="A54" i="7"/>
  <c r="D53" i="7"/>
  <c r="C53" i="7"/>
  <c r="B53" i="7"/>
  <c r="A53" i="7"/>
  <c r="D52" i="7"/>
  <c r="C52" i="7"/>
  <c r="B52" i="7"/>
  <c r="A52" i="7"/>
  <c r="D51" i="7"/>
  <c r="C51" i="7"/>
  <c r="B51" i="7"/>
  <c r="A51" i="7"/>
  <c r="D50" i="7"/>
  <c r="C50" i="7"/>
  <c r="B50" i="7"/>
  <c r="A50" i="7"/>
  <c r="D49" i="7"/>
  <c r="C49" i="7"/>
  <c r="B49" i="7"/>
  <c r="A49" i="7"/>
  <c r="D48" i="7"/>
  <c r="C48" i="7"/>
  <c r="B48" i="7"/>
  <c r="A48" i="7"/>
  <c r="D47" i="7"/>
  <c r="C47" i="7"/>
  <c r="B47" i="7"/>
  <c r="A47" i="7"/>
  <c r="D46" i="7"/>
  <c r="C46" i="7"/>
  <c r="B46" i="7"/>
  <c r="A46" i="7"/>
  <c r="D45" i="7"/>
  <c r="C45" i="7"/>
  <c r="B45" i="7"/>
  <c r="A45" i="7"/>
  <c r="D44" i="7"/>
  <c r="C44" i="7"/>
  <c r="B44" i="7"/>
  <c r="A44" i="7"/>
  <c r="D43" i="7"/>
  <c r="C43" i="7"/>
  <c r="B43" i="7"/>
  <c r="A43" i="7"/>
  <c r="D42" i="7"/>
  <c r="C42" i="7"/>
  <c r="B42" i="7"/>
  <c r="A42" i="7"/>
  <c r="D41" i="7"/>
  <c r="C41" i="7"/>
  <c r="B41" i="7"/>
  <c r="A41" i="7"/>
  <c r="D40" i="7"/>
  <c r="C40" i="7"/>
  <c r="B40" i="7"/>
  <c r="A40" i="7"/>
  <c r="D39" i="7"/>
  <c r="C39" i="7"/>
  <c r="B39" i="7"/>
  <c r="A39" i="7"/>
  <c r="D38" i="7"/>
  <c r="C38" i="7"/>
  <c r="B38" i="7"/>
  <c r="A38" i="7"/>
  <c r="D37" i="7"/>
  <c r="C37" i="7"/>
  <c r="B37" i="7"/>
  <c r="A37" i="7"/>
  <c r="D36" i="7"/>
  <c r="C36" i="7"/>
  <c r="B36" i="7"/>
  <c r="A36" i="7"/>
  <c r="D35" i="7"/>
  <c r="C35" i="7"/>
  <c r="B35" i="7"/>
  <c r="A35" i="7"/>
  <c r="D34" i="7"/>
  <c r="C34" i="7"/>
  <c r="B34" i="7"/>
  <c r="A34" i="7"/>
  <c r="D33" i="7"/>
  <c r="C33" i="7"/>
  <c r="B33" i="7"/>
  <c r="A33" i="7"/>
  <c r="D32" i="7"/>
  <c r="C32" i="7"/>
  <c r="B32" i="7"/>
  <c r="A32" i="7"/>
  <c r="D31" i="7"/>
  <c r="C31" i="7"/>
  <c r="B31" i="7"/>
  <c r="A31" i="7"/>
  <c r="D30" i="7"/>
  <c r="C30" i="7"/>
  <c r="B30" i="7"/>
  <c r="A30" i="7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D4" i="7"/>
  <c r="C4" i="7"/>
  <c r="B4" i="7"/>
  <c r="A4" i="7"/>
  <c r="D3" i="7"/>
  <c r="C3" i="7"/>
  <c r="B3" i="7"/>
  <c r="A3" i="7"/>
  <c r="D2" i="7"/>
  <c r="C2" i="7"/>
  <c r="B2" i="7"/>
  <c r="A2" i="7"/>
  <c r="D235" i="6"/>
  <c r="C235" i="6"/>
  <c r="B235" i="6"/>
  <c r="A235" i="6"/>
  <c r="D234" i="6"/>
  <c r="C234" i="6"/>
  <c r="B234" i="6"/>
  <c r="A234" i="6"/>
  <c r="D233" i="6"/>
  <c r="C233" i="6"/>
  <c r="B233" i="6"/>
  <c r="A233" i="6"/>
  <c r="D232" i="6"/>
  <c r="C232" i="6"/>
  <c r="B232" i="6"/>
  <c r="A232" i="6"/>
  <c r="D231" i="6"/>
  <c r="C231" i="6"/>
  <c r="B231" i="6"/>
  <c r="A231" i="6"/>
  <c r="D230" i="6"/>
  <c r="C230" i="6"/>
  <c r="B230" i="6"/>
  <c r="A230" i="6"/>
  <c r="D229" i="6"/>
  <c r="C229" i="6"/>
  <c r="B229" i="6"/>
  <c r="A229" i="6"/>
  <c r="D228" i="6"/>
  <c r="C228" i="6"/>
  <c r="B228" i="6"/>
  <c r="A228" i="6"/>
  <c r="D227" i="6"/>
  <c r="C227" i="6"/>
  <c r="B227" i="6"/>
  <c r="A227" i="6"/>
  <c r="D226" i="6"/>
  <c r="C226" i="6"/>
  <c r="B226" i="6"/>
  <c r="A226" i="6"/>
  <c r="D225" i="6"/>
  <c r="C225" i="6"/>
  <c r="B225" i="6"/>
  <c r="A225" i="6"/>
  <c r="D224" i="6"/>
  <c r="C224" i="6"/>
  <c r="B224" i="6"/>
  <c r="A224" i="6"/>
  <c r="D223" i="6"/>
  <c r="C223" i="6"/>
  <c r="B223" i="6"/>
  <c r="A223" i="6"/>
  <c r="D222" i="6"/>
  <c r="C222" i="6"/>
  <c r="B222" i="6"/>
  <c r="A222" i="6"/>
  <c r="D221" i="6"/>
  <c r="C221" i="6"/>
  <c r="B221" i="6"/>
  <c r="A221" i="6"/>
  <c r="D220" i="6"/>
  <c r="C220" i="6"/>
  <c r="B220" i="6"/>
  <c r="A220" i="6"/>
  <c r="D219" i="6"/>
  <c r="C219" i="6"/>
  <c r="B219" i="6"/>
  <c r="A219" i="6"/>
  <c r="D218" i="6"/>
  <c r="C218" i="6"/>
  <c r="B218" i="6"/>
  <c r="A218" i="6"/>
  <c r="D217" i="6"/>
  <c r="C217" i="6"/>
  <c r="B217" i="6"/>
  <c r="A217" i="6"/>
  <c r="D216" i="6"/>
  <c r="C216" i="6"/>
  <c r="B216" i="6"/>
  <c r="A216" i="6"/>
  <c r="D215" i="6"/>
  <c r="C215" i="6"/>
  <c r="B215" i="6"/>
  <c r="A215" i="6"/>
  <c r="D214" i="6"/>
  <c r="C214" i="6"/>
  <c r="B214" i="6"/>
  <c r="A214" i="6"/>
  <c r="D213" i="6"/>
  <c r="C213" i="6"/>
  <c r="B213" i="6"/>
  <c r="A213" i="6"/>
  <c r="D212" i="6"/>
  <c r="C212" i="6"/>
  <c r="B212" i="6"/>
  <c r="A212" i="6"/>
  <c r="D211" i="6"/>
  <c r="C211" i="6"/>
  <c r="B211" i="6"/>
  <c r="A211" i="6"/>
  <c r="D210" i="6"/>
  <c r="C210" i="6"/>
  <c r="B210" i="6"/>
  <c r="A210" i="6"/>
  <c r="D209" i="6"/>
  <c r="C209" i="6"/>
  <c r="B209" i="6"/>
  <c r="A209" i="6"/>
  <c r="D208" i="6"/>
  <c r="C208" i="6"/>
  <c r="B208" i="6"/>
  <c r="A208" i="6"/>
  <c r="D207" i="6"/>
  <c r="C207" i="6"/>
  <c r="B207" i="6"/>
  <c r="A207" i="6"/>
  <c r="D206" i="6"/>
  <c r="C206" i="6"/>
  <c r="B206" i="6"/>
  <c r="A206" i="6"/>
  <c r="D205" i="6"/>
  <c r="C205" i="6"/>
  <c r="B205" i="6"/>
  <c r="A205" i="6"/>
  <c r="D204" i="6"/>
  <c r="C204" i="6"/>
  <c r="B204" i="6"/>
  <c r="A204" i="6"/>
  <c r="D203" i="6"/>
  <c r="C203" i="6"/>
  <c r="B203" i="6"/>
  <c r="A203" i="6"/>
  <c r="D202" i="6"/>
  <c r="C202" i="6"/>
  <c r="B202" i="6"/>
  <c r="A202" i="6"/>
  <c r="D201" i="6"/>
  <c r="C201" i="6"/>
  <c r="B201" i="6"/>
  <c r="A201" i="6"/>
  <c r="D200" i="6"/>
  <c r="C200" i="6"/>
  <c r="B200" i="6"/>
  <c r="A200" i="6"/>
  <c r="D199" i="6"/>
  <c r="C199" i="6"/>
  <c r="B199" i="6"/>
  <c r="A199" i="6"/>
  <c r="D198" i="6"/>
  <c r="C198" i="6"/>
  <c r="B198" i="6"/>
  <c r="A198" i="6"/>
  <c r="D197" i="6"/>
  <c r="C197" i="6"/>
  <c r="B197" i="6"/>
  <c r="A197" i="6"/>
  <c r="D196" i="6"/>
  <c r="C196" i="6"/>
  <c r="B196" i="6"/>
  <c r="A196" i="6"/>
  <c r="D195" i="6"/>
  <c r="C195" i="6"/>
  <c r="B195" i="6"/>
  <c r="A195" i="6"/>
  <c r="D194" i="6"/>
  <c r="C194" i="6"/>
  <c r="B194" i="6"/>
  <c r="A194" i="6"/>
  <c r="D193" i="6"/>
  <c r="C193" i="6"/>
  <c r="B193" i="6"/>
  <c r="A193" i="6"/>
  <c r="D192" i="6"/>
  <c r="C192" i="6"/>
  <c r="B192" i="6"/>
  <c r="A192" i="6"/>
  <c r="D191" i="6"/>
  <c r="C191" i="6"/>
  <c r="B191" i="6"/>
  <c r="A191" i="6"/>
  <c r="D190" i="6"/>
  <c r="C190" i="6"/>
  <c r="B190" i="6"/>
  <c r="A190" i="6"/>
  <c r="D189" i="6"/>
  <c r="C189" i="6"/>
  <c r="B189" i="6"/>
  <c r="A189" i="6"/>
  <c r="D188" i="6"/>
  <c r="C188" i="6"/>
  <c r="B188" i="6"/>
  <c r="A188" i="6"/>
  <c r="D187" i="6"/>
  <c r="C187" i="6"/>
  <c r="B187" i="6"/>
  <c r="A187" i="6"/>
  <c r="D186" i="6"/>
  <c r="C186" i="6"/>
  <c r="B186" i="6"/>
  <c r="A186" i="6"/>
  <c r="D185" i="6"/>
  <c r="C185" i="6"/>
  <c r="B185" i="6"/>
  <c r="A185" i="6"/>
  <c r="D184" i="6"/>
  <c r="C184" i="6"/>
  <c r="B184" i="6"/>
  <c r="A184" i="6"/>
  <c r="D183" i="6"/>
  <c r="C183" i="6"/>
  <c r="B183" i="6"/>
  <c r="A183" i="6"/>
  <c r="D182" i="6"/>
  <c r="C182" i="6"/>
  <c r="B182" i="6"/>
  <c r="A182" i="6"/>
  <c r="D181" i="6"/>
  <c r="C181" i="6"/>
  <c r="B181" i="6"/>
  <c r="A181" i="6"/>
  <c r="D180" i="6"/>
  <c r="C180" i="6"/>
  <c r="B180" i="6"/>
  <c r="A180" i="6"/>
  <c r="D179" i="6"/>
  <c r="C179" i="6"/>
  <c r="B179" i="6"/>
  <c r="A179" i="6"/>
  <c r="D178" i="6"/>
  <c r="C178" i="6"/>
  <c r="B178" i="6"/>
  <c r="A178" i="6"/>
  <c r="D177" i="6"/>
  <c r="C177" i="6"/>
  <c r="B177" i="6"/>
  <c r="A177" i="6"/>
  <c r="D176" i="6"/>
  <c r="C176" i="6"/>
  <c r="B176" i="6"/>
  <c r="A176" i="6"/>
  <c r="D175" i="6"/>
  <c r="C175" i="6"/>
  <c r="B175" i="6"/>
  <c r="A175" i="6"/>
  <c r="D174" i="6"/>
  <c r="C174" i="6"/>
  <c r="B174" i="6"/>
  <c r="A174" i="6"/>
  <c r="D173" i="6"/>
  <c r="C173" i="6"/>
  <c r="B173" i="6"/>
  <c r="A173" i="6"/>
  <c r="D172" i="6"/>
  <c r="C172" i="6"/>
  <c r="B172" i="6"/>
  <c r="A172" i="6"/>
  <c r="D171" i="6"/>
  <c r="C171" i="6"/>
  <c r="B171" i="6"/>
  <c r="A171" i="6"/>
  <c r="D170" i="6"/>
  <c r="C170" i="6"/>
  <c r="B170" i="6"/>
  <c r="A170" i="6"/>
  <c r="D169" i="6"/>
  <c r="C169" i="6"/>
  <c r="B169" i="6"/>
  <c r="A169" i="6"/>
  <c r="D168" i="6"/>
  <c r="C168" i="6"/>
  <c r="B168" i="6"/>
  <c r="A168" i="6"/>
  <c r="D167" i="6"/>
  <c r="C167" i="6"/>
  <c r="B167" i="6"/>
  <c r="A167" i="6"/>
  <c r="D166" i="6"/>
  <c r="C166" i="6"/>
  <c r="B166" i="6"/>
  <c r="A166" i="6"/>
  <c r="D165" i="6"/>
  <c r="C165" i="6"/>
  <c r="B165" i="6"/>
  <c r="A165" i="6"/>
  <c r="D164" i="6"/>
  <c r="C164" i="6"/>
  <c r="B164" i="6"/>
  <c r="A164" i="6"/>
  <c r="D163" i="6"/>
  <c r="C163" i="6"/>
  <c r="B163" i="6"/>
  <c r="A163" i="6"/>
  <c r="D162" i="6"/>
  <c r="C162" i="6"/>
  <c r="B162" i="6"/>
  <c r="A162" i="6"/>
  <c r="D161" i="6"/>
  <c r="C161" i="6"/>
  <c r="B161" i="6"/>
  <c r="A161" i="6"/>
  <c r="D160" i="6"/>
  <c r="C160" i="6"/>
  <c r="B160" i="6"/>
  <c r="A160" i="6"/>
  <c r="D159" i="6"/>
  <c r="C159" i="6"/>
  <c r="B159" i="6"/>
  <c r="A159" i="6"/>
  <c r="D158" i="6"/>
  <c r="C158" i="6"/>
  <c r="B158" i="6"/>
  <c r="A158" i="6"/>
  <c r="D157" i="6"/>
  <c r="C157" i="6"/>
  <c r="B157" i="6"/>
  <c r="A157" i="6"/>
  <c r="D156" i="6"/>
  <c r="C156" i="6"/>
  <c r="B156" i="6"/>
  <c r="A156" i="6"/>
  <c r="D155" i="6"/>
  <c r="C155" i="6"/>
  <c r="B155" i="6"/>
  <c r="A155" i="6"/>
  <c r="D154" i="6"/>
  <c r="C154" i="6"/>
  <c r="B154" i="6"/>
  <c r="A154" i="6"/>
  <c r="D153" i="6"/>
  <c r="C153" i="6"/>
  <c r="B153" i="6"/>
  <c r="A153" i="6"/>
  <c r="D152" i="6"/>
  <c r="C152" i="6"/>
  <c r="B152" i="6"/>
  <c r="A152" i="6"/>
  <c r="D151" i="6"/>
  <c r="C151" i="6"/>
  <c r="B151" i="6"/>
  <c r="A151" i="6"/>
  <c r="D150" i="6"/>
  <c r="C150" i="6"/>
  <c r="B150" i="6"/>
  <c r="A150" i="6"/>
  <c r="D149" i="6"/>
  <c r="C149" i="6"/>
  <c r="B149" i="6"/>
  <c r="A149" i="6"/>
  <c r="D148" i="6"/>
  <c r="C148" i="6"/>
  <c r="B148" i="6"/>
  <c r="A148" i="6"/>
  <c r="D147" i="6"/>
  <c r="C147" i="6"/>
  <c r="B147" i="6"/>
  <c r="A147" i="6"/>
  <c r="D146" i="6"/>
  <c r="C146" i="6"/>
  <c r="B146" i="6"/>
  <c r="A146" i="6"/>
  <c r="D145" i="6"/>
  <c r="C145" i="6"/>
  <c r="B145" i="6"/>
  <c r="A145" i="6"/>
  <c r="D144" i="6"/>
  <c r="C144" i="6"/>
  <c r="B144" i="6"/>
  <c r="A144" i="6"/>
  <c r="D143" i="6"/>
  <c r="C143" i="6"/>
  <c r="B143" i="6"/>
  <c r="A143" i="6"/>
  <c r="D142" i="6"/>
  <c r="C142" i="6"/>
  <c r="B142" i="6"/>
  <c r="A142" i="6"/>
  <c r="D141" i="6"/>
  <c r="C141" i="6"/>
  <c r="B141" i="6"/>
  <c r="A141" i="6"/>
  <c r="D140" i="6"/>
  <c r="C140" i="6"/>
  <c r="B140" i="6"/>
  <c r="A140" i="6"/>
  <c r="D139" i="6"/>
  <c r="C139" i="6"/>
  <c r="B139" i="6"/>
  <c r="A139" i="6"/>
  <c r="D138" i="6"/>
  <c r="C138" i="6"/>
  <c r="B138" i="6"/>
  <c r="A138" i="6"/>
  <c r="D137" i="6"/>
  <c r="C137" i="6"/>
  <c r="B137" i="6"/>
  <c r="A137" i="6"/>
  <c r="D136" i="6"/>
  <c r="C136" i="6"/>
  <c r="B136" i="6"/>
  <c r="A136" i="6"/>
  <c r="D135" i="6"/>
  <c r="C135" i="6"/>
  <c r="B135" i="6"/>
  <c r="A135" i="6"/>
  <c r="D134" i="6"/>
  <c r="C134" i="6"/>
  <c r="B134" i="6"/>
  <c r="A134" i="6"/>
  <c r="D133" i="6"/>
  <c r="C133" i="6"/>
  <c r="B133" i="6"/>
  <c r="A133" i="6"/>
  <c r="D132" i="6"/>
  <c r="C132" i="6"/>
  <c r="B132" i="6"/>
  <c r="A132" i="6"/>
  <c r="D131" i="6"/>
  <c r="C131" i="6"/>
  <c r="B131" i="6"/>
  <c r="A131" i="6"/>
  <c r="D130" i="6"/>
  <c r="C130" i="6"/>
  <c r="B130" i="6"/>
  <c r="A130" i="6"/>
  <c r="D129" i="6"/>
  <c r="C129" i="6"/>
  <c r="B129" i="6"/>
  <c r="A129" i="6"/>
  <c r="D128" i="6"/>
  <c r="C128" i="6"/>
  <c r="B128" i="6"/>
  <c r="A128" i="6"/>
  <c r="D127" i="6"/>
  <c r="C127" i="6"/>
  <c r="B127" i="6"/>
  <c r="A127" i="6"/>
  <c r="D126" i="6"/>
  <c r="C126" i="6"/>
  <c r="B126" i="6"/>
  <c r="A126" i="6"/>
  <c r="D125" i="6"/>
  <c r="C125" i="6"/>
  <c r="B125" i="6"/>
  <c r="A125" i="6"/>
  <c r="D124" i="6"/>
  <c r="C124" i="6"/>
  <c r="B124" i="6"/>
  <c r="A124" i="6"/>
  <c r="D123" i="6"/>
  <c r="C123" i="6"/>
  <c r="B123" i="6"/>
  <c r="A123" i="6"/>
  <c r="D122" i="6"/>
  <c r="C122" i="6"/>
  <c r="B122" i="6"/>
  <c r="A122" i="6"/>
  <c r="D121" i="6"/>
  <c r="C121" i="6"/>
  <c r="B121" i="6"/>
  <c r="A121" i="6"/>
  <c r="D120" i="6"/>
  <c r="C120" i="6"/>
  <c r="B120" i="6"/>
  <c r="A120" i="6"/>
  <c r="D119" i="6"/>
  <c r="C119" i="6"/>
  <c r="B119" i="6"/>
  <c r="A119" i="6"/>
  <c r="D118" i="6"/>
  <c r="C118" i="6"/>
  <c r="B118" i="6"/>
  <c r="A118" i="6"/>
  <c r="D117" i="6"/>
  <c r="C117" i="6"/>
  <c r="B117" i="6"/>
  <c r="A117" i="6"/>
  <c r="D116" i="6"/>
  <c r="C116" i="6"/>
  <c r="B116" i="6"/>
  <c r="A116" i="6"/>
  <c r="D115" i="6"/>
  <c r="C115" i="6"/>
  <c r="B115" i="6"/>
  <c r="A115" i="6"/>
  <c r="D114" i="6"/>
  <c r="C114" i="6"/>
  <c r="B114" i="6"/>
  <c r="A114" i="6"/>
  <c r="D113" i="6"/>
  <c r="C113" i="6"/>
  <c r="B113" i="6"/>
  <c r="A113" i="6"/>
  <c r="D112" i="6"/>
  <c r="C112" i="6"/>
  <c r="B112" i="6"/>
  <c r="A112" i="6"/>
  <c r="D111" i="6"/>
  <c r="C111" i="6"/>
  <c r="B111" i="6"/>
  <c r="A111" i="6"/>
  <c r="D110" i="6"/>
  <c r="C110" i="6"/>
  <c r="B110" i="6"/>
  <c r="A110" i="6"/>
  <c r="D109" i="6"/>
  <c r="C109" i="6"/>
  <c r="B109" i="6"/>
  <c r="A109" i="6"/>
  <c r="D108" i="6"/>
  <c r="C108" i="6"/>
  <c r="B108" i="6"/>
  <c r="A108" i="6"/>
  <c r="D107" i="6"/>
  <c r="C107" i="6"/>
  <c r="B107" i="6"/>
  <c r="A107" i="6"/>
  <c r="D106" i="6"/>
  <c r="C106" i="6"/>
  <c r="B106" i="6"/>
  <c r="A106" i="6"/>
  <c r="D105" i="6"/>
  <c r="C105" i="6"/>
  <c r="B105" i="6"/>
  <c r="A105" i="6"/>
  <c r="D104" i="6"/>
  <c r="C104" i="6"/>
  <c r="B104" i="6"/>
  <c r="A104" i="6"/>
  <c r="D103" i="6"/>
  <c r="C103" i="6"/>
  <c r="B103" i="6"/>
  <c r="A103" i="6"/>
  <c r="D102" i="6"/>
  <c r="C102" i="6"/>
  <c r="B102" i="6"/>
  <c r="A102" i="6"/>
  <c r="D101" i="6"/>
  <c r="C101" i="6"/>
  <c r="B101" i="6"/>
  <c r="A101" i="6"/>
  <c r="D100" i="6"/>
  <c r="C100" i="6"/>
  <c r="B100" i="6"/>
  <c r="A100" i="6"/>
  <c r="D99" i="6"/>
  <c r="C99" i="6"/>
  <c r="B99" i="6"/>
  <c r="A99" i="6"/>
  <c r="D98" i="6"/>
  <c r="C98" i="6"/>
  <c r="B98" i="6"/>
  <c r="A98" i="6"/>
  <c r="D97" i="6"/>
  <c r="C97" i="6"/>
  <c r="B97" i="6"/>
  <c r="A97" i="6"/>
  <c r="D96" i="6"/>
  <c r="C96" i="6"/>
  <c r="B96" i="6"/>
  <c r="A96" i="6"/>
  <c r="D95" i="6"/>
  <c r="C95" i="6"/>
  <c r="B95" i="6"/>
  <c r="A95" i="6"/>
  <c r="D94" i="6"/>
  <c r="C94" i="6"/>
  <c r="B94" i="6"/>
  <c r="A94" i="6"/>
  <c r="D93" i="6"/>
  <c r="C93" i="6"/>
  <c r="B93" i="6"/>
  <c r="A93" i="6"/>
  <c r="D92" i="6"/>
  <c r="C92" i="6"/>
  <c r="B92" i="6"/>
  <c r="A92" i="6"/>
  <c r="D91" i="6"/>
  <c r="C91" i="6"/>
  <c r="B91" i="6"/>
  <c r="A91" i="6"/>
  <c r="D90" i="6"/>
  <c r="C90" i="6"/>
  <c r="B90" i="6"/>
  <c r="A90" i="6"/>
  <c r="D89" i="6"/>
  <c r="C89" i="6"/>
  <c r="B89" i="6"/>
  <c r="A89" i="6"/>
  <c r="D88" i="6"/>
  <c r="C88" i="6"/>
  <c r="B88" i="6"/>
  <c r="A88" i="6"/>
  <c r="D87" i="6"/>
  <c r="C87" i="6"/>
  <c r="B87" i="6"/>
  <c r="A87" i="6"/>
  <c r="D86" i="6"/>
  <c r="C86" i="6"/>
  <c r="B86" i="6"/>
  <c r="A86" i="6"/>
  <c r="D85" i="6"/>
  <c r="C85" i="6"/>
  <c r="B85" i="6"/>
  <c r="A85" i="6"/>
  <c r="D84" i="6"/>
  <c r="C84" i="6"/>
  <c r="B84" i="6"/>
  <c r="A84" i="6"/>
  <c r="D83" i="6"/>
  <c r="C83" i="6"/>
  <c r="B83" i="6"/>
  <c r="A83" i="6"/>
  <c r="D82" i="6"/>
  <c r="C82" i="6"/>
  <c r="B82" i="6"/>
  <c r="A82" i="6"/>
  <c r="D81" i="6"/>
  <c r="C81" i="6"/>
  <c r="B81" i="6"/>
  <c r="A81" i="6"/>
  <c r="D80" i="6"/>
  <c r="C80" i="6"/>
  <c r="B80" i="6"/>
  <c r="A80" i="6"/>
  <c r="D79" i="6"/>
  <c r="C79" i="6"/>
  <c r="B79" i="6"/>
  <c r="A79" i="6"/>
  <c r="D78" i="6"/>
  <c r="C78" i="6"/>
  <c r="B78" i="6"/>
  <c r="A78" i="6"/>
  <c r="D77" i="6"/>
  <c r="C77" i="6"/>
  <c r="B77" i="6"/>
  <c r="A77" i="6"/>
  <c r="D76" i="6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D54" i="6"/>
  <c r="C54" i="6"/>
  <c r="B54" i="6"/>
  <c r="A54" i="6"/>
  <c r="D53" i="6"/>
  <c r="C53" i="6"/>
  <c r="B53" i="6"/>
  <c r="A53" i="6"/>
  <c r="D52" i="6"/>
  <c r="C52" i="6"/>
  <c r="B52" i="6"/>
  <c r="A52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D47" i="6"/>
  <c r="C47" i="6"/>
  <c r="B47" i="6"/>
  <c r="A47" i="6"/>
  <c r="D46" i="6"/>
  <c r="C46" i="6"/>
  <c r="B46" i="6"/>
  <c r="A46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D40" i="6"/>
  <c r="C40" i="6"/>
  <c r="B40" i="6"/>
  <c r="A40" i="6"/>
  <c r="D39" i="6"/>
  <c r="C39" i="6"/>
  <c r="B39" i="6"/>
  <c r="A39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D33" i="6"/>
  <c r="C33" i="6"/>
  <c r="B33" i="6"/>
  <c r="A33" i="6"/>
  <c r="D32" i="6"/>
  <c r="C32" i="6"/>
  <c r="B32" i="6"/>
  <c r="A32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D5" i="6"/>
  <c r="C5" i="6"/>
  <c r="B5" i="6"/>
  <c r="A5" i="6"/>
  <c r="D4" i="6"/>
  <c r="C4" i="6"/>
  <c r="B4" i="6"/>
  <c r="A4" i="6"/>
  <c r="D3" i="6"/>
  <c r="C3" i="6"/>
  <c r="B3" i="6"/>
  <c r="A3" i="6"/>
  <c r="D2" i="6"/>
  <c r="C2" i="6"/>
  <c r="B2" i="6"/>
  <c r="A2" i="6"/>
  <c r="E999" i="5"/>
  <c r="E996" i="5"/>
  <c r="E995" i="5"/>
  <c r="E982" i="5"/>
  <c r="E963" i="5"/>
  <c r="E962" i="5"/>
  <c r="E960" i="5"/>
  <c r="E958" i="5"/>
  <c r="E953" i="5"/>
  <c r="E952" i="5"/>
  <c r="E941" i="5"/>
  <c r="E937" i="5"/>
  <c r="E935" i="5"/>
  <c r="E932" i="5"/>
  <c r="E930" i="5"/>
  <c r="E927" i="5"/>
  <c r="E926" i="5"/>
  <c r="E914" i="5"/>
  <c r="E906" i="5"/>
  <c r="E905" i="5"/>
  <c r="E903" i="5"/>
  <c r="E902" i="5"/>
  <c r="E901" i="5"/>
  <c r="E900" i="5"/>
  <c r="E884" i="5"/>
  <c r="E882" i="5"/>
  <c r="E881" i="5"/>
  <c r="E880" i="5"/>
  <c r="E879" i="5"/>
  <c r="E875" i="5"/>
  <c r="E874" i="5"/>
  <c r="E857" i="5"/>
  <c r="E856" i="5"/>
  <c r="E855" i="5"/>
  <c r="E852" i="5"/>
  <c r="E851" i="5"/>
  <c r="E850" i="5"/>
  <c r="E843" i="5"/>
  <c r="E831" i="5"/>
  <c r="E828" i="5"/>
  <c r="E827" i="5"/>
  <c r="E826" i="5"/>
  <c r="E824" i="5"/>
  <c r="E821" i="5"/>
  <c r="E819" i="5"/>
  <c r="E806" i="5"/>
  <c r="E805" i="5"/>
  <c r="E802" i="5"/>
  <c r="E795" i="5"/>
  <c r="E793" i="5"/>
  <c r="E792" i="5"/>
  <c r="E791" i="5"/>
  <c r="E777" i="5"/>
  <c r="E773" i="5"/>
  <c r="E772" i="5"/>
  <c r="E771" i="5"/>
  <c r="E770" i="5"/>
  <c r="E766" i="5"/>
  <c r="E765" i="5"/>
  <c r="E749" i="5"/>
  <c r="E748" i="5"/>
  <c r="E746" i="5"/>
  <c r="E745" i="5"/>
  <c r="E744" i="5"/>
  <c r="E740" i="5"/>
  <c r="E738" i="5"/>
  <c r="E725" i="5"/>
  <c r="E720" i="5"/>
  <c r="E718" i="5"/>
  <c r="E717" i="5"/>
  <c r="E714" i="5"/>
  <c r="E713" i="5"/>
  <c r="E711" i="5"/>
  <c r="E697" i="5"/>
  <c r="E696" i="5"/>
  <c r="E695" i="5"/>
  <c r="E694" i="5"/>
  <c r="E687" i="5"/>
  <c r="E683" i="5"/>
  <c r="E682" i="5"/>
  <c r="E671" i="5"/>
  <c r="E670" i="5"/>
  <c r="E665" i="5"/>
  <c r="E662" i="5"/>
  <c r="E660" i="5"/>
  <c r="E657" i="5"/>
  <c r="E656" i="5"/>
  <c r="E641" i="5"/>
  <c r="E639" i="5"/>
  <c r="E638" i="5"/>
  <c r="E636" i="5"/>
  <c r="E635" i="5"/>
  <c r="E634" i="5"/>
  <c r="E632" i="5"/>
  <c r="E616" i="5"/>
  <c r="E615" i="5"/>
  <c r="E614" i="5"/>
  <c r="E608" i="5"/>
  <c r="E606" i="5"/>
  <c r="E605" i="5"/>
  <c r="E603" i="5"/>
  <c r="E588" i="5"/>
  <c r="E587" i="5"/>
  <c r="E586" i="5"/>
  <c r="E584" i="5"/>
  <c r="E582" i="5"/>
  <c r="E579" i="5"/>
  <c r="E577" i="5"/>
  <c r="E563" i="5"/>
  <c r="E561" i="5"/>
  <c r="E560" i="5"/>
  <c r="E557" i="5"/>
  <c r="E553" i="5"/>
  <c r="E549" i="5"/>
  <c r="E546" i="5"/>
  <c r="E539" i="5"/>
  <c r="E531" i="5"/>
  <c r="E529" i="5"/>
  <c r="E527" i="5"/>
  <c r="E526" i="5"/>
  <c r="E525" i="5"/>
  <c r="E524" i="5"/>
  <c r="E509" i="5"/>
  <c r="E507" i="5"/>
  <c r="E505" i="5"/>
  <c r="E501" i="5"/>
  <c r="E500" i="5"/>
  <c r="E496" i="5"/>
  <c r="E495" i="5"/>
  <c r="E482" i="5"/>
  <c r="E478" i="5"/>
  <c r="E477" i="5"/>
  <c r="E474" i="5"/>
  <c r="E473" i="5"/>
  <c r="E470" i="5"/>
  <c r="E469" i="5"/>
  <c r="E453" i="5"/>
  <c r="E452" i="5"/>
  <c r="E450" i="5"/>
  <c r="E449" i="5"/>
  <c r="E448" i="5"/>
  <c r="E446" i="5"/>
  <c r="E438" i="5"/>
  <c r="E430" i="5"/>
  <c r="E429" i="5"/>
  <c r="E426" i="5"/>
  <c r="E421" i="5"/>
  <c r="E418" i="5"/>
  <c r="E416" i="5"/>
  <c r="E413" i="5"/>
  <c r="E400" i="5"/>
  <c r="E399" i="5"/>
  <c r="E397" i="5"/>
  <c r="E393" i="5"/>
  <c r="E392" i="5"/>
  <c r="E389" i="5"/>
  <c r="E387" i="5"/>
  <c r="E383" i="5"/>
  <c r="E373" i="5"/>
  <c r="E371" i="5"/>
  <c r="E370" i="5"/>
  <c r="E366" i="5"/>
  <c r="E365" i="5"/>
  <c r="E360" i="5"/>
  <c r="E359" i="5"/>
  <c r="E357" i="5"/>
  <c r="E344" i="5"/>
  <c r="E342" i="5"/>
  <c r="E341" i="5"/>
  <c r="E340" i="5"/>
  <c r="E339" i="5"/>
  <c r="E338" i="5"/>
  <c r="E337" i="5"/>
  <c r="E327" i="5"/>
  <c r="E321" i="5"/>
  <c r="E320" i="5"/>
  <c r="E317" i="5"/>
  <c r="E314" i="5"/>
  <c r="E313" i="5"/>
  <c r="E309" i="5"/>
  <c r="E306" i="5"/>
  <c r="E302" i="5"/>
  <c r="E294" i="5"/>
  <c r="E291" i="5"/>
  <c r="E289" i="5"/>
  <c r="E288" i="5"/>
  <c r="E282" i="5"/>
  <c r="E280" i="5"/>
  <c r="E279" i="5"/>
  <c r="E277" i="5"/>
  <c r="E266" i="5"/>
  <c r="E265" i="5"/>
  <c r="E263" i="5"/>
  <c r="E260" i="5"/>
  <c r="E258" i="5"/>
  <c r="E252" i="5"/>
  <c r="E251" i="5"/>
  <c r="E249" i="5"/>
  <c r="E241" i="5"/>
  <c r="E234" i="5"/>
  <c r="E232" i="5"/>
  <c r="E230" i="5"/>
  <c r="E229" i="5"/>
  <c r="E228" i="5"/>
  <c r="E227" i="5"/>
  <c r="E225" i="5"/>
  <c r="E212" i="5"/>
  <c r="E210" i="5"/>
  <c r="E209" i="5"/>
  <c r="E206" i="5"/>
  <c r="E203" i="5"/>
  <c r="E202" i="5"/>
  <c r="E201" i="5"/>
  <c r="E195" i="5"/>
  <c r="E185" i="5"/>
  <c r="E184" i="5"/>
  <c r="E183" i="5"/>
  <c r="E180" i="5"/>
  <c r="E178" i="5"/>
  <c r="E173" i="5"/>
  <c r="E171" i="5"/>
  <c r="E168" i="5"/>
  <c r="E157" i="5"/>
  <c r="E156" i="5"/>
  <c r="E155" i="5"/>
  <c r="E154" i="5"/>
  <c r="E150" i="5"/>
  <c r="E148" i="5"/>
  <c r="E146" i="5"/>
  <c r="E138" i="5"/>
  <c r="E134" i="5"/>
  <c r="E132" i="5"/>
  <c r="E128" i="5"/>
  <c r="E122" i="5"/>
  <c r="E121" i="5"/>
  <c r="E120" i="5"/>
  <c r="E118" i="5"/>
  <c r="E116" i="5"/>
  <c r="E104" i="5"/>
  <c r="E101" i="5"/>
  <c r="E99" i="5"/>
  <c r="E96" i="5"/>
  <c r="E95" i="5"/>
  <c r="E94" i="5"/>
  <c r="E93" i="5"/>
  <c r="E89" i="5"/>
  <c r="E77" i="5"/>
  <c r="E75" i="5"/>
  <c r="E73" i="5"/>
  <c r="E72" i="5"/>
  <c r="E71" i="5"/>
  <c r="E65" i="5"/>
  <c r="E64" i="5"/>
  <c r="E59" i="5"/>
  <c r="E53" i="5"/>
  <c r="E46" i="5"/>
  <c r="E45" i="5"/>
  <c r="E44" i="5"/>
  <c r="E42" i="5"/>
  <c r="E41" i="5"/>
  <c r="E39" i="5"/>
  <c r="E32" i="5"/>
  <c r="E25" i="5"/>
  <c r="E24" i="5"/>
  <c r="E23" i="5"/>
  <c r="E17" i="5"/>
  <c r="E15" i="5"/>
  <c r="E11" i="5"/>
  <c r="E10" i="5"/>
  <c r="E6" i="5"/>
  <c r="E1" i="5" a="1"/>
  <c r="E969" i="5" s="1"/>
  <c r="D1000" i="5"/>
  <c r="D999" i="5"/>
  <c r="D993" i="5"/>
  <c r="D988" i="5"/>
  <c r="D987" i="5"/>
  <c r="D986" i="5"/>
  <c r="D985" i="5"/>
  <c r="D980" i="5"/>
  <c r="D971" i="5"/>
  <c r="D968" i="5"/>
  <c r="D967" i="5"/>
  <c r="D966" i="5"/>
  <c r="D964" i="5"/>
  <c r="D963" i="5"/>
  <c r="D956" i="5"/>
  <c r="D953" i="5"/>
  <c r="D949" i="5"/>
  <c r="D944" i="5"/>
  <c r="D941" i="5"/>
  <c r="D940" i="5"/>
  <c r="D937" i="5"/>
  <c r="D931" i="5"/>
  <c r="D928" i="5"/>
  <c r="D922" i="5"/>
  <c r="D921" i="5"/>
  <c r="D920" i="5"/>
  <c r="D917" i="5"/>
  <c r="D915" i="5"/>
  <c r="D911" i="5"/>
  <c r="D906" i="5"/>
  <c r="D902" i="5"/>
  <c r="D897" i="5"/>
  <c r="D896" i="5"/>
  <c r="D895" i="5"/>
  <c r="D889" i="5"/>
  <c r="D886" i="5"/>
  <c r="D885" i="5"/>
  <c r="D881" i="5"/>
  <c r="D879" i="5"/>
  <c r="D873" i="5"/>
  <c r="D871" i="5"/>
  <c r="D869" i="5"/>
  <c r="D867" i="5"/>
  <c r="D866" i="5"/>
  <c r="D861" i="5"/>
  <c r="D857" i="5"/>
  <c r="D854" i="5"/>
  <c r="D848" i="5"/>
  <c r="D847" i="5"/>
  <c r="D846" i="5"/>
  <c r="D843" i="5"/>
  <c r="D842" i="5"/>
  <c r="D840" i="5"/>
  <c r="D832" i="5"/>
  <c r="D831" i="5"/>
  <c r="D828" i="5"/>
  <c r="D826" i="5"/>
  <c r="D822" i="5"/>
  <c r="D821" i="5"/>
  <c r="D820" i="5"/>
  <c r="D817" i="5"/>
  <c r="D809" i="5"/>
  <c r="D808" i="5"/>
  <c r="D807" i="5"/>
  <c r="D805" i="5"/>
  <c r="D804" i="5"/>
  <c r="D802" i="5"/>
  <c r="D795" i="5"/>
  <c r="D792" i="5"/>
  <c r="D789" i="5"/>
  <c r="D788" i="5"/>
  <c r="D787" i="5"/>
  <c r="D784" i="5"/>
  <c r="D783" i="5"/>
  <c r="D780" i="5"/>
  <c r="D775" i="5"/>
  <c r="D774" i="5"/>
  <c r="D768" i="5"/>
  <c r="D764" i="5"/>
  <c r="D763" i="5"/>
  <c r="D762" i="5"/>
  <c r="D758" i="5"/>
  <c r="D756" i="5"/>
  <c r="D754" i="5"/>
  <c r="D753" i="5"/>
  <c r="D752" i="5"/>
  <c r="D744" i="5"/>
  <c r="D740" i="5"/>
  <c r="D738" i="5"/>
  <c r="D737" i="5"/>
  <c r="D732" i="5"/>
  <c r="D730" i="5"/>
  <c r="D729" i="5"/>
  <c r="D728" i="5"/>
  <c r="D726" i="5"/>
  <c r="D723" i="5"/>
  <c r="D716" i="5"/>
  <c r="D713" i="5"/>
  <c r="D712" i="5"/>
  <c r="D711" i="5"/>
  <c r="D710" i="5"/>
  <c r="D709" i="5"/>
  <c r="D702" i="5"/>
  <c r="D699" i="5"/>
  <c r="D698" i="5"/>
  <c r="D697" i="5"/>
  <c r="D696" i="5"/>
  <c r="D693" i="5"/>
  <c r="D688" i="5"/>
  <c r="D686" i="5"/>
  <c r="D682" i="5"/>
  <c r="D679" i="5"/>
  <c r="D678" i="5"/>
  <c r="D677" i="5"/>
  <c r="D674" i="5"/>
  <c r="D673" i="5"/>
  <c r="D672" i="5"/>
  <c r="D669" i="5"/>
  <c r="D665" i="5"/>
  <c r="D658" i="5"/>
  <c r="D657" i="5"/>
  <c r="D656" i="5"/>
  <c r="D654" i="5"/>
  <c r="D652" i="5"/>
  <c r="D650" i="5"/>
  <c r="D649" i="5"/>
  <c r="D645" i="5"/>
  <c r="D644" i="5"/>
  <c r="D639" i="5"/>
  <c r="D638" i="5"/>
  <c r="D631" i="5"/>
  <c r="D630" i="5"/>
  <c r="D628" i="5"/>
  <c r="D627" i="5"/>
  <c r="D626" i="5"/>
  <c r="D625" i="5"/>
  <c r="D622" i="5"/>
  <c r="D617" i="5"/>
  <c r="D613" i="5"/>
  <c r="D612" i="5"/>
  <c r="D610" i="5"/>
  <c r="D608" i="5"/>
  <c r="D607" i="5"/>
  <c r="D606" i="5"/>
  <c r="D600" i="5"/>
  <c r="D596" i="5"/>
  <c r="D595" i="5"/>
  <c r="D594" i="5"/>
  <c r="D592" i="5"/>
  <c r="D588" i="5"/>
  <c r="D586" i="5"/>
  <c r="D585" i="5"/>
  <c r="D580" i="5"/>
  <c r="D578" i="5"/>
  <c r="D573" i="5"/>
  <c r="D572" i="5"/>
  <c r="D571" i="5"/>
  <c r="D570" i="5"/>
  <c r="D567" i="5"/>
  <c r="D565" i="5"/>
  <c r="D562" i="5"/>
  <c r="D558" i="5"/>
  <c r="D556" i="5"/>
  <c r="D554" i="5"/>
  <c r="D553" i="5"/>
  <c r="D549" i="5"/>
  <c r="D545" i="5"/>
  <c r="D544" i="5"/>
  <c r="D542" i="5"/>
  <c r="D540" i="5"/>
  <c r="D536" i="5"/>
  <c r="D535" i="5"/>
  <c r="D531" i="5"/>
  <c r="D529" i="5"/>
  <c r="D526" i="5"/>
  <c r="D525" i="5"/>
  <c r="D523" i="5"/>
  <c r="D522" i="5"/>
  <c r="D514" i="5"/>
  <c r="D512" i="5"/>
  <c r="D510" i="5"/>
  <c r="D509" i="5"/>
  <c r="D508" i="5"/>
  <c r="D507" i="5"/>
  <c r="D506" i="5"/>
  <c r="D501" i="5"/>
  <c r="D497" i="5"/>
  <c r="D494" i="5"/>
  <c r="D492" i="5"/>
  <c r="D488" i="5"/>
  <c r="D487" i="5"/>
  <c r="D486" i="5"/>
  <c r="D484" i="5"/>
  <c r="D483" i="5"/>
  <c r="D481" i="5"/>
  <c r="D477" i="5"/>
  <c r="D471" i="5"/>
  <c r="D470" i="5"/>
  <c r="D468" i="5"/>
  <c r="D466" i="5"/>
  <c r="D464" i="5"/>
  <c r="D460" i="5"/>
  <c r="D458" i="5"/>
  <c r="D456" i="5"/>
  <c r="D453" i="5"/>
  <c r="D452" i="5"/>
  <c r="D451" i="5"/>
  <c r="D445" i="5"/>
  <c r="D441" i="5"/>
  <c r="D440" i="5"/>
  <c r="D439" i="5"/>
  <c r="D437" i="5"/>
  <c r="D435" i="5"/>
  <c r="D430" i="5"/>
  <c r="D428" i="5"/>
  <c r="D426" i="5"/>
  <c r="D425" i="5"/>
  <c r="D424" i="5"/>
  <c r="D421" i="5"/>
  <c r="D415" i="5"/>
  <c r="D412" i="5"/>
  <c r="D410" i="5"/>
  <c r="D409" i="5"/>
  <c r="D408" i="5"/>
  <c r="D405" i="5"/>
  <c r="D402" i="5"/>
  <c r="D401" i="5"/>
  <c r="D400" i="5"/>
  <c r="D399" i="5"/>
  <c r="D388" i="5"/>
  <c r="D387" i="5"/>
  <c r="D386" i="5"/>
  <c r="D385" i="5"/>
  <c r="D384" i="5"/>
  <c r="D382" i="5"/>
  <c r="D381" i="5"/>
  <c r="D379" i="5"/>
  <c r="D374" i="5"/>
  <c r="D372" i="5"/>
  <c r="D369" i="5"/>
  <c r="D367" i="5"/>
  <c r="D366" i="5"/>
  <c r="D362" i="5"/>
  <c r="D360" i="5"/>
  <c r="D358" i="5"/>
  <c r="D356" i="5"/>
  <c r="D354" i="5"/>
  <c r="D353" i="5"/>
  <c r="D352" i="5"/>
  <c r="D346" i="5"/>
  <c r="D344" i="5"/>
  <c r="D342" i="5"/>
  <c r="D341" i="5"/>
  <c r="D339" i="5"/>
  <c r="D334" i="5"/>
  <c r="D333" i="5"/>
  <c r="D331" i="5"/>
  <c r="D329" i="5"/>
  <c r="D328" i="5"/>
  <c r="D326" i="5"/>
  <c r="D322" i="5"/>
  <c r="D321" i="5"/>
  <c r="D316" i="5"/>
  <c r="D314" i="5"/>
  <c r="D313" i="5"/>
  <c r="D309" i="5"/>
  <c r="D308" i="5"/>
  <c r="D307" i="5"/>
  <c r="D306" i="5"/>
  <c r="D304" i="5"/>
  <c r="D301" i="5"/>
  <c r="D295" i="5"/>
  <c r="D294" i="5"/>
  <c r="D292" i="5"/>
  <c r="D291" i="5"/>
  <c r="D290" i="5"/>
  <c r="D289" i="5"/>
  <c r="D288" i="5"/>
  <c r="D283" i="5"/>
  <c r="D278" i="5"/>
  <c r="D277" i="5"/>
  <c r="D276" i="5"/>
  <c r="D274" i="5"/>
  <c r="D273" i="5"/>
  <c r="D268" i="5"/>
  <c r="D267" i="5"/>
  <c r="D266" i="5"/>
  <c r="D264" i="5"/>
  <c r="D261" i="5"/>
  <c r="D257" i="5"/>
  <c r="D256" i="5"/>
  <c r="D255" i="5"/>
  <c r="D253" i="5"/>
  <c r="D252" i="5"/>
  <c r="D250" i="5"/>
  <c r="D247" i="5"/>
  <c r="D243" i="5"/>
  <c r="D242" i="5"/>
  <c r="D241" i="5"/>
  <c r="D237" i="5"/>
  <c r="D236" i="5"/>
  <c r="D235" i="5"/>
  <c r="D234" i="5"/>
  <c r="D231" i="5"/>
  <c r="D229" i="5"/>
  <c r="D226" i="5"/>
  <c r="D224" i="5"/>
  <c r="D222" i="5"/>
  <c r="D221" i="5"/>
  <c r="D217" i="5"/>
  <c r="D216" i="5"/>
  <c r="D214" i="5"/>
  <c r="D212" i="5"/>
  <c r="D210" i="5"/>
  <c r="D209" i="5"/>
  <c r="D205" i="5"/>
  <c r="D204" i="5"/>
  <c r="D201" i="5"/>
  <c r="D200" i="5"/>
  <c r="D198" i="5"/>
  <c r="D196" i="5"/>
  <c r="D192" i="5"/>
  <c r="D189" i="5"/>
  <c r="D188" i="5"/>
  <c r="D187" i="5"/>
  <c r="D186" i="5"/>
  <c r="D185" i="5"/>
  <c r="D184" i="5"/>
  <c r="D182" i="5"/>
  <c r="D174" i="5"/>
  <c r="D173" i="5"/>
  <c r="D172" i="5"/>
  <c r="D171" i="5"/>
  <c r="D170" i="5"/>
  <c r="D169" i="5"/>
  <c r="D165" i="5"/>
  <c r="D164" i="5"/>
  <c r="D163" i="5"/>
  <c r="D161" i="5"/>
  <c r="D156" i="5"/>
  <c r="D152" i="5"/>
  <c r="D151" i="5"/>
  <c r="D150" i="5"/>
  <c r="D149" i="5"/>
  <c r="D148" i="5"/>
  <c r="D147" i="5"/>
  <c r="D144" i="5"/>
  <c r="D139" i="5"/>
  <c r="D138" i="5"/>
  <c r="D137" i="5"/>
  <c r="D134" i="5"/>
  <c r="D133" i="5"/>
  <c r="D132" i="5"/>
  <c r="D130" i="5"/>
  <c r="D125" i="5"/>
  <c r="D123" i="5"/>
  <c r="D122" i="5"/>
  <c r="D121" i="5"/>
  <c r="D120" i="5"/>
  <c r="D118" i="5"/>
  <c r="D116" i="5"/>
  <c r="D111" i="5"/>
  <c r="D109" i="5"/>
  <c r="D106" i="5"/>
  <c r="D105" i="5"/>
  <c r="D104" i="5"/>
  <c r="D103" i="5"/>
  <c r="D100" i="5"/>
  <c r="D99" i="5"/>
  <c r="D98" i="5"/>
  <c r="D94" i="5"/>
  <c r="D92" i="5"/>
  <c r="D87" i="5"/>
  <c r="D86" i="5"/>
  <c r="D85" i="5"/>
  <c r="D84" i="5"/>
  <c r="D82" i="5"/>
  <c r="D80" i="5"/>
  <c r="D79" i="5"/>
  <c r="D78" i="5"/>
  <c r="D72" i="5"/>
  <c r="D70" i="5"/>
  <c r="D69" i="5"/>
  <c r="D67" i="5"/>
  <c r="D65" i="5"/>
  <c r="D64" i="5"/>
  <c r="D61" i="5"/>
  <c r="D60" i="5"/>
  <c r="D57" i="5"/>
  <c r="D55" i="5"/>
  <c r="D53" i="5"/>
  <c r="D52" i="5"/>
  <c r="D48" i="5"/>
  <c r="D46" i="5"/>
  <c r="D44" i="5"/>
  <c r="D43" i="5"/>
  <c r="D41" i="5"/>
  <c r="D39" i="5"/>
  <c r="D38" i="5"/>
  <c r="D34" i="5"/>
  <c r="D31" i="5"/>
  <c r="D30" i="5"/>
  <c r="D29" i="5"/>
  <c r="D28" i="5"/>
  <c r="D27" i="5"/>
  <c r="D20" i="5"/>
  <c r="D19" i="5"/>
  <c r="D17" i="5"/>
  <c r="D16" i="5"/>
  <c r="D15" i="5"/>
  <c r="D13" i="5"/>
  <c r="D12" i="5"/>
  <c r="D8" i="5"/>
  <c r="D6" i="5"/>
  <c r="D4" i="5"/>
  <c r="D2" i="5"/>
  <c r="D1" i="5" a="1"/>
  <c r="D1" i="5"/>
  <c r="C982" i="5"/>
  <c r="C981" i="5"/>
  <c r="C978" i="5"/>
  <c r="C977" i="5"/>
  <c r="C968" i="5"/>
  <c r="C962" i="5"/>
  <c r="C961" i="5"/>
  <c r="C943" i="5"/>
  <c r="C929" i="5"/>
  <c r="C927" i="5"/>
  <c r="C926" i="5"/>
  <c r="C924" i="5"/>
  <c r="C922" i="5"/>
  <c r="C918" i="5"/>
  <c r="C896" i="5"/>
  <c r="C891" i="5"/>
  <c r="C885" i="5"/>
  <c r="C884" i="5"/>
  <c r="C882" i="5"/>
  <c r="C873" i="5"/>
  <c r="C869" i="5"/>
  <c r="C852" i="5"/>
  <c r="C839" i="5"/>
  <c r="C838" i="5"/>
  <c r="C836" i="5"/>
  <c r="C834" i="5"/>
  <c r="C833" i="5"/>
  <c r="C830" i="5"/>
  <c r="C805" i="5"/>
  <c r="C803" i="5"/>
  <c r="C795" i="5"/>
  <c r="C794" i="5"/>
  <c r="C792" i="5"/>
  <c r="C781" i="5"/>
  <c r="C780" i="5"/>
  <c r="C763" i="5"/>
  <c r="C754" i="5"/>
  <c r="C750" i="5"/>
  <c r="C748" i="5"/>
  <c r="C747" i="5"/>
  <c r="C746" i="5"/>
  <c r="C745" i="5"/>
  <c r="C720" i="5"/>
  <c r="C719" i="5"/>
  <c r="C714" i="5"/>
  <c r="C711" i="5"/>
  <c r="C709" i="5"/>
  <c r="C700" i="5"/>
  <c r="C699" i="5"/>
  <c r="C683" i="5"/>
  <c r="C671" i="5"/>
  <c r="C667" i="5"/>
  <c r="C666" i="5"/>
  <c r="C665" i="5"/>
  <c r="C664" i="5"/>
  <c r="C663" i="5"/>
  <c r="C638" i="5"/>
  <c r="C636" i="5"/>
  <c r="C631" i="5"/>
  <c r="C630" i="5"/>
  <c r="C625" i="5"/>
  <c r="C617" i="5"/>
  <c r="C616" i="5"/>
  <c r="C602" i="5"/>
  <c r="C589" i="5"/>
  <c r="C588" i="5"/>
  <c r="C587" i="5"/>
  <c r="C586" i="5"/>
  <c r="C583" i="5"/>
  <c r="C578" i="5"/>
  <c r="C556" i="5"/>
  <c r="C555" i="5"/>
  <c r="C550" i="5"/>
  <c r="C546" i="5"/>
  <c r="C544" i="5"/>
  <c r="C535" i="5"/>
  <c r="C533" i="5"/>
  <c r="C518" i="5"/>
  <c r="C507" i="5"/>
  <c r="C505" i="5"/>
  <c r="C503" i="5"/>
  <c r="C499" i="5"/>
  <c r="C498" i="5"/>
  <c r="C497" i="5"/>
  <c r="C474" i="5"/>
  <c r="C473" i="5"/>
  <c r="C466" i="5"/>
  <c r="C463" i="5"/>
  <c r="C461" i="5"/>
  <c r="C451" i="5"/>
  <c r="C450" i="5"/>
  <c r="C435" i="5"/>
  <c r="C423" i="5"/>
  <c r="C421" i="5"/>
  <c r="C420" i="5"/>
  <c r="C419" i="5"/>
  <c r="C418" i="5"/>
  <c r="C416" i="5"/>
  <c r="C392" i="5"/>
  <c r="C391" i="5"/>
  <c r="C388" i="5"/>
  <c r="C387" i="5"/>
  <c r="C384" i="5"/>
  <c r="C375" i="5"/>
  <c r="C374" i="5"/>
  <c r="C360" i="5"/>
  <c r="C349" i="5"/>
  <c r="C348" i="5"/>
  <c r="C347" i="5"/>
  <c r="C344" i="5"/>
  <c r="C342" i="5"/>
  <c r="C341" i="5"/>
  <c r="C318" i="5"/>
  <c r="C317" i="5"/>
  <c r="C314" i="5"/>
  <c r="C313" i="5"/>
  <c r="C307" i="5"/>
  <c r="C301" i="5"/>
  <c r="C300" i="5"/>
  <c r="C286" i="5"/>
  <c r="C274" i="5"/>
  <c r="C272" i="5"/>
  <c r="C271" i="5"/>
  <c r="C270" i="5"/>
  <c r="C269" i="5"/>
  <c r="C266" i="5"/>
  <c r="C245" i="5"/>
  <c r="C244" i="5"/>
  <c r="C238" i="5"/>
  <c r="C235" i="5"/>
  <c r="C233" i="5"/>
  <c r="C227" i="5"/>
  <c r="C226" i="5"/>
  <c r="C211" i="5"/>
  <c r="C199" i="5"/>
  <c r="C198" i="5"/>
  <c r="C197" i="5"/>
  <c r="C195" i="5"/>
  <c r="C193" i="5"/>
  <c r="C192" i="5"/>
  <c r="C171" i="5"/>
  <c r="C170" i="5"/>
  <c r="C165" i="5"/>
  <c r="C164" i="5"/>
  <c r="C161" i="5"/>
  <c r="C156" i="5"/>
  <c r="C154" i="5"/>
  <c r="C143" i="5"/>
  <c r="C133" i="5"/>
  <c r="C132" i="5"/>
  <c r="C131" i="5"/>
  <c r="C130" i="5"/>
  <c r="C128" i="5"/>
  <c r="C125" i="5"/>
  <c r="C108" i="5"/>
  <c r="C107" i="5"/>
  <c r="C104" i="5"/>
  <c r="C101" i="5"/>
  <c r="C98" i="5"/>
  <c r="C93" i="5"/>
  <c r="C92" i="5"/>
  <c r="C80" i="5"/>
  <c r="C70" i="5"/>
  <c r="C69" i="5"/>
  <c r="C68" i="5"/>
  <c r="C66" i="5"/>
  <c r="C65" i="5"/>
  <c r="C64" i="5"/>
  <c r="C45" i="5"/>
  <c r="C44" i="5"/>
  <c r="C40" i="5"/>
  <c r="C39" i="5"/>
  <c r="C36" i="5"/>
  <c r="C29" i="5"/>
  <c r="C28" i="5"/>
  <c r="C17" i="5"/>
  <c r="C8" i="5"/>
  <c r="C7" i="5"/>
  <c r="C6" i="5"/>
  <c r="C5" i="5"/>
  <c r="C4" i="5"/>
  <c r="C3" i="5"/>
  <c r="C1" i="5" a="1"/>
  <c r="C999" i="5" s="1"/>
  <c r="B986" i="5"/>
  <c r="B985" i="5"/>
  <c r="B982" i="5"/>
  <c r="B981" i="5"/>
  <c r="B979" i="5"/>
  <c r="B972" i="5"/>
  <c r="B971" i="5"/>
  <c r="B960" i="5"/>
  <c r="B952" i="5"/>
  <c r="B950" i="5"/>
  <c r="B949" i="5"/>
  <c r="B948" i="5"/>
  <c r="B947" i="5"/>
  <c r="B946" i="5"/>
  <c r="B930" i="5"/>
  <c r="B928" i="5"/>
  <c r="B924" i="5"/>
  <c r="B923" i="5"/>
  <c r="B921" i="5"/>
  <c r="B914" i="5"/>
  <c r="B913" i="5"/>
  <c r="B902" i="5"/>
  <c r="B895" i="5"/>
  <c r="B894" i="5"/>
  <c r="B892" i="5"/>
  <c r="B890" i="5"/>
  <c r="B889" i="5"/>
  <c r="B888" i="5"/>
  <c r="B872" i="5"/>
  <c r="B871" i="5"/>
  <c r="B866" i="5"/>
  <c r="B865" i="5"/>
  <c r="B863" i="5"/>
  <c r="B858" i="5"/>
  <c r="B856" i="5"/>
  <c r="B846" i="5"/>
  <c r="B837" i="5"/>
  <c r="B836" i="5"/>
  <c r="B835" i="5"/>
  <c r="B834" i="5"/>
  <c r="B832" i="5"/>
  <c r="B830" i="5"/>
  <c r="B814" i="5"/>
  <c r="B813" i="5"/>
  <c r="B810" i="5"/>
  <c r="B808" i="5"/>
  <c r="B805" i="5"/>
  <c r="B800" i="5"/>
  <c r="B799" i="5"/>
  <c r="B789" i="5"/>
  <c r="B781" i="5"/>
  <c r="B780" i="5"/>
  <c r="B779" i="5"/>
  <c r="B778" i="5"/>
  <c r="B777" i="5"/>
  <c r="B776" i="5"/>
  <c r="B760" i="5"/>
  <c r="B759" i="5"/>
  <c r="B756" i="5"/>
  <c r="B755" i="5"/>
  <c r="B753" i="5"/>
  <c r="B747" i="5"/>
  <c r="B746" i="5"/>
  <c r="B736" i="5"/>
  <c r="B729" i="5"/>
  <c r="B728" i="5"/>
  <c r="B727" i="5"/>
  <c r="B726" i="5"/>
  <c r="B724" i="5"/>
  <c r="B723" i="5"/>
  <c r="B708" i="5"/>
  <c r="B707" i="5"/>
  <c r="B704" i="5"/>
  <c r="B703" i="5"/>
  <c r="B700" i="5"/>
  <c r="B695" i="5"/>
  <c r="B694" i="5"/>
  <c r="B684" i="5"/>
  <c r="B676" i="5"/>
  <c r="B675" i="5"/>
  <c r="B674" i="5"/>
  <c r="B673" i="5"/>
  <c r="B672" i="5"/>
  <c r="B671" i="5"/>
  <c r="B656" i="5"/>
  <c r="B655" i="5"/>
  <c r="B651" i="5"/>
  <c r="B650" i="5"/>
  <c r="B648" i="5"/>
  <c r="B643" i="5"/>
  <c r="B642" i="5"/>
  <c r="B632" i="5"/>
  <c r="B624" i="5"/>
  <c r="B623" i="5"/>
  <c r="B622" i="5"/>
  <c r="B621" i="5"/>
  <c r="B620" i="5"/>
  <c r="B619" i="5"/>
  <c r="B603" i="5"/>
  <c r="B602" i="5"/>
  <c r="B599" i="5"/>
  <c r="B598" i="5"/>
  <c r="B596" i="5"/>
  <c r="B590" i="5"/>
  <c r="B589" i="5"/>
  <c r="B579" i="5"/>
  <c r="B572" i="5"/>
  <c r="B571" i="5"/>
  <c r="B570" i="5"/>
  <c r="B568" i="5"/>
  <c r="B567" i="5"/>
  <c r="B566" i="5"/>
  <c r="B551" i="5"/>
  <c r="B550" i="5"/>
  <c r="B547" i="5"/>
  <c r="B546" i="5"/>
  <c r="B543" i="5"/>
  <c r="B539" i="5"/>
  <c r="B538" i="5"/>
  <c r="B528" i="5"/>
  <c r="B524" i="5"/>
  <c r="B520" i="5"/>
  <c r="B519" i="5"/>
  <c r="B518" i="5"/>
  <c r="B517" i="5"/>
  <c r="B516" i="5"/>
  <c r="B503" i="5"/>
  <c r="B502" i="5"/>
  <c r="B501" i="5"/>
  <c r="B500" i="5"/>
  <c r="B498" i="5"/>
  <c r="B491" i="5"/>
  <c r="B490" i="5"/>
  <c r="B480" i="5"/>
  <c r="B476" i="5"/>
  <c r="B475" i="5"/>
  <c r="B474" i="5"/>
  <c r="B472" i="5"/>
  <c r="B471" i="5"/>
  <c r="B468" i="5"/>
  <c r="B455" i="5"/>
  <c r="B454" i="5"/>
  <c r="B453" i="5"/>
  <c r="B452" i="5"/>
  <c r="B450" i="5"/>
  <c r="B445" i="5"/>
  <c r="B442" i="5"/>
  <c r="B434" i="5"/>
  <c r="B428" i="5"/>
  <c r="B427" i="5"/>
  <c r="B426" i="5"/>
  <c r="B424" i="5"/>
  <c r="B423" i="5"/>
  <c r="B422" i="5"/>
  <c r="B409" i="5"/>
  <c r="B408" i="5"/>
  <c r="B407" i="5"/>
  <c r="B406" i="5"/>
  <c r="B402" i="5"/>
  <c r="B397" i="5"/>
  <c r="B396" i="5"/>
  <c r="B386" i="5"/>
  <c r="B382" i="5"/>
  <c r="B381" i="5"/>
  <c r="B380" i="5"/>
  <c r="B376" i="5"/>
  <c r="B375" i="5"/>
  <c r="B374" i="5"/>
  <c r="B361" i="5"/>
  <c r="B360" i="5"/>
  <c r="B359" i="5"/>
  <c r="B358" i="5"/>
  <c r="B356" i="5"/>
  <c r="B349" i="5"/>
  <c r="B348" i="5"/>
  <c r="B341" i="5"/>
  <c r="B335" i="5"/>
  <c r="B334" i="5"/>
  <c r="B333" i="5"/>
  <c r="B332" i="5"/>
  <c r="B331" i="5"/>
  <c r="B330" i="5"/>
  <c r="B318" i="5"/>
  <c r="B317" i="5"/>
  <c r="B314" i="5"/>
  <c r="B313" i="5"/>
  <c r="B311" i="5"/>
  <c r="B307" i="5"/>
  <c r="B306" i="5"/>
  <c r="B297" i="5"/>
  <c r="B293" i="5"/>
  <c r="B290" i="5"/>
  <c r="B289" i="5"/>
  <c r="B288" i="5"/>
  <c r="B287" i="5"/>
  <c r="B286" i="5"/>
  <c r="B274" i="5"/>
  <c r="B273" i="5"/>
  <c r="B272" i="5"/>
  <c r="B271" i="5"/>
  <c r="B269" i="5"/>
  <c r="B263" i="5"/>
  <c r="B262" i="5"/>
  <c r="B253" i="5"/>
  <c r="B249" i="5"/>
  <c r="B248" i="5"/>
  <c r="B247" i="5"/>
  <c r="B246" i="5"/>
  <c r="B245" i="5"/>
  <c r="B242" i="5"/>
  <c r="B230" i="5"/>
  <c r="B229" i="5"/>
  <c r="B228" i="5"/>
  <c r="B227" i="5"/>
  <c r="B225" i="5"/>
  <c r="B222" i="5"/>
  <c r="B221" i="5"/>
  <c r="B213" i="5"/>
  <c r="B211" i="5"/>
  <c r="B206" i="5"/>
  <c r="B205" i="5"/>
  <c r="B204" i="5"/>
  <c r="B203" i="5"/>
  <c r="B202" i="5"/>
  <c r="B191" i="5"/>
  <c r="B190" i="5"/>
  <c r="B189" i="5"/>
  <c r="B188" i="5"/>
  <c r="B187" i="5"/>
  <c r="B186" i="5"/>
  <c r="B185" i="5"/>
  <c r="B174" i="5"/>
  <c r="B173" i="5"/>
  <c r="B170" i="5"/>
  <c r="B169" i="5"/>
  <c r="B167" i="5"/>
  <c r="B164" i="5"/>
  <c r="B163" i="5"/>
  <c r="B155" i="5"/>
  <c r="B153" i="5"/>
  <c r="B150" i="5"/>
  <c r="B149" i="5"/>
  <c r="B146" i="5"/>
  <c r="B145" i="5"/>
  <c r="B144" i="5"/>
  <c r="B133" i="5"/>
  <c r="B132" i="5"/>
  <c r="B131" i="5"/>
  <c r="B130" i="5"/>
  <c r="B129" i="5"/>
  <c r="B128" i="5"/>
  <c r="B127" i="5"/>
  <c r="B116" i="5"/>
  <c r="B115" i="5"/>
  <c r="B114" i="5"/>
  <c r="B113" i="5"/>
  <c r="B109" i="5"/>
  <c r="B106" i="5"/>
  <c r="B105" i="5"/>
  <c r="B97" i="5"/>
  <c r="B95" i="5"/>
  <c r="B92" i="5"/>
  <c r="B91" i="5"/>
  <c r="B90" i="5"/>
  <c r="B89" i="5"/>
  <c r="B86" i="5"/>
  <c r="B77" i="5"/>
  <c r="B74" i="5"/>
  <c r="B73" i="5"/>
  <c r="B72" i="5"/>
  <c r="B71" i="5"/>
  <c r="B70" i="5"/>
  <c r="B69" i="5"/>
  <c r="B58" i="5"/>
  <c r="B57" i="5"/>
  <c r="B56" i="5"/>
  <c r="B55" i="5"/>
  <c r="B53" i="5"/>
  <c r="B48" i="5"/>
  <c r="B47" i="5"/>
  <c r="B41" i="5"/>
  <c r="B37" i="5"/>
  <c r="B34" i="5"/>
  <c r="B33" i="5"/>
  <c r="B32" i="5"/>
  <c r="B31" i="5"/>
  <c r="B30" i="5"/>
  <c r="B19" i="5"/>
  <c r="B18" i="5"/>
  <c r="B17" i="5"/>
  <c r="B14" i="5"/>
  <c r="B13" i="5"/>
  <c r="B12" i="5"/>
  <c r="B11" i="5"/>
  <c r="B1" i="5" a="1"/>
  <c r="B1" i="5"/>
  <c r="A1000" i="5"/>
  <c r="A999" i="5"/>
  <c r="A998" i="5"/>
  <c r="A997" i="5"/>
  <c r="A996" i="5"/>
  <c r="A994" i="5"/>
  <c r="A991" i="5"/>
  <c r="A990" i="5"/>
  <c r="A989" i="5"/>
  <c r="A988" i="5"/>
  <c r="A987" i="5"/>
  <c r="A986" i="5"/>
  <c r="A985" i="5"/>
  <c r="A984" i="5"/>
  <c r="A983" i="5"/>
  <c r="A982" i="5"/>
  <c r="A978" i="5"/>
  <c r="A977" i="5"/>
  <c r="A976" i="5"/>
  <c r="A975" i="5"/>
  <c r="A974" i="5"/>
  <c r="A973" i="5"/>
  <c r="A972" i="5"/>
  <c r="A971" i="5"/>
  <c r="A970" i="5"/>
  <c r="A967" i="5"/>
  <c r="A966" i="5"/>
  <c r="A964" i="5"/>
  <c r="A963" i="5"/>
  <c r="A962" i="5"/>
  <c r="A961" i="5"/>
  <c r="A960" i="5"/>
  <c r="A959" i="5"/>
  <c r="A958" i="5"/>
  <c r="A955" i="5"/>
  <c r="A954" i="5"/>
  <c r="A953" i="5"/>
  <c r="A952" i="5"/>
  <c r="A950" i="5"/>
  <c r="A949" i="5"/>
  <c r="A948" i="5"/>
  <c r="A947" i="5"/>
  <c r="A946" i="5"/>
  <c r="A943" i="5"/>
  <c r="A942" i="5"/>
  <c r="A941" i="5"/>
  <c r="A940" i="5"/>
  <c r="A939" i="5"/>
  <c r="A938" i="5"/>
  <c r="A936" i="5"/>
  <c r="A935" i="5"/>
  <c r="A934" i="5"/>
  <c r="A931" i="5"/>
  <c r="A930" i="5"/>
  <c r="A929" i="5"/>
  <c r="A928" i="5"/>
  <c r="A927" i="5"/>
  <c r="A926" i="5"/>
  <c r="A925" i="5"/>
  <c r="A924" i="5"/>
  <c r="A922" i="5"/>
  <c r="A919" i="5"/>
  <c r="A918" i="5"/>
  <c r="A917" i="5"/>
  <c r="A916" i="5"/>
  <c r="A915" i="5"/>
  <c r="A914" i="5"/>
  <c r="A913" i="5"/>
  <c r="A912" i="5"/>
  <c r="A911" i="5"/>
  <c r="A910" i="5"/>
  <c r="A906" i="5"/>
  <c r="A905" i="5"/>
  <c r="A904" i="5"/>
  <c r="A903" i="5"/>
  <c r="A902" i="5"/>
  <c r="A901" i="5"/>
  <c r="A900" i="5"/>
  <c r="A899" i="5"/>
  <c r="A898" i="5"/>
  <c r="A895" i="5"/>
  <c r="A894" i="5"/>
  <c r="A892" i="5"/>
  <c r="A891" i="5"/>
  <c r="A890" i="5"/>
  <c r="A889" i="5"/>
  <c r="A888" i="5"/>
  <c r="A887" i="5"/>
  <c r="A886" i="5"/>
  <c r="A883" i="5"/>
  <c r="A882" i="5"/>
  <c r="A881" i="5"/>
  <c r="A880" i="5"/>
  <c r="A878" i="5"/>
  <c r="A877" i="5"/>
  <c r="A876" i="5"/>
  <c r="A875" i="5"/>
  <c r="A874" i="5"/>
  <c r="A871" i="5"/>
  <c r="A870" i="5"/>
  <c r="A869" i="5"/>
  <c r="A868" i="5"/>
  <c r="A867" i="5"/>
  <c r="A866" i="5"/>
  <c r="A864" i="5"/>
  <c r="A863" i="5"/>
  <c r="A862" i="5"/>
  <c r="A859" i="5"/>
  <c r="A858" i="5"/>
  <c r="A857" i="5"/>
  <c r="A856" i="5"/>
  <c r="A855" i="5"/>
  <c r="A854" i="5"/>
  <c r="A853" i="5"/>
  <c r="A852" i="5"/>
  <c r="A850" i="5"/>
  <c r="A847" i="5"/>
  <c r="A846" i="5"/>
  <c r="A845" i="5"/>
  <c r="A844" i="5"/>
  <c r="A843" i="5"/>
  <c r="A842" i="5"/>
  <c r="A841" i="5"/>
  <c r="A840" i="5"/>
  <c r="A839" i="5"/>
  <c r="A838" i="5"/>
  <c r="A834" i="5"/>
  <c r="A833" i="5"/>
  <c r="A832" i="5"/>
  <c r="A831" i="5"/>
  <c r="A830" i="5"/>
  <c r="A829" i="5"/>
  <c r="A828" i="5"/>
  <c r="A827" i="5"/>
  <c r="A826" i="5"/>
  <c r="A823" i="5"/>
  <c r="A822" i="5"/>
  <c r="A820" i="5"/>
  <c r="A819" i="5"/>
  <c r="A818" i="5"/>
  <c r="A817" i="5"/>
  <c r="A816" i="5"/>
  <c r="A815" i="5"/>
  <c r="A814" i="5"/>
  <c r="A811" i="5"/>
  <c r="A810" i="5"/>
  <c r="A809" i="5"/>
  <c r="A808" i="5"/>
  <c r="A806" i="5"/>
  <c r="A805" i="5"/>
  <c r="A804" i="5"/>
  <c r="A803" i="5"/>
  <c r="A802" i="5"/>
  <c r="A799" i="5"/>
  <c r="A798" i="5"/>
  <c r="A797" i="5"/>
  <c r="A796" i="5"/>
  <c r="A795" i="5"/>
  <c r="A794" i="5"/>
  <c r="A792" i="5"/>
  <c r="A791" i="5"/>
  <c r="A790" i="5"/>
  <c r="A787" i="5"/>
  <c r="A786" i="5"/>
  <c r="A785" i="5"/>
  <c r="A784" i="5"/>
  <c r="A783" i="5"/>
  <c r="A782" i="5"/>
  <c r="A781" i="5"/>
  <c r="A780" i="5"/>
  <c r="A778" i="5"/>
  <c r="A775" i="5"/>
  <c r="A774" i="5"/>
  <c r="A773" i="5"/>
  <c r="A772" i="5"/>
  <c r="A771" i="5"/>
  <c r="A770" i="5"/>
  <c r="A769" i="5"/>
  <c r="A768" i="5"/>
  <c r="A767" i="5"/>
  <c r="A766" i="5"/>
  <c r="A762" i="5"/>
  <c r="A761" i="5"/>
  <c r="A760" i="5"/>
  <c r="A759" i="5"/>
  <c r="A758" i="5"/>
  <c r="A757" i="5"/>
  <c r="A756" i="5"/>
  <c r="A755" i="5"/>
  <c r="A754" i="5"/>
  <c r="A751" i="5"/>
  <c r="A750" i="5"/>
  <c r="A748" i="5"/>
  <c r="A747" i="5"/>
  <c r="A746" i="5"/>
  <c r="A745" i="5"/>
  <c r="A744" i="5"/>
  <c r="A743" i="5"/>
  <c r="A742" i="5"/>
  <c r="A739" i="5"/>
  <c r="A738" i="5"/>
  <c r="A737" i="5"/>
  <c r="A736" i="5"/>
  <c r="A734" i="5"/>
  <c r="A733" i="5"/>
  <c r="A732" i="5"/>
  <c r="A731" i="5"/>
  <c r="A730" i="5"/>
  <c r="A727" i="5"/>
  <c r="A726" i="5"/>
  <c r="A725" i="5"/>
  <c r="A724" i="5"/>
  <c r="A723" i="5"/>
  <c r="A722" i="5"/>
  <c r="A720" i="5"/>
  <c r="A719" i="5"/>
  <c r="A718" i="5"/>
  <c r="A715" i="5"/>
  <c r="A714" i="5"/>
  <c r="A713" i="5"/>
  <c r="A712" i="5"/>
  <c r="A711" i="5"/>
  <c r="A710" i="5"/>
  <c r="A709" i="5"/>
  <c r="A708" i="5"/>
  <c r="A706" i="5"/>
  <c r="A703" i="5"/>
  <c r="A702" i="5"/>
  <c r="A701" i="5"/>
  <c r="A700" i="5"/>
  <c r="A699" i="5"/>
  <c r="A698" i="5"/>
  <c r="A697" i="5"/>
  <c r="A696" i="5"/>
  <c r="A695" i="5"/>
  <c r="A694" i="5"/>
  <c r="A690" i="5"/>
  <c r="A689" i="5"/>
  <c r="A688" i="5"/>
  <c r="A687" i="5"/>
  <c r="A686" i="5"/>
  <c r="A685" i="5"/>
  <c r="A684" i="5"/>
  <c r="A683" i="5"/>
  <c r="A682" i="5"/>
  <c r="A679" i="5"/>
  <c r="A678" i="5"/>
  <c r="A676" i="5"/>
  <c r="A675" i="5"/>
  <c r="A674" i="5"/>
  <c r="A673" i="5"/>
  <c r="A672" i="5"/>
  <c r="A671" i="5"/>
  <c r="A670" i="5"/>
  <c r="A667" i="5"/>
  <c r="A666" i="5"/>
  <c r="A665" i="5"/>
  <c r="A664" i="5"/>
  <c r="A662" i="5"/>
  <c r="A661" i="5"/>
  <c r="A660" i="5"/>
  <c r="A659" i="5"/>
  <c r="A658" i="5"/>
  <c r="A655" i="5"/>
  <c r="A654" i="5"/>
  <c r="A653" i="5"/>
  <c r="A652" i="5"/>
  <c r="A651" i="5"/>
  <c r="A650" i="5"/>
  <c r="A648" i="5"/>
  <c r="A647" i="5"/>
  <c r="A646" i="5"/>
  <c r="A643" i="5"/>
  <c r="A642" i="5"/>
  <c r="A641" i="5"/>
  <c r="A640" i="5"/>
  <c r="A639" i="5"/>
  <c r="A638" i="5"/>
  <c r="A637" i="5"/>
  <c r="A636" i="5"/>
  <c r="A634" i="5"/>
  <c r="A631" i="5"/>
  <c r="A630" i="5"/>
  <c r="A629" i="5"/>
  <c r="A628" i="5"/>
  <c r="A627" i="5"/>
  <c r="A626" i="5"/>
  <c r="A625" i="5"/>
  <c r="A624" i="5"/>
  <c r="A623" i="5"/>
  <c r="A622" i="5"/>
  <c r="A618" i="5"/>
  <c r="A617" i="5"/>
  <c r="A616" i="5"/>
  <c r="A615" i="5"/>
  <c r="A614" i="5"/>
  <c r="A613" i="5"/>
  <c r="A612" i="5"/>
  <c r="A611" i="5"/>
  <c r="A610" i="5"/>
  <c r="A607" i="5"/>
  <c r="A606" i="5"/>
  <c r="A604" i="5"/>
  <c r="A603" i="5"/>
  <c r="A602" i="5"/>
  <c r="A601" i="5"/>
  <c r="A600" i="5"/>
  <c r="A599" i="5"/>
  <c r="A598" i="5"/>
  <c r="A595" i="5"/>
  <c r="A594" i="5"/>
  <c r="A593" i="5"/>
  <c r="A592" i="5"/>
  <c r="A590" i="5"/>
  <c r="A589" i="5"/>
  <c r="A588" i="5"/>
  <c r="A587" i="5"/>
  <c r="A586" i="5"/>
  <c r="A583" i="5"/>
  <c r="A582" i="5"/>
  <c r="A581" i="5"/>
  <c r="A580" i="5"/>
  <c r="A579" i="5"/>
  <c r="A578" i="5"/>
  <c r="A576" i="5"/>
  <c r="A575" i="5"/>
  <c r="A574" i="5"/>
  <c r="A571" i="5"/>
  <c r="A570" i="5"/>
  <c r="A569" i="5"/>
  <c r="A568" i="5"/>
  <c r="A567" i="5"/>
  <c r="A566" i="5"/>
  <c r="A565" i="5"/>
  <c r="A564" i="5"/>
  <c r="A562" i="5"/>
  <c r="A559" i="5"/>
  <c r="A558" i="5"/>
  <c r="A557" i="5"/>
  <c r="A556" i="5"/>
  <c r="A555" i="5"/>
  <c r="A554" i="5"/>
  <c r="A553" i="5"/>
  <c r="A552" i="5"/>
  <c r="A551" i="5"/>
  <c r="A550" i="5"/>
  <c r="A546" i="5"/>
  <c r="A545" i="5"/>
  <c r="A544" i="5"/>
  <c r="A543" i="5"/>
  <c r="A542" i="5"/>
  <c r="A541" i="5"/>
  <c r="A540" i="5"/>
  <c r="A539" i="5"/>
  <c r="A538" i="5"/>
  <c r="A535" i="5"/>
  <c r="A534" i="5"/>
  <c r="A532" i="5"/>
  <c r="A531" i="5"/>
  <c r="A530" i="5"/>
  <c r="A529" i="5"/>
  <c r="A528" i="5"/>
  <c r="A527" i="5"/>
  <c r="A526" i="5"/>
  <c r="A523" i="5"/>
  <c r="A522" i="5"/>
  <c r="A521" i="5"/>
  <c r="A520" i="5"/>
  <c r="A518" i="5"/>
  <c r="A517" i="5"/>
  <c r="A516" i="5"/>
  <c r="A515" i="5"/>
  <c r="A514" i="5"/>
  <c r="A511" i="5"/>
  <c r="A510" i="5"/>
  <c r="A509" i="5"/>
  <c r="A508" i="5"/>
  <c r="A507" i="5"/>
  <c r="A506" i="5"/>
  <c r="A504" i="5"/>
  <c r="A503" i="5"/>
  <c r="A502" i="5"/>
  <c r="A499" i="5"/>
  <c r="A498" i="5"/>
  <c r="A497" i="5"/>
  <c r="A496" i="5"/>
  <c r="A495" i="5"/>
  <c r="A494" i="5"/>
  <c r="A493" i="5"/>
  <c r="A492" i="5"/>
  <c r="A490" i="5"/>
  <c r="A487" i="5"/>
  <c r="A486" i="5"/>
  <c r="A485" i="5"/>
  <c r="A484" i="5"/>
  <c r="A483" i="5"/>
  <c r="A482" i="5"/>
  <c r="A481" i="5"/>
  <c r="A480" i="5"/>
  <c r="A479" i="5"/>
  <c r="A478" i="5"/>
  <c r="A474" i="5"/>
  <c r="A473" i="5"/>
  <c r="A472" i="5"/>
  <c r="A471" i="5"/>
  <c r="A470" i="5"/>
  <c r="A469" i="5"/>
  <c r="A468" i="5"/>
  <c r="A467" i="5"/>
  <c r="A466" i="5"/>
  <c r="A463" i="5"/>
  <c r="A462" i="5"/>
  <c r="A460" i="5"/>
  <c r="A459" i="5"/>
  <c r="A458" i="5"/>
  <c r="A457" i="5"/>
  <c r="A456" i="5"/>
  <c r="A455" i="5"/>
  <c r="A454" i="5"/>
  <c r="A451" i="5"/>
  <c r="A450" i="5"/>
  <c r="A449" i="5"/>
  <c r="A448" i="5"/>
  <c r="A446" i="5"/>
  <c r="A445" i="5"/>
  <c r="A444" i="5"/>
  <c r="A443" i="5"/>
  <c r="A442" i="5"/>
  <c r="A439" i="5"/>
  <c r="A438" i="5"/>
  <c r="A437" i="5"/>
  <c r="A436" i="5"/>
  <c r="A435" i="5"/>
  <c r="A434" i="5"/>
  <c r="A432" i="5"/>
  <c r="A431" i="5"/>
  <c r="A430" i="5"/>
  <c r="A427" i="5"/>
  <c r="A426" i="5"/>
  <c r="A425" i="5"/>
  <c r="A424" i="5"/>
  <c r="A423" i="5"/>
  <c r="A422" i="5"/>
  <c r="A421" i="5"/>
  <c r="A420" i="5"/>
  <c r="A418" i="5"/>
  <c r="A415" i="5"/>
  <c r="A414" i="5"/>
  <c r="A413" i="5"/>
  <c r="A412" i="5"/>
  <c r="A411" i="5"/>
  <c r="A410" i="5"/>
  <c r="A409" i="5"/>
  <c r="A408" i="5"/>
  <c r="A407" i="5"/>
  <c r="A406" i="5"/>
  <c r="A402" i="5"/>
  <c r="A401" i="5"/>
  <c r="A400" i="5"/>
  <c r="A399" i="5"/>
  <c r="A398" i="5"/>
  <c r="A397" i="5"/>
  <c r="A396" i="5"/>
  <c r="A395" i="5"/>
  <c r="A394" i="5"/>
  <c r="A391" i="5"/>
  <c r="A390" i="5"/>
  <c r="A388" i="5"/>
  <c r="A387" i="5"/>
  <c r="A386" i="5"/>
  <c r="A385" i="5"/>
  <c r="A384" i="5"/>
  <c r="A383" i="5"/>
  <c r="A382" i="5"/>
  <c r="A379" i="5"/>
  <c r="A378" i="5"/>
  <c r="A377" i="5"/>
  <c r="A376" i="5"/>
  <c r="A374" i="5"/>
  <c r="A373" i="5"/>
  <c r="A372" i="5"/>
  <c r="A371" i="5"/>
  <c r="A370" i="5"/>
  <c r="A367" i="5"/>
  <c r="A366" i="5"/>
  <c r="A365" i="5"/>
  <c r="A364" i="5"/>
  <c r="A363" i="5"/>
  <c r="A362" i="5"/>
  <c r="A360" i="5"/>
  <c r="A359" i="5"/>
  <c r="A358" i="5"/>
  <c r="A355" i="5"/>
  <c r="A354" i="5"/>
  <c r="A353" i="5"/>
  <c r="A352" i="5"/>
  <c r="A351" i="5"/>
  <c r="A350" i="5"/>
  <c r="A349" i="5"/>
  <c r="A348" i="5"/>
  <c r="A346" i="5"/>
  <c r="A343" i="5"/>
  <c r="A342" i="5"/>
  <c r="A341" i="5"/>
  <c r="A340" i="5"/>
  <c r="A339" i="5"/>
  <c r="A338" i="5"/>
  <c r="A337" i="5"/>
  <c r="A336" i="5"/>
  <c r="A335" i="5"/>
  <c r="A334" i="5"/>
  <c r="A330" i="5"/>
  <c r="A329" i="5"/>
  <c r="A328" i="5"/>
  <c r="A327" i="5"/>
  <c r="A326" i="5"/>
  <c r="A325" i="5"/>
  <c r="A324" i="5"/>
  <c r="A323" i="5"/>
  <c r="A322" i="5"/>
  <c r="A319" i="5"/>
  <c r="A318" i="5"/>
  <c r="A316" i="5"/>
  <c r="A315" i="5"/>
  <c r="A314" i="5"/>
  <c r="A313" i="5"/>
  <c r="A312" i="5"/>
  <c r="A311" i="5"/>
  <c r="A310" i="5"/>
  <c r="A307" i="5"/>
  <c r="A306" i="5"/>
  <c r="A305" i="5"/>
  <c r="A304" i="5"/>
  <c r="A302" i="5"/>
  <c r="A301" i="5"/>
  <c r="A300" i="5"/>
  <c r="A299" i="5"/>
  <c r="A298" i="5"/>
  <c r="A295" i="5"/>
  <c r="A294" i="5"/>
  <c r="A293" i="5"/>
  <c r="A292" i="5"/>
  <c r="A291" i="5"/>
  <c r="A290" i="5"/>
  <c r="A288" i="5"/>
  <c r="A287" i="5"/>
  <c r="A286" i="5"/>
  <c r="A283" i="5"/>
  <c r="A282" i="5"/>
  <c r="A281" i="5"/>
  <c r="A280" i="5"/>
  <c r="A279" i="5"/>
  <c r="A278" i="5"/>
  <c r="A277" i="5"/>
  <c r="A276" i="5"/>
  <c r="A274" i="5"/>
  <c r="A271" i="5"/>
  <c r="A270" i="5"/>
  <c r="A269" i="5"/>
  <c r="A268" i="5"/>
  <c r="A267" i="5"/>
  <c r="A266" i="5"/>
  <c r="A265" i="5"/>
  <c r="A264" i="5"/>
  <c r="A263" i="5"/>
  <c r="A262" i="5"/>
  <c r="A258" i="5"/>
  <c r="A257" i="5"/>
  <c r="A256" i="5"/>
  <c r="A255" i="5"/>
  <c r="A254" i="5"/>
  <c r="A253" i="5"/>
  <c r="A252" i="5"/>
  <c r="A251" i="5"/>
  <c r="A250" i="5"/>
  <c r="A247" i="5"/>
  <c r="A246" i="5"/>
  <c r="A244" i="5"/>
  <c r="A243" i="5"/>
  <c r="A242" i="5"/>
  <c r="A241" i="5"/>
  <c r="A240" i="5"/>
  <c r="A239" i="5"/>
  <c r="A238" i="5"/>
  <c r="A235" i="5"/>
  <c r="A234" i="5"/>
  <c r="A233" i="5"/>
  <c r="A232" i="5"/>
  <c r="A230" i="5"/>
  <c r="A229" i="5"/>
  <c r="A228" i="5"/>
  <c r="A227" i="5"/>
  <c r="A226" i="5"/>
  <c r="A223" i="5"/>
  <c r="A222" i="5"/>
  <c r="A221" i="5"/>
  <c r="A220" i="5"/>
  <c r="A219" i="5"/>
  <c r="A218" i="5"/>
  <c r="A216" i="5"/>
  <c r="A215" i="5"/>
  <c r="A214" i="5"/>
  <c r="A211" i="5"/>
  <c r="A210" i="5"/>
  <c r="A209" i="5"/>
  <c r="A208" i="5"/>
  <c r="A207" i="5"/>
  <c r="A206" i="5"/>
  <c r="A205" i="5"/>
  <c r="A204" i="5"/>
  <c r="A202" i="5"/>
  <c r="A199" i="5"/>
  <c r="A198" i="5"/>
  <c r="A197" i="5"/>
  <c r="A196" i="5"/>
  <c r="A195" i="5"/>
  <c r="A194" i="5"/>
  <c r="A193" i="5"/>
  <c r="A192" i="5"/>
  <c r="A191" i="5"/>
  <c r="A190" i="5"/>
  <c r="A186" i="5"/>
  <c r="A185" i="5"/>
  <c r="A184" i="5"/>
  <c r="A183" i="5"/>
  <c r="A182" i="5"/>
  <c r="A181" i="5"/>
  <c r="A180" i="5"/>
  <c r="A179" i="5"/>
  <c r="A178" i="5"/>
  <c r="A175" i="5"/>
  <c r="A174" i="5"/>
  <c r="A172" i="5"/>
  <c r="A171" i="5"/>
  <c r="A170" i="5"/>
  <c r="A169" i="5"/>
  <c r="A168" i="5"/>
  <c r="A167" i="5"/>
  <c r="A166" i="5"/>
  <c r="A163" i="5"/>
  <c r="A162" i="5"/>
  <c r="A161" i="5"/>
  <c r="A160" i="5"/>
  <c r="A158" i="5"/>
  <c r="A157" i="5"/>
  <c r="A156" i="5"/>
  <c r="A155" i="5"/>
  <c r="A154" i="5"/>
  <c r="A151" i="5"/>
  <c r="A150" i="5"/>
  <c r="A149" i="5"/>
  <c r="A148" i="5"/>
  <c r="A147" i="5"/>
  <c r="A146" i="5"/>
  <c r="A144" i="5"/>
  <c r="A143" i="5"/>
  <c r="A142" i="5"/>
  <c r="A139" i="5"/>
  <c r="A138" i="5"/>
  <c r="A137" i="5"/>
  <c r="A136" i="5"/>
  <c r="A135" i="5"/>
  <c r="A134" i="5"/>
  <c r="A133" i="5"/>
  <c r="A132" i="5"/>
  <c r="A130" i="5"/>
  <c r="A127" i="5"/>
  <c r="A126" i="5"/>
  <c r="A125" i="5"/>
  <c r="A124" i="5"/>
  <c r="A123" i="5"/>
  <c r="A122" i="5"/>
  <c r="A121" i="5"/>
  <c r="A120" i="5"/>
  <c r="A119" i="5"/>
  <c r="A118" i="5"/>
  <c r="A114" i="5"/>
  <c r="A113" i="5"/>
  <c r="A112" i="5"/>
  <c r="A111" i="5"/>
  <c r="A110" i="5"/>
  <c r="A109" i="5"/>
  <c r="A108" i="5"/>
  <c r="A107" i="5"/>
  <c r="A106" i="5"/>
  <c r="A103" i="5"/>
  <c r="A102" i="5"/>
  <c r="A100" i="5"/>
  <c r="A99" i="5"/>
  <c r="A98" i="5"/>
  <c r="A97" i="5"/>
  <c r="A96" i="5"/>
  <c r="A95" i="5"/>
  <c r="A94" i="5"/>
  <c r="A91" i="5"/>
  <c r="A90" i="5"/>
  <c r="A89" i="5"/>
  <c r="A88" i="5"/>
  <c r="A86" i="5"/>
  <c r="A85" i="5"/>
  <c r="A84" i="5"/>
  <c r="A83" i="5"/>
  <c r="A82" i="5"/>
  <c r="A79" i="5"/>
  <c r="A78" i="5"/>
  <c r="A77" i="5"/>
  <c r="A76" i="5"/>
  <c r="A75" i="5"/>
  <c r="A74" i="5"/>
  <c r="A72" i="5"/>
  <c r="A71" i="5"/>
  <c r="A70" i="5"/>
  <c r="A67" i="5"/>
  <c r="A66" i="5"/>
  <c r="A65" i="5"/>
  <c r="A64" i="5"/>
  <c r="A63" i="5"/>
  <c r="A62" i="5"/>
  <c r="A61" i="5"/>
  <c r="A60" i="5"/>
  <c r="A58" i="5"/>
  <c r="A55" i="5"/>
  <c r="A54" i="5"/>
  <c r="A53" i="5"/>
  <c r="A52" i="5"/>
  <c r="A51" i="5"/>
  <c r="A50" i="5"/>
  <c r="A49" i="5"/>
  <c r="A48" i="5"/>
  <c r="A47" i="5"/>
  <c r="A46" i="5"/>
  <c r="A42" i="5"/>
  <c r="A41" i="5"/>
  <c r="A40" i="5"/>
  <c r="A39" i="5"/>
  <c r="A38" i="5"/>
  <c r="A37" i="5"/>
  <c r="A36" i="5"/>
  <c r="A35" i="5"/>
  <c r="A34" i="5"/>
  <c r="A31" i="5"/>
  <c r="A30" i="5"/>
  <c r="A28" i="5"/>
  <c r="A27" i="5"/>
  <c r="A26" i="5"/>
  <c r="A25" i="5"/>
  <c r="A24" i="5"/>
  <c r="A23" i="5"/>
  <c r="A22" i="5"/>
  <c r="A19" i="5"/>
  <c r="A18" i="5"/>
  <c r="A17" i="5"/>
  <c r="A16" i="5"/>
  <c r="A14" i="5"/>
  <c r="A13" i="5"/>
  <c r="A12" i="5"/>
  <c r="A11" i="5"/>
  <c r="A10" i="5"/>
  <c r="A7" i="5"/>
  <c r="A6" i="5"/>
  <c r="A5" i="5"/>
  <c r="A4" i="5"/>
  <c r="A3" i="5"/>
  <c r="A2" i="5"/>
  <c r="A1" i="5" a="1"/>
  <c r="A1" i="5"/>
  <c r="D235" i="4"/>
  <c r="C235" i="4"/>
  <c r="B235" i="4"/>
  <c r="A235" i="4"/>
  <c r="D234" i="4"/>
  <c r="C234" i="4"/>
  <c r="B234" i="4"/>
  <c r="A234" i="4"/>
  <c r="D233" i="4"/>
  <c r="C233" i="4"/>
  <c r="B233" i="4"/>
  <c r="A233" i="4"/>
  <c r="D232" i="4"/>
  <c r="C232" i="4"/>
  <c r="B232" i="4"/>
  <c r="A232" i="4"/>
  <c r="D231" i="4"/>
  <c r="C231" i="4"/>
  <c r="B231" i="4"/>
  <c r="A231" i="4"/>
  <c r="D230" i="4"/>
  <c r="C230" i="4"/>
  <c r="B230" i="4"/>
  <c r="A230" i="4"/>
  <c r="D229" i="4"/>
  <c r="C229" i="4"/>
  <c r="B229" i="4"/>
  <c r="A229" i="4"/>
  <c r="D228" i="4"/>
  <c r="C228" i="4"/>
  <c r="B228" i="4"/>
  <c r="A228" i="4"/>
  <c r="D227" i="4"/>
  <c r="C227" i="4"/>
  <c r="B227" i="4"/>
  <c r="A227" i="4"/>
  <c r="D226" i="4"/>
  <c r="C226" i="4"/>
  <c r="B226" i="4"/>
  <c r="A226" i="4"/>
  <c r="D225" i="4"/>
  <c r="C225" i="4"/>
  <c r="B225" i="4"/>
  <c r="A225" i="4"/>
  <c r="D224" i="4"/>
  <c r="C224" i="4"/>
  <c r="B224" i="4"/>
  <c r="A224" i="4"/>
  <c r="D223" i="4"/>
  <c r="C223" i="4"/>
  <c r="B223" i="4"/>
  <c r="A223" i="4"/>
  <c r="D222" i="4"/>
  <c r="C222" i="4"/>
  <c r="B222" i="4"/>
  <c r="A222" i="4"/>
  <c r="D221" i="4"/>
  <c r="C221" i="4"/>
  <c r="B221" i="4"/>
  <c r="A221" i="4"/>
  <c r="D220" i="4"/>
  <c r="C220" i="4"/>
  <c r="B220" i="4"/>
  <c r="A220" i="4"/>
  <c r="D219" i="4"/>
  <c r="C219" i="4"/>
  <c r="B219" i="4"/>
  <c r="A219" i="4"/>
  <c r="D218" i="4"/>
  <c r="C218" i="4"/>
  <c r="B218" i="4"/>
  <c r="A218" i="4"/>
  <c r="D217" i="4"/>
  <c r="C217" i="4"/>
  <c r="B217" i="4"/>
  <c r="A217" i="4"/>
  <c r="D216" i="4"/>
  <c r="C216" i="4"/>
  <c r="B216" i="4"/>
  <c r="A216" i="4"/>
  <c r="D215" i="4"/>
  <c r="C215" i="4"/>
  <c r="B215" i="4"/>
  <c r="A215" i="4"/>
  <c r="D214" i="4"/>
  <c r="C214" i="4"/>
  <c r="B214" i="4"/>
  <c r="A214" i="4"/>
  <c r="D213" i="4"/>
  <c r="C213" i="4"/>
  <c r="B213" i="4"/>
  <c r="A213" i="4"/>
  <c r="D212" i="4"/>
  <c r="C212" i="4"/>
  <c r="B212" i="4"/>
  <c r="A212" i="4"/>
  <c r="D211" i="4"/>
  <c r="C211" i="4"/>
  <c r="B211" i="4"/>
  <c r="A211" i="4"/>
  <c r="D210" i="4"/>
  <c r="C210" i="4"/>
  <c r="B210" i="4"/>
  <c r="A210" i="4"/>
  <c r="D209" i="4"/>
  <c r="C209" i="4"/>
  <c r="B209" i="4"/>
  <c r="A209" i="4"/>
  <c r="D208" i="4"/>
  <c r="C208" i="4"/>
  <c r="B208" i="4"/>
  <c r="A208" i="4"/>
  <c r="D207" i="4"/>
  <c r="C207" i="4"/>
  <c r="B207" i="4"/>
  <c r="A207" i="4"/>
  <c r="D206" i="4"/>
  <c r="C206" i="4"/>
  <c r="B206" i="4"/>
  <c r="A206" i="4"/>
  <c r="D205" i="4"/>
  <c r="C205" i="4"/>
  <c r="B205" i="4"/>
  <c r="A205" i="4"/>
  <c r="D204" i="4"/>
  <c r="C204" i="4"/>
  <c r="B204" i="4"/>
  <c r="A204" i="4"/>
  <c r="D203" i="4"/>
  <c r="C203" i="4"/>
  <c r="B203" i="4"/>
  <c r="A203" i="4"/>
  <c r="D202" i="4"/>
  <c r="C202" i="4"/>
  <c r="B202" i="4"/>
  <c r="A202" i="4"/>
  <c r="D201" i="4"/>
  <c r="C201" i="4"/>
  <c r="B201" i="4"/>
  <c r="A201" i="4"/>
  <c r="D200" i="4"/>
  <c r="C200" i="4"/>
  <c r="B200" i="4"/>
  <c r="A200" i="4"/>
  <c r="D199" i="4"/>
  <c r="C199" i="4"/>
  <c r="B199" i="4"/>
  <c r="A199" i="4"/>
  <c r="D198" i="4"/>
  <c r="C198" i="4"/>
  <c r="B198" i="4"/>
  <c r="A198" i="4"/>
  <c r="D197" i="4"/>
  <c r="C197" i="4"/>
  <c r="B197" i="4"/>
  <c r="A197" i="4"/>
  <c r="D196" i="4"/>
  <c r="C196" i="4"/>
  <c r="B196" i="4"/>
  <c r="A196" i="4"/>
  <c r="D195" i="4"/>
  <c r="C195" i="4"/>
  <c r="B195" i="4"/>
  <c r="A195" i="4"/>
  <c r="D194" i="4"/>
  <c r="C194" i="4"/>
  <c r="B194" i="4"/>
  <c r="A194" i="4"/>
  <c r="D193" i="4"/>
  <c r="C193" i="4"/>
  <c r="B193" i="4"/>
  <c r="A193" i="4"/>
  <c r="D192" i="4"/>
  <c r="C192" i="4"/>
  <c r="B192" i="4"/>
  <c r="A192" i="4"/>
  <c r="D191" i="4"/>
  <c r="C191" i="4"/>
  <c r="B191" i="4"/>
  <c r="A191" i="4"/>
  <c r="D190" i="4"/>
  <c r="C190" i="4"/>
  <c r="B190" i="4"/>
  <c r="A190" i="4"/>
  <c r="D189" i="4"/>
  <c r="C189" i="4"/>
  <c r="B189" i="4"/>
  <c r="A189" i="4"/>
  <c r="D188" i="4"/>
  <c r="C188" i="4"/>
  <c r="B188" i="4"/>
  <c r="A188" i="4"/>
  <c r="D187" i="4"/>
  <c r="C187" i="4"/>
  <c r="B187" i="4"/>
  <c r="A187" i="4"/>
  <c r="D186" i="4"/>
  <c r="C186" i="4"/>
  <c r="B186" i="4"/>
  <c r="A186" i="4"/>
  <c r="D185" i="4"/>
  <c r="C185" i="4"/>
  <c r="B185" i="4"/>
  <c r="A185" i="4"/>
  <c r="D184" i="4"/>
  <c r="C184" i="4"/>
  <c r="B184" i="4"/>
  <c r="A184" i="4"/>
  <c r="D183" i="4"/>
  <c r="C183" i="4"/>
  <c r="B183" i="4"/>
  <c r="A183" i="4"/>
  <c r="D182" i="4"/>
  <c r="C182" i="4"/>
  <c r="B182" i="4"/>
  <c r="A182" i="4"/>
  <c r="D181" i="4"/>
  <c r="C181" i="4"/>
  <c r="B181" i="4"/>
  <c r="A181" i="4"/>
  <c r="D180" i="4"/>
  <c r="C180" i="4"/>
  <c r="B180" i="4"/>
  <c r="A180" i="4"/>
  <c r="D179" i="4"/>
  <c r="C179" i="4"/>
  <c r="B179" i="4"/>
  <c r="A179" i="4"/>
  <c r="D178" i="4"/>
  <c r="C178" i="4"/>
  <c r="B178" i="4"/>
  <c r="A178" i="4"/>
  <c r="D177" i="4"/>
  <c r="C177" i="4"/>
  <c r="B177" i="4"/>
  <c r="A177" i="4"/>
  <c r="D176" i="4"/>
  <c r="C176" i="4"/>
  <c r="B176" i="4"/>
  <c r="A176" i="4"/>
  <c r="D175" i="4"/>
  <c r="C175" i="4"/>
  <c r="B175" i="4"/>
  <c r="A175" i="4"/>
  <c r="D174" i="4"/>
  <c r="C174" i="4"/>
  <c r="B174" i="4"/>
  <c r="A174" i="4"/>
  <c r="D173" i="4"/>
  <c r="C173" i="4"/>
  <c r="B173" i="4"/>
  <c r="A173" i="4"/>
  <c r="D172" i="4"/>
  <c r="C172" i="4"/>
  <c r="B172" i="4"/>
  <c r="A172" i="4"/>
  <c r="D171" i="4"/>
  <c r="C171" i="4"/>
  <c r="B171" i="4"/>
  <c r="A171" i="4"/>
  <c r="D170" i="4"/>
  <c r="C170" i="4"/>
  <c r="B170" i="4"/>
  <c r="A170" i="4"/>
  <c r="D169" i="4"/>
  <c r="C169" i="4"/>
  <c r="B169" i="4"/>
  <c r="A169" i="4"/>
  <c r="D168" i="4"/>
  <c r="C168" i="4"/>
  <c r="B168" i="4"/>
  <c r="A168" i="4"/>
  <c r="D167" i="4"/>
  <c r="C167" i="4"/>
  <c r="B167" i="4"/>
  <c r="A167" i="4"/>
  <c r="D166" i="4"/>
  <c r="C166" i="4"/>
  <c r="B166" i="4"/>
  <c r="A166" i="4"/>
  <c r="D165" i="4"/>
  <c r="C165" i="4"/>
  <c r="B165" i="4"/>
  <c r="A165" i="4"/>
  <c r="D164" i="4"/>
  <c r="C164" i="4"/>
  <c r="B164" i="4"/>
  <c r="A164" i="4"/>
  <c r="D163" i="4"/>
  <c r="C163" i="4"/>
  <c r="B163" i="4"/>
  <c r="A163" i="4"/>
  <c r="D162" i="4"/>
  <c r="C162" i="4"/>
  <c r="B162" i="4"/>
  <c r="A162" i="4"/>
  <c r="D161" i="4"/>
  <c r="C161" i="4"/>
  <c r="B161" i="4"/>
  <c r="A161" i="4"/>
  <c r="D160" i="4"/>
  <c r="C160" i="4"/>
  <c r="B160" i="4"/>
  <c r="A160" i="4"/>
  <c r="D159" i="4"/>
  <c r="C159" i="4"/>
  <c r="B159" i="4"/>
  <c r="A159" i="4"/>
  <c r="D158" i="4"/>
  <c r="C158" i="4"/>
  <c r="B158" i="4"/>
  <c r="A158" i="4"/>
  <c r="D157" i="4"/>
  <c r="C157" i="4"/>
  <c r="B157" i="4"/>
  <c r="A157" i="4"/>
  <c r="D156" i="4"/>
  <c r="C156" i="4"/>
  <c r="B156" i="4"/>
  <c r="A156" i="4"/>
  <c r="D155" i="4"/>
  <c r="C155" i="4"/>
  <c r="B155" i="4"/>
  <c r="A155" i="4"/>
  <c r="D154" i="4"/>
  <c r="C154" i="4"/>
  <c r="B154" i="4"/>
  <c r="A154" i="4"/>
  <c r="D153" i="4"/>
  <c r="C153" i="4"/>
  <c r="B153" i="4"/>
  <c r="A153" i="4"/>
  <c r="D152" i="4"/>
  <c r="C152" i="4"/>
  <c r="B152" i="4"/>
  <c r="A152" i="4"/>
  <c r="D151" i="4"/>
  <c r="C151" i="4"/>
  <c r="B151" i="4"/>
  <c r="A151" i="4"/>
  <c r="D150" i="4"/>
  <c r="C150" i="4"/>
  <c r="B150" i="4"/>
  <c r="A150" i="4"/>
  <c r="D149" i="4"/>
  <c r="C149" i="4"/>
  <c r="B149" i="4"/>
  <c r="A149" i="4"/>
  <c r="D148" i="4"/>
  <c r="C148" i="4"/>
  <c r="B148" i="4"/>
  <c r="A148" i="4"/>
  <c r="D147" i="4"/>
  <c r="C147" i="4"/>
  <c r="B147" i="4"/>
  <c r="A147" i="4"/>
  <c r="D146" i="4"/>
  <c r="C146" i="4"/>
  <c r="B146" i="4"/>
  <c r="A146" i="4"/>
  <c r="D145" i="4"/>
  <c r="C145" i="4"/>
  <c r="B145" i="4"/>
  <c r="A145" i="4"/>
  <c r="D144" i="4"/>
  <c r="C144" i="4"/>
  <c r="B144" i="4"/>
  <c r="A144" i="4"/>
  <c r="D143" i="4"/>
  <c r="C143" i="4"/>
  <c r="B143" i="4"/>
  <c r="A143" i="4"/>
  <c r="D142" i="4"/>
  <c r="C142" i="4"/>
  <c r="B142" i="4"/>
  <c r="A142" i="4"/>
  <c r="D141" i="4"/>
  <c r="C141" i="4"/>
  <c r="B141" i="4"/>
  <c r="A141" i="4"/>
  <c r="D140" i="4"/>
  <c r="C140" i="4"/>
  <c r="B140" i="4"/>
  <c r="A140" i="4"/>
  <c r="D139" i="4"/>
  <c r="C139" i="4"/>
  <c r="B139" i="4"/>
  <c r="A139" i="4"/>
  <c r="D138" i="4"/>
  <c r="C138" i="4"/>
  <c r="B138" i="4"/>
  <c r="A138" i="4"/>
  <c r="D137" i="4"/>
  <c r="C137" i="4"/>
  <c r="B137" i="4"/>
  <c r="A137" i="4"/>
  <c r="D136" i="4"/>
  <c r="C136" i="4"/>
  <c r="B136" i="4"/>
  <c r="A136" i="4"/>
  <c r="D135" i="4"/>
  <c r="C135" i="4"/>
  <c r="B135" i="4"/>
  <c r="A135" i="4"/>
  <c r="D134" i="4"/>
  <c r="C134" i="4"/>
  <c r="B134" i="4"/>
  <c r="A134" i="4"/>
  <c r="D133" i="4"/>
  <c r="C133" i="4"/>
  <c r="B133" i="4"/>
  <c r="A133" i="4"/>
  <c r="D132" i="4"/>
  <c r="C132" i="4"/>
  <c r="B132" i="4"/>
  <c r="A132" i="4"/>
  <c r="D131" i="4"/>
  <c r="C131" i="4"/>
  <c r="B131" i="4"/>
  <c r="A131" i="4"/>
  <c r="D130" i="4"/>
  <c r="C130" i="4"/>
  <c r="B130" i="4"/>
  <c r="A130" i="4"/>
  <c r="D129" i="4"/>
  <c r="C129" i="4"/>
  <c r="B129" i="4"/>
  <c r="A129" i="4"/>
  <c r="D128" i="4"/>
  <c r="C128" i="4"/>
  <c r="B128" i="4"/>
  <c r="A128" i="4"/>
  <c r="D127" i="4"/>
  <c r="C127" i="4"/>
  <c r="B127" i="4"/>
  <c r="A127" i="4"/>
  <c r="D126" i="4"/>
  <c r="C126" i="4"/>
  <c r="B126" i="4"/>
  <c r="A126" i="4"/>
  <c r="D125" i="4"/>
  <c r="C125" i="4"/>
  <c r="B125" i="4"/>
  <c r="A125" i="4"/>
  <c r="D124" i="4"/>
  <c r="C124" i="4"/>
  <c r="B124" i="4"/>
  <c r="A124" i="4"/>
  <c r="D123" i="4"/>
  <c r="C123" i="4"/>
  <c r="B123" i="4"/>
  <c r="A123" i="4"/>
  <c r="D122" i="4"/>
  <c r="C122" i="4"/>
  <c r="B122" i="4"/>
  <c r="A122" i="4"/>
  <c r="D121" i="4"/>
  <c r="C121" i="4"/>
  <c r="B121" i="4"/>
  <c r="A121" i="4"/>
  <c r="D120" i="4"/>
  <c r="C120" i="4"/>
  <c r="B120" i="4"/>
  <c r="A120" i="4"/>
  <c r="D119" i="4"/>
  <c r="C119" i="4"/>
  <c r="B119" i="4"/>
  <c r="A119" i="4"/>
  <c r="D118" i="4"/>
  <c r="C118" i="4"/>
  <c r="B118" i="4"/>
  <c r="A118" i="4"/>
  <c r="D117" i="4"/>
  <c r="C117" i="4"/>
  <c r="B117" i="4"/>
  <c r="A117" i="4"/>
  <c r="D116" i="4"/>
  <c r="C116" i="4"/>
  <c r="B116" i="4"/>
  <c r="A116" i="4"/>
  <c r="D115" i="4"/>
  <c r="C115" i="4"/>
  <c r="B115" i="4"/>
  <c r="A115" i="4"/>
  <c r="D114" i="4"/>
  <c r="C114" i="4"/>
  <c r="B114" i="4"/>
  <c r="A114" i="4"/>
  <c r="D113" i="4"/>
  <c r="C113" i="4"/>
  <c r="B113" i="4"/>
  <c r="A113" i="4"/>
  <c r="D112" i="4"/>
  <c r="C112" i="4"/>
  <c r="B112" i="4"/>
  <c r="A112" i="4"/>
  <c r="D111" i="4"/>
  <c r="C111" i="4"/>
  <c r="B111" i="4"/>
  <c r="A111" i="4"/>
  <c r="D110" i="4"/>
  <c r="C110" i="4"/>
  <c r="B110" i="4"/>
  <c r="A110" i="4"/>
  <c r="D109" i="4"/>
  <c r="C109" i="4"/>
  <c r="B109" i="4"/>
  <c r="A109" i="4"/>
  <c r="D108" i="4"/>
  <c r="C108" i="4"/>
  <c r="B108" i="4"/>
  <c r="A108" i="4"/>
  <c r="D107" i="4"/>
  <c r="C107" i="4"/>
  <c r="B107" i="4"/>
  <c r="A107" i="4"/>
  <c r="D106" i="4"/>
  <c r="C106" i="4"/>
  <c r="B106" i="4"/>
  <c r="A106" i="4"/>
  <c r="D105" i="4"/>
  <c r="C105" i="4"/>
  <c r="B105" i="4"/>
  <c r="A105" i="4"/>
  <c r="D104" i="4"/>
  <c r="C104" i="4"/>
  <c r="B104" i="4"/>
  <c r="A104" i="4"/>
  <c r="D103" i="4"/>
  <c r="C103" i="4"/>
  <c r="B103" i="4"/>
  <c r="A103" i="4"/>
  <c r="D102" i="4"/>
  <c r="C102" i="4"/>
  <c r="B102" i="4"/>
  <c r="A102" i="4"/>
  <c r="D101" i="4"/>
  <c r="C101" i="4"/>
  <c r="B101" i="4"/>
  <c r="A101" i="4"/>
  <c r="D100" i="4"/>
  <c r="C100" i="4"/>
  <c r="B100" i="4"/>
  <c r="A100" i="4"/>
  <c r="D99" i="4"/>
  <c r="C99" i="4"/>
  <c r="B99" i="4"/>
  <c r="A99" i="4"/>
  <c r="D98" i="4"/>
  <c r="C98" i="4"/>
  <c r="B98" i="4"/>
  <c r="A98" i="4"/>
  <c r="D97" i="4"/>
  <c r="C97" i="4"/>
  <c r="B97" i="4"/>
  <c r="A97" i="4"/>
  <c r="D96" i="4"/>
  <c r="C96" i="4"/>
  <c r="B96" i="4"/>
  <c r="A96" i="4"/>
  <c r="D95" i="4"/>
  <c r="C95" i="4"/>
  <c r="B95" i="4"/>
  <c r="A95" i="4"/>
  <c r="D94" i="4"/>
  <c r="C94" i="4"/>
  <c r="B94" i="4"/>
  <c r="A94" i="4"/>
  <c r="D93" i="4"/>
  <c r="C93" i="4"/>
  <c r="B93" i="4"/>
  <c r="A93" i="4"/>
  <c r="D92" i="4"/>
  <c r="C92" i="4"/>
  <c r="B92" i="4"/>
  <c r="A92" i="4"/>
  <c r="D91" i="4"/>
  <c r="C91" i="4"/>
  <c r="B91" i="4"/>
  <c r="A91" i="4"/>
  <c r="D90" i="4"/>
  <c r="C90" i="4"/>
  <c r="B90" i="4"/>
  <c r="A90" i="4"/>
  <c r="D89" i="4"/>
  <c r="C89" i="4"/>
  <c r="B89" i="4"/>
  <c r="A89" i="4"/>
  <c r="D88" i="4"/>
  <c r="C88" i="4"/>
  <c r="B88" i="4"/>
  <c r="A88" i="4"/>
  <c r="D87" i="4"/>
  <c r="C87" i="4"/>
  <c r="B87" i="4"/>
  <c r="A87" i="4"/>
  <c r="D86" i="4"/>
  <c r="C86" i="4"/>
  <c r="B86" i="4"/>
  <c r="A86" i="4"/>
  <c r="D85" i="4"/>
  <c r="C85" i="4"/>
  <c r="B85" i="4"/>
  <c r="A85" i="4"/>
  <c r="D84" i="4"/>
  <c r="C84" i="4"/>
  <c r="B84" i="4"/>
  <c r="A84" i="4"/>
  <c r="D83" i="4"/>
  <c r="C83" i="4"/>
  <c r="B83" i="4"/>
  <c r="A83" i="4"/>
  <c r="D82" i="4"/>
  <c r="C82" i="4"/>
  <c r="B82" i="4"/>
  <c r="A82" i="4"/>
  <c r="D81" i="4"/>
  <c r="C81" i="4"/>
  <c r="B81" i="4"/>
  <c r="A81" i="4"/>
  <c r="D80" i="4"/>
  <c r="C80" i="4"/>
  <c r="B80" i="4"/>
  <c r="A80" i="4"/>
  <c r="D79" i="4"/>
  <c r="C79" i="4"/>
  <c r="B79" i="4"/>
  <c r="A79" i="4"/>
  <c r="D78" i="4"/>
  <c r="C78" i="4"/>
  <c r="B78" i="4"/>
  <c r="A78" i="4"/>
  <c r="D77" i="4"/>
  <c r="C77" i="4"/>
  <c r="B77" i="4"/>
  <c r="A77" i="4"/>
  <c r="D76" i="4"/>
  <c r="C76" i="4"/>
  <c r="B76" i="4"/>
  <c r="A76" i="4"/>
  <c r="D75" i="4"/>
  <c r="C75" i="4"/>
  <c r="B75" i="4"/>
  <c r="A75" i="4"/>
  <c r="D74" i="4"/>
  <c r="C74" i="4"/>
  <c r="B74" i="4"/>
  <c r="A74" i="4"/>
  <c r="D73" i="4"/>
  <c r="C73" i="4"/>
  <c r="B73" i="4"/>
  <c r="A73" i="4"/>
  <c r="D72" i="4"/>
  <c r="C72" i="4"/>
  <c r="B72" i="4"/>
  <c r="A72" i="4"/>
  <c r="D71" i="4"/>
  <c r="C71" i="4"/>
  <c r="B71" i="4"/>
  <c r="A71" i="4"/>
  <c r="D70" i="4"/>
  <c r="C70" i="4"/>
  <c r="B70" i="4"/>
  <c r="A70" i="4"/>
  <c r="D69" i="4"/>
  <c r="C69" i="4"/>
  <c r="B69" i="4"/>
  <c r="A69" i="4"/>
  <c r="D68" i="4"/>
  <c r="C68" i="4"/>
  <c r="B68" i="4"/>
  <c r="A68" i="4"/>
  <c r="D67" i="4"/>
  <c r="C67" i="4"/>
  <c r="B67" i="4"/>
  <c r="A67" i="4"/>
  <c r="D66" i="4"/>
  <c r="C66" i="4"/>
  <c r="B66" i="4"/>
  <c r="A66" i="4"/>
  <c r="D65" i="4"/>
  <c r="C65" i="4"/>
  <c r="B65" i="4"/>
  <c r="A65" i="4"/>
  <c r="D64" i="4"/>
  <c r="C64" i="4"/>
  <c r="B64" i="4"/>
  <c r="A64" i="4"/>
  <c r="D63" i="4"/>
  <c r="C63" i="4"/>
  <c r="B63" i="4"/>
  <c r="A63" i="4"/>
  <c r="D62" i="4"/>
  <c r="C62" i="4"/>
  <c r="B62" i="4"/>
  <c r="A62" i="4"/>
  <c r="D61" i="4"/>
  <c r="C61" i="4"/>
  <c r="B61" i="4"/>
  <c r="A61" i="4"/>
  <c r="D60" i="4"/>
  <c r="C60" i="4"/>
  <c r="B60" i="4"/>
  <c r="A60" i="4"/>
  <c r="D59" i="4"/>
  <c r="C59" i="4"/>
  <c r="B59" i="4"/>
  <c r="A59" i="4"/>
  <c r="D58" i="4"/>
  <c r="C58" i="4"/>
  <c r="B58" i="4"/>
  <c r="A58" i="4"/>
  <c r="D57" i="4"/>
  <c r="C57" i="4"/>
  <c r="B57" i="4"/>
  <c r="A57" i="4"/>
  <c r="D56" i="4"/>
  <c r="C56" i="4"/>
  <c r="B56" i="4"/>
  <c r="A56" i="4"/>
  <c r="D55" i="4"/>
  <c r="C55" i="4"/>
  <c r="B55" i="4"/>
  <c r="A55" i="4"/>
  <c r="D54" i="4"/>
  <c r="C54" i="4"/>
  <c r="B54" i="4"/>
  <c r="A54" i="4"/>
  <c r="D53" i="4"/>
  <c r="C53" i="4"/>
  <c r="B53" i="4"/>
  <c r="A53" i="4"/>
  <c r="D52" i="4"/>
  <c r="C52" i="4"/>
  <c r="B52" i="4"/>
  <c r="A52" i="4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C48" i="4"/>
  <c r="B48" i="4"/>
  <c r="A48" i="4"/>
  <c r="D47" i="4"/>
  <c r="C47" i="4"/>
  <c r="B47" i="4"/>
  <c r="A47" i="4"/>
  <c r="D46" i="4"/>
  <c r="C46" i="4"/>
  <c r="B46" i="4"/>
  <c r="A46" i="4"/>
  <c r="D45" i="4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D4" i="4"/>
  <c r="C4" i="4"/>
  <c r="B4" i="4"/>
  <c r="A4" i="4"/>
  <c r="D3" i="4"/>
  <c r="C3" i="4"/>
  <c r="B3" i="4"/>
  <c r="A3" i="4"/>
  <c r="D2" i="4"/>
  <c r="C2" i="4"/>
  <c r="B2" i="4"/>
  <c r="A2" i="4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Q5" i="3"/>
  <c r="C5" i="3"/>
  <c r="Q4" i="3"/>
  <c r="C4" i="3"/>
  <c r="Q3" i="3"/>
  <c r="C3" i="3"/>
  <c r="C2" i="3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Q7" i="2" s="1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R6" i="2" s="1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Q4" i="2" s="1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Q6" i="2"/>
  <c r="H6" i="2"/>
  <c r="H5" i="2"/>
  <c r="H4" i="2"/>
  <c r="Q3" i="2" s="1"/>
  <c r="R3" i="2"/>
  <c r="H3" i="2"/>
  <c r="H2" i="2"/>
  <c r="T3" i="2" l="1"/>
  <c r="S3" i="2"/>
  <c r="S6" i="2"/>
  <c r="Q5" i="2"/>
  <c r="T6" i="2"/>
  <c r="R4" i="2"/>
  <c r="S4" i="2" s="1"/>
  <c r="B989" i="5"/>
  <c r="B977" i="5"/>
  <c r="B965" i="5"/>
  <c r="B953" i="5"/>
  <c r="B941" i="5"/>
  <c r="B929" i="5"/>
  <c r="B917" i="5"/>
  <c r="B905" i="5"/>
  <c r="B893" i="5"/>
  <c r="B881" i="5"/>
  <c r="B869" i="5"/>
  <c r="B857" i="5"/>
  <c r="B845" i="5"/>
  <c r="B833" i="5"/>
  <c r="B821" i="5"/>
  <c r="B809" i="5"/>
  <c r="B797" i="5"/>
  <c r="B785" i="5"/>
  <c r="B773" i="5"/>
  <c r="B761" i="5"/>
  <c r="B749" i="5"/>
  <c r="B737" i="5"/>
  <c r="B725" i="5"/>
  <c r="B713" i="5"/>
  <c r="B701" i="5"/>
  <c r="B689" i="5"/>
  <c r="B677" i="5"/>
  <c r="B665" i="5"/>
  <c r="B653" i="5"/>
  <c r="B641" i="5"/>
  <c r="B629" i="5"/>
  <c r="B617" i="5"/>
  <c r="B605" i="5"/>
  <c r="B593" i="5"/>
  <c r="B581" i="5"/>
  <c r="B569" i="5"/>
  <c r="B557" i="5"/>
  <c r="B545" i="5"/>
  <c r="B533" i="5"/>
  <c r="B521" i="5"/>
  <c r="B509" i="5"/>
  <c r="B497" i="5"/>
  <c r="B485" i="5"/>
  <c r="B473" i="5"/>
  <c r="B461" i="5"/>
  <c r="B449" i="5"/>
  <c r="B437" i="5"/>
  <c r="B425" i="5"/>
  <c r="B413" i="5"/>
  <c r="B401" i="5"/>
  <c r="B389" i="5"/>
  <c r="B377" i="5"/>
  <c r="B365" i="5"/>
  <c r="B353" i="5"/>
  <c r="B999" i="5"/>
  <c r="B987" i="5"/>
  <c r="B975" i="5"/>
  <c r="B963" i="5"/>
  <c r="B951" i="5"/>
  <c r="B939" i="5"/>
  <c r="B927" i="5"/>
  <c r="B915" i="5"/>
  <c r="B903" i="5"/>
  <c r="B891" i="5"/>
  <c r="B879" i="5"/>
  <c r="B867" i="5"/>
  <c r="B855" i="5"/>
  <c r="B843" i="5"/>
  <c r="B831" i="5"/>
  <c r="B819" i="5"/>
  <c r="B807" i="5"/>
  <c r="B998" i="5"/>
  <c r="B984" i="5"/>
  <c r="B970" i="5"/>
  <c r="B956" i="5"/>
  <c r="B942" i="5"/>
  <c r="B926" i="5"/>
  <c r="B912" i="5"/>
  <c r="B898" i="5"/>
  <c r="B884" i="5"/>
  <c r="B870" i="5"/>
  <c r="B854" i="5"/>
  <c r="B840" i="5"/>
  <c r="B826" i="5"/>
  <c r="B812" i="5"/>
  <c r="B798" i="5"/>
  <c r="B784" i="5"/>
  <c r="B771" i="5"/>
  <c r="B758" i="5"/>
  <c r="B745" i="5"/>
  <c r="B732" i="5"/>
  <c r="B719" i="5"/>
  <c r="B706" i="5"/>
  <c r="B693" i="5"/>
  <c r="B680" i="5"/>
  <c r="B667" i="5"/>
  <c r="B654" i="5"/>
  <c r="B640" i="5"/>
  <c r="B627" i="5"/>
  <c r="B614" i="5"/>
  <c r="B601" i="5"/>
  <c r="B588" i="5"/>
  <c r="B575" i="5"/>
  <c r="B562" i="5"/>
  <c r="B549" i="5"/>
  <c r="B536" i="5"/>
  <c r="B523" i="5"/>
  <c r="B510" i="5"/>
  <c r="B496" i="5"/>
  <c r="B483" i="5"/>
  <c r="B470" i="5"/>
  <c r="B457" i="5"/>
  <c r="B444" i="5"/>
  <c r="B431" i="5"/>
  <c r="B418" i="5"/>
  <c r="B405" i="5"/>
  <c r="B392" i="5"/>
  <c r="B379" i="5"/>
  <c r="B366" i="5"/>
  <c r="B352" i="5"/>
  <c r="B340" i="5"/>
  <c r="B328" i="5"/>
  <c r="B316" i="5"/>
  <c r="B304" i="5"/>
  <c r="B292" i="5"/>
  <c r="B280" i="5"/>
  <c r="B268" i="5"/>
  <c r="B256" i="5"/>
  <c r="B244" i="5"/>
  <c r="B232" i="5"/>
  <c r="B220" i="5"/>
  <c r="B208" i="5"/>
  <c r="B196" i="5"/>
  <c r="B184" i="5"/>
  <c r="B172" i="5"/>
  <c r="B160" i="5"/>
  <c r="B148" i="5"/>
  <c r="B136" i="5"/>
  <c r="B124" i="5"/>
  <c r="B112" i="5"/>
  <c r="B100" i="5"/>
  <c r="B88" i="5"/>
  <c r="B76" i="5"/>
  <c r="B64" i="5"/>
  <c r="B52" i="5"/>
  <c r="B40" i="5"/>
  <c r="B28" i="5"/>
  <c r="B16" i="5"/>
  <c r="B4" i="5"/>
  <c r="B997" i="5"/>
  <c r="B983" i="5"/>
  <c r="B969" i="5"/>
  <c r="B955" i="5"/>
  <c r="B940" i="5"/>
  <c r="B925" i="5"/>
  <c r="B911" i="5"/>
  <c r="B897" i="5"/>
  <c r="B883" i="5"/>
  <c r="B868" i="5"/>
  <c r="B853" i="5"/>
  <c r="B839" i="5"/>
  <c r="B825" i="5"/>
  <c r="B811" i="5"/>
  <c r="B796" i="5"/>
  <c r="B783" i="5"/>
  <c r="B770" i="5"/>
  <c r="B757" i="5"/>
  <c r="B744" i="5"/>
  <c r="B731" i="5"/>
  <c r="B718" i="5"/>
  <c r="B705" i="5"/>
  <c r="B692" i="5"/>
  <c r="B679" i="5"/>
  <c r="B666" i="5"/>
  <c r="B652" i="5"/>
  <c r="B639" i="5"/>
  <c r="B626" i="5"/>
  <c r="B613" i="5"/>
  <c r="B600" i="5"/>
  <c r="B587" i="5"/>
  <c r="B574" i="5"/>
  <c r="B561" i="5"/>
  <c r="B548" i="5"/>
  <c r="B535" i="5"/>
  <c r="B522" i="5"/>
  <c r="B508" i="5"/>
  <c r="B495" i="5"/>
  <c r="B482" i="5"/>
  <c r="B469" i="5"/>
  <c r="B456" i="5"/>
  <c r="B443" i="5"/>
  <c r="B430" i="5"/>
  <c r="B417" i="5"/>
  <c r="B404" i="5"/>
  <c r="B391" i="5"/>
  <c r="B378" i="5"/>
  <c r="B364" i="5"/>
  <c r="B351" i="5"/>
  <c r="B339" i="5"/>
  <c r="B327" i="5"/>
  <c r="B315" i="5"/>
  <c r="B303" i="5"/>
  <c r="B291" i="5"/>
  <c r="B279" i="5"/>
  <c r="B267" i="5"/>
  <c r="B255" i="5"/>
  <c r="B243" i="5"/>
  <c r="B231" i="5"/>
  <c r="B219" i="5"/>
  <c r="B207" i="5"/>
  <c r="B195" i="5"/>
  <c r="B183" i="5"/>
  <c r="B171" i="5"/>
  <c r="B159" i="5"/>
  <c r="B147" i="5"/>
  <c r="B135" i="5"/>
  <c r="B123" i="5"/>
  <c r="B111" i="5"/>
  <c r="B99" i="5"/>
  <c r="B87" i="5"/>
  <c r="B75" i="5"/>
  <c r="B63" i="5"/>
  <c r="B51" i="5"/>
  <c r="B39" i="5"/>
  <c r="B27" i="5"/>
  <c r="B15" i="5"/>
  <c r="B3" i="5"/>
  <c r="B988" i="5"/>
  <c r="B973" i="5"/>
  <c r="B959" i="5"/>
  <c r="B945" i="5"/>
  <c r="B931" i="5"/>
  <c r="B916" i="5"/>
  <c r="B901" i="5"/>
  <c r="B887" i="5"/>
  <c r="B873" i="5"/>
  <c r="B859" i="5"/>
  <c r="B844" i="5"/>
  <c r="B829" i="5"/>
  <c r="B815" i="5"/>
  <c r="B801" i="5"/>
  <c r="B788" i="5"/>
  <c r="B775" i="5"/>
  <c r="B762" i="5"/>
  <c r="B748" i="5"/>
  <c r="B735" i="5"/>
  <c r="B722" i="5"/>
  <c r="B709" i="5"/>
  <c r="B696" i="5"/>
  <c r="B683" i="5"/>
  <c r="B670" i="5"/>
  <c r="B657" i="5"/>
  <c r="B644" i="5"/>
  <c r="B631" i="5"/>
  <c r="B618" i="5"/>
  <c r="B604" i="5"/>
  <c r="B591" i="5"/>
  <c r="B578" i="5"/>
  <c r="B565" i="5"/>
  <c r="B552" i="5"/>
  <c r="B1000" i="5"/>
  <c r="B980" i="5"/>
  <c r="B961" i="5"/>
  <c r="B943" i="5"/>
  <c r="B922" i="5"/>
  <c r="B904" i="5"/>
  <c r="B885" i="5"/>
  <c r="B864" i="5"/>
  <c r="B847" i="5"/>
  <c r="B827" i="5"/>
  <c r="B806" i="5"/>
  <c r="B790" i="5"/>
  <c r="B772" i="5"/>
  <c r="B754" i="5"/>
  <c r="B738" i="5"/>
  <c r="B720" i="5"/>
  <c r="B702" i="5"/>
  <c r="B685" i="5"/>
  <c r="B668" i="5"/>
  <c r="B649" i="5"/>
  <c r="B633" i="5"/>
  <c r="B615" i="5"/>
  <c r="B597" i="5"/>
  <c r="B580" i="5"/>
  <c r="B563" i="5"/>
  <c r="B544" i="5"/>
  <c r="B529" i="5"/>
  <c r="B514" i="5"/>
  <c r="B499" i="5"/>
  <c r="B481" i="5"/>
  <c r="B466" i="5"/>
  <c r="B451" i="5"/>
  <c r="B435" i="5"/>
  <c r="B420" i="5"/>
  <c r="B403" i="5"/>
  <c r="B387" i="5"/>
  <c r="B372" i="5"/>
  <c r="B357" i="5"/>
  <c r="B342" i="5"/>
  <c r="B326" i="5"/>
  <c r="B312" i="5"/>
  <c r="B298" i="5"/>
  <c r="B284" i="5"/>
  <c r="B270" i="5"/>
  <c r="B254" i="5"/>
  <c r="B240" i="5"/>
  <c r="B226" i="5"/>
  <c r="B212" i="5"/>
  <c r="B198" i="5"/>
  <c r="B182" i="5"/>
  <c r="B168" i="5"/>
  <c r="B154" i="5"/>
  <c r="B140" i="5"/>
  <c r="B126" i="5"/>
  <c r="B110" i="5"/>
  <c r="B96" i="5"/>
  <c r="B82" i="5"/>
  <c r="B68" i="5"/>
  <c r="B54" i="5"/>
  <c r="B38" i="5"/>
  <c r="B24" i="5"/>
  <c r="B10" i="5"/>
  <c r="B995" i="5"/>
  <c r="B978" i="5"/>
  <c r="B958" i="5"/>
  <c r="B937" i="5"/>
  <c r="B920" i="5"/>
  <c r="B900" i="5"/>
  <c r="B880" i="5"/>
  <c r="B862" i="5"/>
  <c r="B842" i="5"/>
  <c r="B823" i="5"/>
  <c r="B804" i="5"/>
  <c r="B787" i="5"/>
  <c r="B768" i="5"/>
  <c r="B752" i="5"/>
  <c r="B734" i="5"/>
  <c r="B716" i="5"/>
  <c r="B699" i="5"/>
  <c r="B682" i="5"/>
  <c r="B663" i="5"/>
  <c r="B647" i="5"/>
  <c r="B630" i="5"/>
  <c r="B611" i="5"/>
  <c r="B595" i="5"/>
  <c r="B577" i="5"/>
  <c r="B559" i="5"/>
  <c r="B542" i="5"/>
  <c r="B527" i="5"/>
  <c r="B512" i="5"/>
  <c r="B494" i="5"/>
  <c r="B479" i="5"/>
  <c r="B464" i="5"/>
  <c r="B448" i="5"/>
  <c r="B433" i="5"/>
  <c r="B416" i="5"/>
  <c r="B400" i="5"/>
  <c r="B385" i="5"/>
  <c r="B370" i="5"/>
  <c r="B355" i="5"/>
  <c r="B338" i="5"/>
  <c r="B324" i="5"/>
  <c r="B310" i="5"/>
  <c r="B296" i="5"/>
  <c r="B282" i="5"/>
  <c r="B266" i="5"/>
  <c r="B252" i="5"/>
  <c r="B238" i="5"/>
  <c r="B224" i="5"/>
  <c r="B210" i="5"/>
  <c r="B194" i="5"/>
  <c r="B180" i="5"/>
  <c r="B166" i="5"/>
  <c r="B152" i="5"/>
  <c r="B138" i="5"/>
  <c r="B122" i="5"/>
  <c r="B108" i="5"/>
  <c r="B94" i="5"/>
  <c r="B80" i="5"/>
  <c r="B66" i="5"/>
  <c r="B50" i="5"/>
  <c r="B36" i="5"/>
  <c r="B22" i="5"/>
  <c r="B8" i="5"/>
  <c r="B994" i="5"/>
  <c r="B976" i="5"/>
  <c r="B957" i="5"/>
  <c r="B936" i="5"/>
  <c r="B919" i="5"/>
  <c r="B899" i="5"/>
  <c r="B878" i="5"/>
  <c r="B861" i="5"/>
  <c r="B841" i="5"/>
  <c r="B822" i="5"/>
  <c r="B803" i="5"/>
  <c r="B786" i="5"/>
  <c r="B767" i="5"/>
  <c r="B751" i="5"/>
  <c r="B733" i="5"/>
  <c r="B715" i="5"/>
  <c r="B698" i="5"/>
  <c r="B681" i="5"/>
  <c r="B662" i="5"/>
  <c r="B646" i="5"/>
  <c r="B628" i="5"/>
  <c r="B610" i="5"/>
  <c r="B594" i="5"/>
  <c r="B576" i="5"/>
  <c r="B558" i="5"/>
  <c r="B541" i="5"/>
  <c r="B526" i="5"/>
  <c r="B511" i="5"/>
  <c r="B493" i="5"/>
  <c r="B478" i="5"/>
  <c r="B463" i="5"/>
  <c r="B447" i="5"/>
  <c r="B432" i="5"/>
  <c r="B415" i="5"/>
  <c r="B399" i="5"/>
  <c r="B384" i="5"/>
  <c r="B369" i="5"/>
  <c r="B354" i="5"/>
  <c r="B337" i="5"/>
  <c r="B323" i="5"/>
  <c r="B309" i="5"/>
  <c r="B295" i="5"/>
  <c r="B281" i="5"/>
  <c r="B265" i="5"/>
  <c r="B251" i="5"/>
  <c r="B237" i="5"/>
  <c r="B223" i="5"/>
  <c r="B209" i="5"/>
  <c r="B193" i="5"/>
  <c r="B179" i="5"/>
  <c r="B165" i="5"/>
  <c r="B151" i="5"/>
  <c r="B137" i="5"/>
  <c r="B121" i="5"/>
  <c r="B107" i="5"/>
  <c r="B93" i="5"/>
  <c r="B79" i="5"/>
  <c r="B65" i="5"/>
  <c r="B49" i="5"/>
  <c r="B35" i="5"/>
  <c r="B21" i="5"/>
  <c r="B7" i="5"/>
  <c r="B993" i="5"/>
  <c r="B974" i="5"/>
  <c r="B954" i="5"/>
  <c r="B935" i="5"/>
  <c r="B918" i="5"/>
  <c r="B896" i="5"/>
  <c r="B877" i="5"/>
  <c r="B860" i="5"/>
  <c r="B838" i="5"/>
  <c r="B820" i="5"/>
  <c r="B802" i="5"/>
  <c r="B782" i="5"/>
  <c r="B766" i="5"/>
  <c r="B750" i="5"/>
  <c r="B730" i="5"/>
  <c r="B714" i="5"/>
  <c r="B697" i="5"/>
  <c r="B678" i="5"/>
  <c r="B661" i="5"/>
  <c r="B645" i="5"/>
  <c r="B625" i="5"/>
  <c r="B609" i="5"/>
  <c r="B592" i="5"/>
  <c r="B573" i="5"/>
  <c r="B556" i="5"/>
  <c r="B540" i="5"/>
  <c r="B525" i="5"/>
  <c r="B507" i="5"/>
  <c r="B492" i="5"/>
  <c r="B477" i="5"/>
  <c r="B462" i="5"/>
  <c r="B446" i="5"/>
  <c r="B429" i="5"/>
  <c r="B414" i="5"/>
  <c r="B398" i="5"/>
  <c r="B383" i="5"/>
  <c r="B368" i="5"/>
  <c r="B350" i="5"/>
  <c r="B336" i="5"/>
  <c r="B322" i="5"/>
  <c r="B308" i="5"/>
  <c r="B294" i="5"/>
  <c r="B278" i="5"/>
  <c r="B264" i="5"/>
  <c r="B250" i="5"/>
  <c r="B236" i="5"/>
  <c r="B20" i="5"/>
  <c r="B42" i="5"/>
  <c r="B59" i="5"/>
  <c r="B78" i="5"/>
  <c r="B98" i="5"/>
  <c r="B117" i="5"/>
  <c r="B134" i="5"/>
  <c r="B156" i="5"/>
  <c r="B175" i="5"/>
  <c r="B192" i="5"/>
  <c r="B214" i="5"/>
  <c r="B233" i="5"/>
  <c r="B257" i="5"/>
  <c r="B275" i="5"/>
  <c r="B299" i="5"/>
  <c r="B319" i="5"/>
  <c r="B343" i="5"/>
  <c r="B362" i="5"/>
  <c r="B388" i="5"/>
  <c r="B410" i="5"/>
  <c r="B436" i="5"/>
  <c r="B458" i="5"/>
  <c r="B484" i="5"/>
  <c r="B504" i="5"/>
  <c r="B530" i="5"/>
  <c r="B553" i="5"/>
  <c r="B582" i="5"/>
  <c r="B606" i="5"/>
  <c r="B634" i="5"/>
  <c r="B658" i="5"/>
  <c r="B686" i="5"/>
  <c r="B710" i="5"/>
  <c r="B739" i="5"/>
  <c r="B763" i="5"/>
  <c r="B791" i="5"/>
  <c r="B816" i="5"/>
  <c r="B848" i="5"/>
  <c r="B874" i="5"/>
  <c r="B906" i="5"/>
  <c r="B932" i="5"/>
  <c r="B962" i="5"/>
  <c r="B990" i="5"/>
  <c r="C19" i="5"/>
  <c r="C47" i="5"/>
  <c r="C82" i="5"/>
  <c r="C110" i="5"/>
  <c r="C145" i="5"/>
  <c r="C173" i="5"/>
  <c r="C214" i="5"/>
  <c r="C247" i="5"/>
  <c r="C288" i="5"/>
  <c r="C322" i="5"/>
  <c r="C363" i="5"/>
  <c r="C399" i="5"/>
  <c r="C439" i="5"/>
  <c r="C478" i="5"/>
  <c r="C521" i="5"/>
  <c r="C558" i="5"/>
  <c r="C604" i="5"/>
  <c r="C641" i="5"/>
  <c r="C686" i="5"/>
  <c r="C724" i="5"/>
  <c r="C767" i="5"/>
  <c r="C807" i="5"/>
  <c r="C858" i="5"/>
  <c r="C898" i="5"/>
  <c r="C947" i="5"/>
  <c r="C986" i="5"/>
  <c r="B2" i="5"/>
  <c r="B23" i="5"/>
  <c r="B43" i="5"/>
  <c r="B60" i="5"/>
  <c r="B81" i="5"/>
  <c r="B101" i="5"/>
  <c r="B118" i="5"/>
  <c r="B139" i="5"/>
  <c r="B157" i="5"/>
  <c r="B176" i="5"/>
  <c r="B197" i="5"/>
  <c r="B215" i="5"/>
  <c r="B234" i="5"/>
  <c r="B258" i="5"/>
  <c r="B276" i="5"/>
  <c r="B300" i="5"/>
  <c r="B320" i="5"/>
  <c r="B344" i="5"/>
  <c r="B363" i="5"/>
  <c r="B390" i="5"/>
  <c r="B411" i="5"/>
  <c r="B438" i="5"/>
  <c r="B459" i="5"/>
  <c r="B486" i="5"/>
  <c r="B505" i="5"/>
  <c r="B531" i="5"/>
  <c r="B554" i="5"/>
  <c r="B583" i="5"/>
  <c r="B607" i="5"/>
  <c r="B635" i="5"/>
  <c r="B659" i="5"/>
  <c r="B687" i="5"/>
  <c r="B711" i="5"/>
  <c r="B740" i="5"/>
  <c r="B764" i="5"/>
  <c r="B792" i="5"/>
  <c r="B817" i="5"/>
  <c r="B849" i="5"/>
  <c r="B875" i="5"/>
  <c r="B907" i="5"/>
  <c r="B933" i="5"/>
  <c r="B964" i="5"/>
  <c r="B991" i="5"/>
  <c r="C20" i="5"/>
  <c r="C49" i="5"/>
  <c r="C83" i="5"/>
  <c r="C111" i="5"/>
  <c r="C146" i="5"/>
  <c r="C174" i="5"/>
  <c r="C216" i="5"/>
  <c r="C248" i="5"/>
  <c r="C289" i="5"/>
  <c r="C324" i="5"/>
  <c r="C364" i="5"/>
  <c r="C400" i="5"/>
  <c r="C443" i="5"/>
  <c r="C479" i="5"/>
  <c r="C522" i="5"/>
  <c r="C559" i="5"/>
  <c r="C605" i="5"/>
  <c r="C643" i="5"/>
  <c r="C687" i="5"/>
  <c r="C725" i="5"/>
  <c r="C772" i="5"/>
  <c r="C810" i="5"/>
  <c r="C859" i="5"/>
  <c r="C899" i="5"/>
  <c r="C948" i="5"/>
  <c r="C987" i="5"/>
  <c r="R5" i="2"/>
  <c r="B5" i="5"/>
  <c r="B25" i="5"/>
  <c r="B44" i="5"/>
  <c r="B61" i="5"/>
  <c r="B83" i="5"/>
  <c r="B102" i="5"/>
  <c r="B119" i="5"/>
  <c r="B141" i="5"/>
  <c r="B158" i="5"/>
  <c r="B177" i="5"/>
  <c r="B199" i="5"/>
  <c r="B216" i="5"/>
  <c r="B235" i="5"/>
  <c r="B259" i="5"/>
  <c r="B277" i="5"/>
  <c r="B301" i="5"/>
  <c r="B321" i="5"/>
  <c r="B345" i="5"/>
  <c r="B367" i="5"/>
  <c r="B393" i="5"/>
  <c r="B412" i="5"/>
  <c r="B439" i="5"/>
  <c r="B460" i="5"/>
  <c r="B487" i="5"/>
  <c r="B506" i="5"/>
  <c r="B532" i="5"/>
  <c r="B555" i="5"/>
  <c r="B584" i="5"/>
  <c r="B608" i="5"/>
  <c r="B636" i="5"/>
  <c r="B660" i="5"/>
  <c r="B688" i="5"/>
  <c r="B712" i="5"/>
  <c r="B741" i="5"/>
  <c r="B765" i="5"/>
  <c r="B793" i="5"/>
  <c r="B818" i="5"/>
  <c r="B850" i="5"/>
  <c r="B876" i="5"/>
  <c r="B908" i="5"/>
  <c r="B934" i="5"/>
  <c r="B966" i="5"/>
  <c r="B992" i="5"/>
  <c r="C21" i="5"/>
  <c r="C51" i="5"/>
  <c r="C84" i="5"/>
  <c r="C112" i="5"/>
  <c r="C147" i="5"/>
  <c r="C176" i="5"/>
  <c r="C217" i="5"/>
  <c r="C250" i="5"/>
  <c r="C290" i="5"/>
  <c r="C326" i="5"/>
  <c r="C366" i="5"/>
  <c r="C401" i="5"/>
  <c r="C444" i="5"/>
  <c r="C480" i="5"/>
  <c r="C527" i="5"/>
  <c r="C563" i="5"/>
  <c r="C606" i="5"/>
  <c r="C647" i="5"/>
  <c r="C688" i="5"/>
  <c r="C727" i="5"/>
  <c r="C773" i="5"/>
  <c r="C811" i="5"/>
  <c r="C860" i="5"/>
  <c r="C900" i="5"/>
  <c r="C949" i="5"/>
  <c r="C991" i="5"/>
  <c r="B6" i="5"/>
  <c r="B26" i="5"/>
  <c r="B45" i="5"/>
  <c r="B62" i="5"/>
  <c r="B84" i="5"/>
  <c r="B103" i="5"/>
  <c r="B120" i="5"/>
  <c r="B142" i="5"/>
  <c r="B161" i="5"/>
  <c r="B178" i="5"/>
  <c r="B200" i="5"/>
  <c r="B217" i="5"/>
  <c r="B239" i="5"/>
  <c r="B260" i="5"/>
  <c r="B283" i="5"/>
  <c r="B302" i="5"/>
  <c r="B325" i="5"/>
  <c r="B346" i="5"/>
  <c r="B371" i="5"/>
  <c r="B394" i="5"/>
  <c r="B419" i="5"/>
  <c r="B440" i="5"/>
  <c r="B465" i="5"/>
  <c r="B488" i="5"/>
  <c r="B513" i="5"/>
  <c r="B534" i="5"/>
  <c r="B560" i="5"/>
  <c r="B585" i="5"/>
  <c r="B612" i="5"/>
  <c r="B637" i="5"/>
  <c r="B664" i="5"/>
  <c r="B690" i="5"/>
  <c r="B717" i="5"/>
  <c r="B742" i="5"/>
  <c r="B769" i="5"/>
  <c r="B794" i="5"/>
  <c r="B824" i="5"/>
  <c r="B851" i="5"/>
  <c r="B882" i="5"/>
  <c r="B909" i="5"/>
  <c r="B938" i="5"/>
  <c r="B967" i="5"/>
  <c r="B996" i="5"/>
  <c r="C23" i="5"/>
  <c r="C56" i="5"/>
  <c r="C85" i="5"/>
  <c r="C119" i="5"/>
  <c r="C148" i="5"/>
  <c r="C183" i="5"/>
  <c r="C218" i="5"/>
  <c r="C257" i="5"/>
  <c r="C292" i="5"/>
  <c r="C331" i="5"/>
  <c r="C368" i="5"/>
  <c r="C406" i="5"/>
  <c r="C445" i="5"/>
  <c r="C490" i="5"/>
  <c r="C528" i="5"/>
  <c r="C570" i="5"/>
  <c r="C607" i="5"/>
  <c r="C651" i="5"/>
  <c r="C690" i="5"/>
  <c r="C734" i="5"/>
  <c r="C774" i="5"/>
  <c r="C819" i="5"/>
  <c r="C861" i="5"/>
  <c r="C909" i="5"/>
  <c r="C950" i="5"/>
  <c r="B9" i="5"/>
  <c r="B29" i="5"/>
  <c r="B46" i="5"/>
  <c r="B67" i="5"/>
  <c r="B85" i="5"/>
  <c r="B104" i="5"/>
  <c r="B125" i="5"/>
  <c r="B143" i="5"/>
  <c r="B162" i="5"/>
  <c r="B181" i="5"/>
  <c r="B201" i="5"/>
  <c r="B218" i="5"/>
  <c r="B241" i="5"/>
  <c r="B261" i="5"/>
  <c r="B285" i="5"/>
  <c r="B305" i="5"/>
  <c r="B329" i="5"/>
  <c r="B347" i="5"/>
  <c r="B373" i="5"/>
  <c r="B395" i="5"/>
  <c r="B421" i="5"/>
  <c r="B441" i="5"/>
  <c r="B467" i="5"/>
  <c r="B489" i="5"/>
  <c r="B515" i="5"/>
  <c r="B537" i="5"/>
  <c r="B564" i="5"/>
  <c r="B586" i="5"/>
  <c r="B616" i="5"/>
  <c r="B638" i="5"/>
  <c r="B669" i="5"/>
  <c r="B691" i="5"/>
  <c r="B721" i="5"/>
  <c r="B743" i="5"/>
  <c r="B774" i="5"/>
  <c r="B795" i="5"/>
  <c r="B828" i="5"/>
  <c r="B852" i="5"/>
  <c r="B886" i="5"/>
  <c r="B910" i="5"/>
  <c r="B944" i="5"/>
  <c r="B968" i="5"/>
  <c r="C1000" i="5"/>
  <c r="C988" i="5"/>
  <c r="C976" i="5"/>
  <c r="C964" i="5"/>
  <c r="C952" i="5"/>
  <c r="C940" i="5"/>
  <c r="C928" i="5"/>
  <c r="C916" i="5"/>
  <c r="C904" i="5"/>
  <c r="C892" i="5"/>
  <c r="C880" i="5"/>
  <c r="C868" i="5"/>
  <c r="C856" i="5"/>
  <c r="C844" i="5"/>
  <c r="C832" i="5"/>
  <c r="C820" i="5"/>
  <c r="C808" i="5"/>
  <c r="C796" i="5"/>
  <c r="C998" i="5"/>
  <c r="C985" i="5"/>
  <c r="C972" i="5"/>
  <c r="C959" i="5"/>
  <c r="C946" i="5"/>
  <c r="C933" i="5"/>
  <c r="C920" i="5"/>
  <c r="C907" i="5"/>
  <c r="C894" i="5"/>
  <c r="C881" i="5"/>
  <c r="C867" i="5"/>
  <c r="C854" i="5"/>
  <c r="C841" i="5"/>
  <c r="C828" i="5"/>
  <c r="C815" i="5"/>
  <c r="C802" i="5"/>
  <c r="C789" i="5"/>
  <c r="C777" i="5"/>
  <c r="C765" i="5"/>
  <c r="C753" i="5"/>
  <c r="C741" i="5"/>
  <c r="C729" i="5"/>
  <c r="C717" i="5"/>
  <c r="C705" i="5"/>
  <c r="C693" i="5"/>
  <c r="C681" i="5"/>
  <c r="C669" i="5"/>
  <c r="C657" i="5"/>
  <c r="C645" i="5"/>
  <c r="C633" i="5"/>
  <c r="C621" i="5"/>
  <c r="C609" i="5"/>
  <c r="C597" i="5"/>
  <c r="C585" i="5"/>
  <c r="C573" i="5"/>
  <c r="C561" i="5"/>
  <c r="C549" i="5"/>
  <c r="C537" i="5"/>
  <c r="C525" i="5"/>
  <c r="C513" i="5"/>
  <c r="C501" i="5"/>
  <c r="C489" i="5"/>
  <c r="C477" i="5"/>
  <c r="C465" i="5"/>
  <c r="C453" i="5"/>
  <c r="C441" i="5"/>
  <c r="C429" i="5"/>
  <c r="C417" i="5"/>
  <c r="C405" i="5"/>
  <c r="C393" i="5"/>
  <c r="C381" i="5"/>
  <c r="C369" i="5"/>
  <c r="C357" i="5"/>
  <c r="C345" i="5"/>
  <c r="C333" i="5"/>
  <c r="C321" i="5"/>
  <c r="C309" i="5"/>
  <c r="C297" i="5"/>
  <c r="C285" i="5"/>
  <c r="C273" i="5"/>
  <c r="C261" i="5"/>
  <c r="C249" i="5"/>
  <c r="C237" i="5"/>
  <c r="C225" i="5"/>
  <c r="C213" i="5"/>
  <c r="C201" i="5"/>
  <c r="C189" i="5"/>
  <c r="C177" i="5"/>
  <c r="C997" i="5"/>
  <c r="C984" i="5"/>
  <c r="C971" i="5"/>
  <c r="C958" i="5"/>
  <c r="C945" i="5"/>
  <c r="C932" i="5"/>
  <c r="C919" i="5"/>
  <c r="C906" i="5"/>
  <c r="C893" i="5"/>
  <c r="C879" i="5"/>
  <c r="C866" i="5"/>
  <c r="C853" i="5"/>
  <c r="C840" i="5"/>
  <c r="C827" i="5"/>
  <c r="C814" i="5"/>
  <c r="C801" i="5"/>
  <c r="C788" i="5"/>
  <c r="C776" i="5"/>
  <c r="C764" i="5"/>
  <c r="C752" i="5"/>
  <c r="C740" i="5"/>
  <c r="C728" i="5"/>
  <c r="C716" i="5"/>
  <c r="C704" i="5"/>
  <c r="C692" i="5"/>
  <c r="C680" i="5"/>
  <c r="C668" i="5"/>
  <c r="C656" i="5"/>
  <c r="C644" i="5"/>
  <c r="C632" i="5"/>
  <c r="C620" i="5"/>
  <c r="C608" i="5"/>
  <c r="C596" i="5"/>
  <c r="C584" i="5"/>
  <c r="C572" i="5"/>
  <c r="C560" i="5"/>
  <c r="C548" i="5"/>
  <c r="C536" i="5"/>
  <c r="C524" i="5"/>
  <c r="C512" i="5"/>
  <c r="C500" i="5"/>
  <c r="C488" i="5"/>
  <c r="C476" i="5"/>
  <c r="C464" i="5"/>
  <c r="C452" i="5"/>
  <c r="C440" i="5"/>
  <c r="C428" i="5"/>
  <c r="C989" i="5"/>
  <c r="C973" i="5"/>
  <c r="C956" i="5"/>
  <c r="C941" i="5"/>
  <c r="C925" i="5"/>
  <c r="C910" i="5"/>
  <c r="C895" i="5"/>
  <c r="C877" i="5"/>
  <c r="C862" i="5"/>
  <c r="C847" i="5"/>
  <c r="C831" i="5"/>
  <c r="C816" i="5"/>
  <c r="C799" i="5"/>
  <c r="C784" i="5"/>
  <c r="C770" i="5"/>
  <c r="C756" i="5"/>
  <c r="C742" i="5"/>
  <c r="C726" i="5"/>
  <c r="C712" i="5"/>
  <c r="C698" i="5"/>
  <c r="C684" i="5"/>
  <c r="C670" i="5"/>
  <c r="C654" i="5"/>
  <c r="C640" i="5"/>
  <c r="C626" i="5"/>
  <c r="C612" i="5"/>
  <c r="C598" i="5"/>
  <c r="C582" i="5"/>
  <c r="C568" i="5"/>
  <c r="C554" i="5"/>
  <c r="C540" i="5"/>
  <c r="C526" i="5"/>
  <c r="C510" i="5"/>
  <c r="C496" i="5"/>
  <c r="C482" i="5"/>
  <c r="C468" i="5"/>
  <c r="C454" i="5"/>
  <c r="C438" i="5"/>
  <c r="C424" i="5"/>
  <c r="C411" i="5"/>
  <c r="C398" i="5"/>
  <c r="C385" i="5"/>
  <c r="C372" i="5"/>
  <c r="C359" i="5"/>
  <c r="C346" i="5"/>
  <c r="C332" i="5"/>
  <c r="C319" i="5"/>
  <c r="C306" i="5"/>
  <c r="C293" i="5"/>
  <c r="C280" i="5"/>
  <c r="C267" i="5"/>
  <c r="C254" i="5"/>
  <c r="C241" i="5"/>
  <c r="C228" i="5"/>
  <c r="C215" i="5"/>
  <c r="C202" i="5"/>
  <c r="C188" i="5"/>
  <c r="C175" i="5"/>
  <c r="C163" i="5"/>
  <c r="C151" i="5"/>
  <c r="C139" i="5"/>
  <c r="C127" i="5"/>
  <c r="C115" i="5"/>
  <c r="C103" i="5"/>
  <c r="C91" i="5"/>
  <c r="C79" i="5"/>
  <c r="C67" i="5"/>
  <c r="C55" i="5"/>
  <c r="C43" i="5"/>
  <c r="C31" i="5"/>
  <c r="C992" i="5"/>
  <c r="C975" i="5"/>
  <c r="C957" i="5"/>
  <c r="C939" i="5"/>
  <c r="C923" i="5"/>
  <c r="C905" i="5"/>
  <c r="C888" i="5"/>
  <c r="C872" i="5"/>
  <c r="C855" i="5"/>
  <c r="C837" i="5"/>
  <c r="C821" i="5"/>
  <c r="C804" i="5"/>
  <c r="C786" i="5"/>
  <c r="C771" i="5"/>
  <c r="C755" i="5"/>
  <c r="C738" i="5"/>
  <c r="C723" i="5"/>
  <c r="C708" i="5"/>
  <c r="C691" i="5"/>
  <c r="C676" i="5"/>
  <c r="C661" i="5"/>
  <c r="C646" i="5"/>
  <c r="C629" i="5"/>
  <c r="C614" i="5"/>
  <c r="C599" i="5"/>
  <c r="C581" i="5"/>
  <c r="C566" i="5"/>
  <c r="C551" i="5"/>
  <c r="C534" i="5"/>
  <c r="C519" i="5"/>
  <c r="C504" i="5"/>
  <c r="C487" i="5"/>
  <c r="C472" i="5"/>
  <c r="C457" i="5"/>
  <c r="C442" i="5"/>
  <c r="C425" i="5"/>
  <c r="C410" i="5"/>
  <c r="C396" i="5"/>
  <c r="C382" i="5"/>
  <c r="C367" i="5"/>
  <c r="C353" i="5"/>
  <c r="C339" i="5"/>
  <c r="C325" i="5"/>
  <c r="C311" i="5"/>
  <c r="C296" i="5"/>
  <c r="C282" i="5"/>
  <c r="C268" i="5"/>
  <c r="C253" i="5"/>
  <c r="C239" i="5"/>
  <c r="C224" i="5"/>
  <c r="C210" i="5"/>
  <c r="C196" i="5"/>
  <c r="C182" i="5"/>
  <c r="C168" i="5"/>
  <c r="C155" i="5"/>
  <c r="C142" i="5"/>
  <c r="C129" i="5"/>
  <c r="C116" i="5"/>
  <c r="C102" i="5"/>
  <c r="C89" i="5"/>
  <c r="C76" i="5"/>
  <c r="C63" i="5"/>
  <c r="C50" i="5"/>
  <c r="C37" i="5"/>
  <c r="C24" i="5"/>
  <c r="C12" i="5"/>
  <c r="C1" i="5"/>
  <c r="C990" i="5"/>
  <c r="C970" i="5"/>
  <c r="C954" i="5"/>
  <c r="C937" i="5"/>
  <c r="C921" i="5"/>
  <c r="C902" i="5"/>
  <c r="C886" i="5"/>
  <c r="C870" i="5"/>
  <c r="C851" i="5"/>
  <c r="C835" i="5"/>
  <c r="C818" i="5"/>
  <c r="C800" i="5"/>
  <c r="C783" i="5"/>
  <c r="C768" i="5"/>
  <c r="C751" i="5"/>
  <c r="C736" i="5"/>
  <c r="C721" i="5"/>
  <c r="C706" i="5"/>
  <c r="C689" i="5"/>
  <c r="C674" i="5"/>
  <c r="C659" i="5"/>
  <c r="C642" i="5"/>
  <c r="C627" i="5"/>
  <c r="C611" i="5"/>
  <c r="C594" i="5"/>
  <c r="C579" i="5"/>
  <c r="C564" i="5"/>
  <c r="C547" i="5"/>
  <c r="C532" i="5"/>
  <c r="C517" i="5"/>
  <c r="C502" i="5"/>
  <c r="C485" i="5"/>
  <c r="C470" i="5"/>
  <c r="C455" i="5"/>
  <c r="C437" i="5"/>
  <c r="C422" i="5"/>
  <c r="C408" i="5"/>
  <c r="C394" i="5"/>
  <c r="C379" i="5"/>
  <c r="C365" i="5"/>
  <c r="C351" i="5"/>
  <c r="C337" i="5"/>
  <c r="C323" i="5"/>
  <c r="C308" i="5"/>
  <c r="C294" i="5"/>
  <c r="C279" i="5"/>
  <c r="C265" i="5"/>
  <c r="C251" i="5"/>
  <c r="C236" i="5"/>
  <c r="C222" i="5"/>
  <c r="C208" i="5"/>
  <c r="C194" i="5"/>
  <c r="C180" i="5"/>
  <c r="C166" i="5"/>
  <c r="C153" i="5"/>
  <c r="C140" i="5"/>
  <c r="C126" i="5"/>
  <c r="C113" i="5"/>
  <c r="C100" i="5"/>
  <c r="C87" i="5"/>
  <c r="C74" i="5"/>
  <c r="C61" i="5"/>
  <c r="C48" i="5"/>
  <c r="C35" i="5"/>
  <c r="C22" i="5"/>
  <c r="C10" i="5"/>
  <c r="C994" i="5"/>
  <c r="C974" i="5"/>
  <c r="C951" i="5"/>
  <c r="C931" i="5"/>
  <c r="C912" i="5"/>
  <c r="C890" i="5"/>
  <c r="C871" i="5"/>
  <c r="C849" i="5"/>
  <c r="C829" i="5"/>
  <c r="C809" i="5"/>
  <c r="C790" i="5"/>
  <c r="C769" i="5"/>
  <c r="C749" i="5"/>
  <c r="C732" i="5"/>
  <c r="C713" i="5"/>
  <c r="C695" i="5"/>
  <c r="C675" i="5"/>
  <c r="C655" i="5"/>
  <c r="C637" i="5"/>
  <c r="C618" i="5"/>
  <c r="C601" i="5"/>
  <c r="C580" i="5"/>
  <c r="C562" i="5"/>
  <c r="C543" i="5"/>
  <c r="C523" i="5"/>
  <c r="C506" i="5"/>
  <c r="C486" i="5"/>
  <c r="C467" i="5"/>
  <c r="C448" i="5"/>
  <c r="C431" i="5"/>
  <c r="C413" i="5"/>
  <c r="C395" i="5"/>
  <c r="C377" i="5"/>
  <c r="C361" i="5"/>
  <c r="C343" i="5"/>
  <c r="C327" i="5"/>
  <c r="C310" i="5"/>
  <c r="C291" i="5"/>
  <c r="C275" i="5"/>
  <c r="C258" i="5"/>
  <c r="C242" i="5"/>
  <c r="C223" i="5"/>
  <c r="C206" i="5"/>
  <c r="C190" i="5"/>
  <c r="C980" i="5"/>
  <c r="C960" i="5"/>
  <c r="C935" i="5"/>
  <c r="C913" i="5"/>
  <c r="C889" i="5"/>
  <c r="C865" i="5"/>
  <c r="C845" i="5"/>
  <c r="C823" i="5"/>
  <c r="C798" i="5"/>
  <c r="C779" i="5"/>
  <c r="C759" i="5"/>
  <c r="C737" i="5"/>
  <c r="C718" i="5"/>
  <c r="C697" i="5"/>
  <c r="C677" i="5"/>
  <c r="C653" i="5"/>
  <c r="C635" i="5"/>
  <c r="C615" i="5"/>
  <c r="C592" i="5"/>
  <c r="C574" i="5"/>
  <c r="C553" i="5"/>
  <c r="C531" i="5"/>
  <c r="C511" i="5"/>
  <c r="C492" i="5"/>
  <c r="C471" i="5"/>
  <c r="C449" i="5"/>
  <c r="C430" i="5"/>
  <c r="C409" i="5"/>
  <c r="C390" i="5"/>
  <c r="C373" i="5"/>
  <c r="C354" i="5"/>
  <c r="C335" i="5"/>
  <c r="C316" i="5"/>
  <c r="C299" i="5"/>
  <c r="C278" i="5"/>
  <c r="C260" i="5"/>
  <c r="C243" i="5"/>
  <c r="C221" i="5"/>
  <c r="C204" i="5"/>
  <c r="C185" i="5"/>
  <c r="C169" i="5"/>
  <c r="C152" i="5"/>
  <c r="C136" i="5"/>
  <c r="C121" i="5"/>
  <c r="C106" i="5"/>
  <c r="C90" i="5"/>
  <c r="C73" i="5"/>
  <c r="C58" i="5"/>
  <c r="C42" i="5"/>
  <c r="C27" i="5"/>
  <c r="C13" i="5"/>
  <c r="C979" i="5"/>
  <c r="C955" i="5"/>
  <c r="C934" i="5"/>
  <c r="C911" i="5"/>
  <c r="C887" i="5"/>
  <c r="C864" i="5"/>
  <c r="C843" i="5"/>
  <c r="C822" i="5"/>
  <c r="C797" i="5"/>
  <c r="C778" i="5"/>
  <c r="C758" i="5"/>
  <c r="C735" i="5"/>
  <c r="C715" i="5"/>
  <c r="C696" i="5"/>
  <c r="C673" i="5"/>
  <c r="C652" i="5"/>
  <c r="C634" i="5"/>
  <c r="C613" i="5"/>
  <c r="C591" i="5"/>
  <c r="C571" i="5"/>
  <c r="C552" i="5"/>
  <c r="C530" i="5"/>
  <c r="C509" i="5"/>
  <c r="C491" i="5"/>
  <c r="C469" i="5"/>
  <c r="C447" i="5"/>
  <c r="C427" i="5"/>
  <c r="C407" i="5"/>
  <c r="C389" i="5"/>
  <c r="C371" i="5"/>
  <c r="C352" i="5"/>
  <c r="C334" i="5"/>
  <c r="C315" i="5"/>
  <c r="C298" i="5"/>
  <c r="C277" i="5"/>
  <c r="C259" i="5"/>
  <c r="C240" i="5"/>
  <c r="C220" i="5"/>
  <c r="C203" i="5"/>
  <c r="C184" i="5"/>
  <c r="C167" i="5"/>
  <c r="C150" i="5"/>
  <c r="C135" i="5"/>
  <c r="C120" i="5"/>
  <c r="C105" i="5"/>
  <c r="C88" i="5"/>
  <c r="C72" i="5"/>
  <c r="C57" i="5"/>
  <c r="C41" i="5"/>
  <c r="C26" i="5"/>
  <c r="C11" i="5"/>
  <c r="C983" i="5"/>
  <c r="C963" i="5"/>
  <c r="C942" i="5"/>
  <c r="C917" i="5"/>
  <c r="C897" i="5"/>
  <c r="C874" i="5"/>
  <c r="C850" i="5"/>
  <c r="C826" i="5"/>
  <c r="C806" i="5"/>
  <c r="C782" i="5"/>
  <c r="C762" i="5"/>
  <c r="C744" i="5"/>
  <c r="C722" i="5"/>
  <c r="C701" i="5"/>
  <c r="C682" i="5"/>
  <c r="C662" i="5"/>
  <c r="C639" i="5"/>
  <c r="C619" i="5"/>
  <c r="C600" i="5"/>
  <c r="C577" i="5"/>
  <c r="C557" i="5"/>
  <c r="C538" i="5"/>
  <c r="C516" i="5"/>
  <c r="C495" i="5"/>
  <c r="C475" i="5"/>
  <c r="C456" i="5"/>
  <c r="C434" i="5"/>
  <c r="C415" i="5"/>
  <c r="C397" i="5"/>
  <c r="C376" i="5"/>
  <c r="C358" i="5"/>
  <c r="C340" i="5"/>
  <c r="C320" i="5"/>
  <c r="C302" i="5"/>
  <c r="C284" i="5"/>
  <c r="C264" i="5"/>
  <c r="C246" i="5"/>
  <c r="C229" i="5"/>
  <c r="C209" i="5"/>
  <c r="C191" i="5"/>
  <c r="C172" i="5"/>
  <c r="C157" i="5"/>
  <c r="C141" i="5"/>
  <c r="C124" i="5"/>
  <c r="C109" i="5"/>
  <c r="C94" i="5"/>
  <c r="C78" i="5"/>
  <c r="C62" i="5"/>
  <c r="C46" i="5"/>
  <c r="C30" i="5"/>
  <c r="C16" i="5"/>
  <c r="C2" i="5"/>
  <c r="C969" i="5"/>
  <c r="C944" i="5"/>
  <c r="C914" i="5"/>
  <c r="C883" i="5"/>
  <c r="C857" i="5"/>
  <c r="C824" i="5"/>
  <c r="C793" i="5"/>
  <c r="C766" i="5"/>
  <c r="C739" i="5"/>
  <c r="C710" i="5"/>
  <c r="C685" i="5"/>
  <c r="C658" i="5"/>
  <c r="C628" i="5"/>
  <c r="C603" i="5"/>
  <c r="C575" i="5"/>
  <c r="C545" i="5"/>
  <c r="C520" i="5"/>
  <c r="C493" i="5"/>
  <c r="C462" i="5"/>
  <c r="C436" i="5"/>
  <c r="C412" i="5"/>
  <c r="C386" i="5"/>
  <c r="C362" i="5"/>
  <c r="C336" i="5"/>
  <c r="C312" i="5"/>
  <c r="C287" i="5"/>
  <c r="C262" i="5"/>
  <c r="C234" i="5"/>
  <c r="C212" i="5"/>
  <c r="C186" i="5"/>
  <c r="C162" i="5"/>
  <c r="C144" i="5"/>
  <c r="C122" i="5"/>
  <c r="C99" i="5"/>
  <c r="C81" i="5"/>
  <c r="C59" i="5"/>
  <c r="C38" i="5"/>
  <c r="C18" i="5"/>
  <c r="C996" i="5"/>
  <c r="C967" i="5"/>
  <c r="C938" i="5"/>
  <c r="C908" i="5"/>
  <c r="C878" i="5"/>
  <c r="C848" i="5"/>
  <c r="C817" i="5"/>
  <c r="C791" i="5"/>
  <c r="C761" i="5"/>
  <c r="C733" i="5"/>
  <c r="C707" i="5"/>
  <c r="C679" i="5"/>
  <c r="C650" i="5"/>
  <c r="C624" i="5"/>
  <c r="C595" i="5"/>
  <c r="C569" i="5"/>
  <c r="C542" i="5"/>
  <c r="C515" i="5"/>
  <c r="C484" i="5"/>
  <c r="C460" i="5"/>
  <c r="C433" i="5"/>
  <c r="C404" i="5"/>
  <c r="C383" i="5"/>
  <c r="C356" i="5"/>
  <c r="C330" i="5"/>
  <c r="C305" i="5"/>
  <c r="C283" i="5"/>
  <c r="C256" i="5"/>
  <c r="C232" i="5"/>
  <c r="C207" i="5"/>
  <c r="C181" i="5"/>
  <c r="C160" i="5"/>
  <c r="C138" i="5"/>
  <c r="C118" i="5"/>
  <c r="C97" i="5"/>
  <c r="C77" i="5"/>
  <c r="C54" i="5"/>
  <c r="C34" i="5"/>
  <c r="C15" i="5"/>
  <c r="C995" i="5"/>
  <c r="C966" i="5"/>
  <c r="C936" i="5"/>
  <c r="C903" i="5"/>
  <c r="C876" i="5"/>
  <c r="C846" i="5"/>
  <c r="C813" i="5"/>
  <c r="C787" i="5"/>
  <c r="C760" i="5"/>
  <c r="C731" i="5"/>
  <c r="C703" i="5"/>
  <c r="C678" i="5"/>
  <c r="C649" i="5"/>
  <c r="C623" i="5"/>
  <c r="C593" i="5"/>
  <c r="C567" i="5"/>
  <c r="C541" i="5"/>
  <c r="C514" i="5"/>
  <c r="C483" i="5"/>
  <c r="C459" i="5"/>
  <c r="C432" i="5"/>
  <c r="C403" i="5"/>
  <c r="C380" i="5"/>
  <c r="C355" i="5"/>
  <c r="C329" i="5"/>
  <c r="C304" i="5"/>
  <c r="C281" i="5"/>
  <c r="C255" i="5"/>
  <c r="C231" i="5"/>
  <c r="C205" i="5"/>
  <c r="C179" i="5"/>
  <c r="C159" i="5"/>
  <c r="C137" i="5"/>
  <c r="C117" i="5"/>
  <c r="C96" i="5"/>
  <c r="C75" i="5"/>
  <c r="C53" i="5"/>
  <c r="C33" i="5"/>
  <c r="C14" i="5"/>
  <c r="C993" i="5"/>
  <c r="C965" i="5"/>
  <c r="C930" i="5"/>
  <c r="C901" i="5"/>
  <c r="C875" i="5"/>
  <c r="C842" i="5"/>
  <c r="C812" i="5"/>
  <c r="C785" i="5"/>
  <c r="C757" i="5"/>
  <c r="C730" i="5"/>
  <c r="C702" i="5"/>
  <c r="C672" i="5"/>
  <c r="C648" i="5"/>
  <c r="C622" i="5"/>
  <c r="C590" i="5"/>
  <c r="C565" i="5"/>
  <c r="C539" i="5"/>
  <c r="C508" i="5"/>
  <c r="C481" i="5"/>
  <c r="C458" i="5"/>
  <c r="C426" i="5"/>
  <c r="C402" i="5"/>
  <c r="C378" i="5"/>
  <c r="C350" i="5"/>
  <c r="C328" i="5"/>
  <c r="C303" i="5"/>
  <c r="C276" i="5"/>
  <c r="C252" i="5"/>
  <c r="C230" i="5"/>
  <c r="C200" i="5"/>
  <c r="C178" i="5"/>
  <c r="C158" i="5"/>
  <c r="C134" i="5"/>
  <c r="C114" i="5"/>
  <c r="C95" i="5"/>
  <c r="C71" i="5"/>
  <c r="C52" i="5"/>
  <c r="C32" i="5"/>
  <c r="C9" i="5"/>
  <c r="C25" i="5"/>
  <c r="C60" i="5"/>
  <c r="C86" i="5"/>
  <c r="C123" i="5"/>
  <c r="C149" i="5"/>
  <c r="C187" i="5"/>
  <c r="C219" i="5"/>
  <c r="C263" i="5"/>
  <c r="C295" i="5"/>
  <c r="C338" i="5"/>
  <c r="C370" i="5"/>
  <c r="C414" i="5"/>
  <c r="C446" i="5"/>
  <c r="C494" i="5"/>
  <c r="C529" i="5"/>
  <c r="C576" i="5"/>
  <c r="C610" i="5"/>
  <c r="C660" i="5"/>
  <c r="C694" i="5"/>
  <c r="C743" i="5"/>
  <c r="C775" i="5"/>
  <c r="C825" i="5"/>
  <c r="C863" i="5"/>
  <c r="C915" i="5"/>
  <c r="C953" i="5"/>
  <c r="R7" i="2"/>
  <c r="S7" i="2" s="1"/>
  <c r="A993" i="5"/>
  <c r="A981" i="5"/>
  <c r="A969" i="5"/>
  <c r="A957" i="5"/>
  <c r="A945" i="5"/>
  <c r="A933" i="5"/>
  <c r="A921" i="5"/>
  <c r="A909" i="5"/>
  <c r="A897" i="5"/>
  <c r="A885" i="5"/>
  <c r="A873" i="5"/>
  <c r="A861" i="5"/>
  <c r="A849" i="5"/>
  <c r="A837" i="5"/>
  <c r="A825" i="5"/>
  <c r="A813" i="5"/>
  <c r="A801" i="5"/>
  <c r="A789" i="5"/>
  <c r="A777" i="5"/>
  <c r="A765" i="5"/>
  <c r="A753" i="5"/>
  <c r="A741" i="5"/>
  <c r="A729" i="5"/>
  <c r="A717" i="5"/>
  <c r="A705" i="5"/>
  <c r="A693" i="5"/>
  <c r="A681" i="5"/>
  <c r="A669" i="5"/>
  <c r="A657" i="5"/>
  <c r="A645" i="5"/>
  <c r="A633" i="5"/>
  <c r="A621" i="5"/>
  <c r="A609" i="5"/>
  <c r="A597" i="5"/>
  <c r="A585" i="5"/>
  <c r="A573" i="5"/>
  <c r="A561" i="5"/>
  <c r="A549" i="5"/>
  <c r="A537" i="5"/>
  <c r="A525" i="5"/>
  <c r="A513" i="5"/>
  <c r="A501" i="5"/>
  <c r="A489" i="5"/>
  <c r="A477" i="5"/>
  <c r="A465" i="5"/>
  <c r="A453" i="5"/>
  <c r="A441" i="5"/>
  <c r="A429" i="5"/>
  <c r="A417" i="5"/>
  <c r="A405" i="5"/>
  <c r="A393" i="5"/>
  <c r="A381" i="5"/>
  <c r="A369" i="5"/>
  <c r="A357" i="5"/>
  <c r="A345" i="5"/>
  <c r="A333" i="5"/>
  <c r="A321" i="5"/>
  <c r="A309" i="5"/>
  <c r="A297" i="5"/>
  <c r="A285" i="5"/>
  <c r="A273" i="5"/>
  <c r="A261" i="5"/>
  <c r="A249" i="5"/>
  <c r="A237" i="5"/>
  <c r="A225" i="5"/>
  <c r="A213" i="5"/>
  <c r="A201" i="5"/>
  <c r="A189" i="5"/>
  <c r="A177" i="5"/>
  <c r="A165" i="5"/>
  <c r="A153" i="5"/>
  <c r="A141" i="5"/>
  <c r="A129" i="5"/>
  <c r="A117" i="5"/>
  <c r="A105" i="5"/>
  <c r="A93" i="5"/>
  <c r="A81" i="5"/>
  <c r="A69" i="5"/>
  <c r="A57" i="5"/>
  <c r="A45" i="5"/>
  <c r="A33" i="5"/>
  <c r="A21" i="5"/>
  <c r="A9" i="5"/>
  <c r="A992" i="5"/>
  <c r="A980" i="5"/>
  <c r="A968" i="5"/>
  <c r="A956" i="5"/>
  <c r="A944" i="5"/>
  <c r="A932" i="5"/>
  <c r="A920" i="5"/>
  <c r="A908" i="5"/>
  <c r="A896" i="5"/>
  <c r="A884" i="5"/>
  <c r="A872" i="5"/>
  <c r="A860" i="5"/>
  <c r="A848" i="5"/>
  <c r="A836" i="5"/>
  <c r="A824" i="5"/>
  <c r="A812" i="5"/>
  <c r="A800" i="5"/>
  <c r="A788" i="5"/>
  <c r="A776" i="5"/>
  <c r="A764" i="5"/>
  <c r="A752" i="5"/>
  <c r="A740" i="5"/>
  <c r="A728" i="5"/>
  <c r="A716" i="5"/>
  <c r="A704" i="5"/>
  <c r="A692" i="5"/>
  <c r="A680" i="5"/>
  <c r="A668" i="5"/>
  <c r="A656" i="5"/>
  <c r="A644" i="5"/>
  <c r="A632" i="5"/>
  <c r="A620" i="5"/>
  <c r="A608" i="5"/>
  <c r="A596" i="5"/>
  <c r="A584" i="5"/>
  <c r="A572" i="5"/>
  <c r="A560" i="5"/>
  <c r="A548" i="5"/>
  <c r="A536" i="5"/>
  <c r="A524" i="5"/>
  <c r="A512" i="5"/>
  <c r="A500" i="5"/>
  <c r="A488" i="5"/>
  <c r="A476" i="5"/>
  <c r="A464" i="5"/>
  <c r="A452" i="5"/>
  <c r="A440" i="5"/>
  <c r="A428" i="5"/>
  <c r="A416" i="5"/>
  <c r="A404" i="5"/>
  <c r="A392" i="5"/>
  <c r="A380" i="5"/>
  <c r="A368" i="5"/>
  <c r="A356" i="5"/>
  <c r="A344" i="5"/>
  <c r="A332" i="5"/>
  <c r="A320" i="5"/>
  <c r="A308" i="5"/>
  <c r="A296" i="5"/>
  <c r="A284" i="5"/>
  <c r="A272" i="5"/>
  <c r="A260" i="5"/>
  <c r="A248" i="5"/>
  <c r="A236" i="5"/>
  <c r="A224" i="5"/>
  <c r="A212" i="5"/>
  <c r="A200" i="5"/>
  <c r="A188" i="5"/>
  <c r="A176" i="5"/>
  <c r="A164" i="5"/>
  <c r="A152" i="5"/>
  <c r="A140" i="5"/>
  <c r="A128" i="5"/>
  <c r="A116" i="5"/>
  <c r="A104" i="5"/>
  <c r="A92" i="5"/>
  <c r="A80" i="5"/>
  <c r="A68" i="5"/>
  <c r="A56" i="5"/>
  <c r="A44" i="5"/>
  <c r="A32" i="5"/>
  <c r="A20" i="5"/>
  <c r="A8" i="5"/>
  <c r="A15" i="5"/>
  <c r="A29" i="5"/>
  <c r="A43" i="5"/>
  <c r="A59" i="5"/>
  <c r="A73" i="5"/>
  <c r="A87" i="5"/>
  <c r="A101" i="5"/>
  <c r="A115" i="5"/>
  <c r="A131" i="5"/>
  <c r="A145" i="5"/>
  <c r="A159" i="5"/>
  <c r="A173" i="5"/>
  <c r="A187" i="5"/>
  <c r="A203" i="5"/>
  <c r="A217" i="5"/>
  <c r="A231" i="5"/>
  <c r="A245" i="5"/>
  <c r="A259" i="5"/>
  <c r="A275" i="5"/>
  <c r="A289" i="5"/>
  <c r="A303" i="5"/>
  <c r="A317" i="5"/>
  <c r="A331" i="5"/>
  <c r="A347" i="5"/>
  <c r="A361" i="5"/>
  <c r="A375" i="5"/>
  <c r="A389" i="5"/>
  <c r="A403" i="5"/>
  <c r="A419" i="5"/>
  <c r="A433" i="5"/>
  <c r="A447" i="5"/>
  <c r="A461" i="5"/>
  <c r="A475" i="5"/>
  <c r="A491" i="5"/>
  <c r="A505" i="5"/>
  <c r="A519" i="5"/>
  <c r="A533" i="5"/>
  <c r="A547" i="5"/>
  <c r="A563" i="5"/>
  <c r="A577" i="5"/>
  <c r="A591" i="5"/>
  <c r="A605" i="5"/>
  <c r="A619" i="5"/>
  <c r="A635" i="5"/>
  <c r="A649" i="5"/>
  <c r="A663" i="5"/>
  <c r="A677" i="5"/>
  <c r="A691" i="5"/>
  <c r="A707" i="5"/>
  <c r="A721" i="5"/>
  <c r="A735" i="5"/>
  <c r="A749" i="5"/>
  <c r="A763" i="5"/>
  <c r="A779" i="5"/>
  <c r="A793" i="5"/>
  <c r="A807" i="5"/>
  <c r="A821" i="5"/>
  <c r="A835" i="5"/>
  <c r="A851" i="5"/>
  <c r="A865" i="5"/>
  <c r="A879" i="5"/>
  <c r="A893" i="5"/>
  <c r="A907" i="5"/>
  <c r="A923" i="5"/>
  <c r="A937" i="5"/>
  <c r="A951" i="5"/>
  <c r="A965" i="5"/>
  <c r="A979" i="5"/>
  <c r="A995" i="5"/>
  <c r="D996" i="5"/>
  <c r="D997" i="5"/>
  <c r="D984" i="5"/>
  <c r="D972" i="5"/>
  <c r="D960" i="5"/>
  <c r="D948" i="5"/>
  <c r="D936" i="5"/>
  <c r="D924" i="5"/>
  <c r="D912" i="5"/>
  <c r="D900" i="5"/>
  <c r="D991" i="5"/>
  <c r="D978" i="5"/>
  <c r="D965" i="5"/>
  <c r="D952" i="5"/>
  <c r="D939" i="5"/>
  <c r="D926" i="5"/>
  <c r="D913" i="5"/>
  <c r="D899" i="5"/>
  <c r="D887" i="5"/>
  <c r="D875" i="5"/>
  <c r="D863" i="5"/>
  <c r="D851" i="5"/>
  <c r="D839" i="5"/>
  <c r="D827" i="5"/>
  <c r="D815" i="5"/>
  <c r="D803" i="5"/>
  <c r="D791" i="5"/>
  <c r="D779" i="5"/>
  <c r="D767" i="5"/>
  <c r="D755" i="5"/>
  <c r="D743" i="5"/>
  <c r="D731" i="5"/>
  <c r="D719" i="5"/>
  <c r="D707" i="5"/>
  <c r="D695" i="5"/>
  <c r="D683" i="5"/>
  <c r="D671" i="5"/>
  <c r="D659" i="5"/>
  <c r="D647" i="5"/>
  <c r="D635" i="5"/>
  <c r="D623" i="5"/>
  <c r="D611" i="5"/>
  <c r="D599" i="5"/>
  <c r="D587" i="5"/>
  <c r="D575" i="5"/>
  <c r="D563" i="5"/>
  <c r="D551" i="5"/>
  <c r="D539" i="5"/>
  <c r="D527" i="5"/>
  <c r="D515" i="5"/>
  <c r="D503" i="5"/>
  <c r="D491" i="5"/>
  <c r="D479" i="5"/>
  <c r="D467" i="5"/>
  <c r="D455" i="5"/>
  <c r="D443" i="5"/>
  <c r="D431" i="5"/>
  <c r="D419" i="5"/>
  <c r="D407" i="5"/>
  <c r="D395" i="5"/>
  <c r="D383" i="5"/>
  <c r="D371" i="5"/>
  <c r="D359" i="5"/>
  <c r="D347" i="5"/>
  <c r="D335" i="5"/>
  <c r="D323" i="5"/>
  <c r="D311" i="5"/>
  <c r="D299" i="5"/>
  <c r="D287" i="5"/>
  <c r="D275" i="5"/>
  <c r="D263" i="5"/>
  <c r="D251" i="5"/>
  <c r="D239" i="5"/>
  <c r="D227" i="5"/>
  <c r="D215" i="5"/>
  <c r="D203" i="5"/>
  <c r="D191" i="5"/>
  <c r="D179" i="5"/>
  <c r="D167" i="5"/>
  <c r="D155" i="5"/>
  <c r="D143" i="5"/>
  <c r="D131" i="5"/>
  <c r="D119" i="5"/>
  <c r="D107" i="5"/>
  <c r="D95" i="5"/>
  <c r="D83" i="5"/>
  <c r="D71" i="5"/>
  <c r="D59" i="5"/>
  <c r="D47" i="5"/>
  <c r="D35" i="5"/>
  <c r="D23" i="5"/>
  <c r="D11" i="5"/>
  <c r="D990" i="5"/>
  <c r="D976" i="5"/>
  <c r="D962" i="5"/>
  <c r="D947" i="5"/>
  <c r="D933" i="5"/>
  <c r="D919" i="5"/>
  <c r="D905" i="5"/>
  <c r="D891" i="5"/>
  <c r="D878" i="5"/>
  <c r="D865" i="5"/>
  <c r="D852" i="5"/>
  <c r="D838" i="5"/>
  <c r="D825" i="5"/>
  <c r="D812" i="5"/>
  <c r="D799" i="5"/>
  <c r="D786" i="5"/>
  <c r="D773" i="5"/>
  <c r="D760" i="5"/>
  <c r="D747" i="5"/>
  <c r="D734" i="5"/>
  <c r="D721" i="5"/>
  <c r="D708" i="5"/>
  <c r="D694" i="5"/>
  <c r="D681" i="5"/>
  <c r="D668" i="5"/>
  <c r="D655" i="5"/>
  <c r="D642" i="5"/>
  <c r="D629" i="5"/>
  <c r="D616" i="5"/>
  <c r="D603" i="5"/>
  <c r="D590" i="5"/>
  <c r="D577" i="5"/>
  <c r="D564" i="5"/>
  <c r="D550" i="5"/>
  <c r="D537" i="5"/>
  <c r="D524" i="5"/>
  <c r="D511" i="5"/>
  <c r="D498" i="5"/>
  <c r="D485" i="5"/>
  <c r="D472" i="5"/>
  <c r="D459" i="5"/>
  <c r="D446" i="5"/>
  <c r="D433" i="5"/>
  <c r="D420" i="5"/>
  <c r="D406" i="5"/>
  <c r="D393" i="5"/>
  <c r="D989" i="5"/>
  <c r="D975" i="5"/>
  <c r="D961" i="5"/>
  <c r="D946" i="5"/>
  <c r="D932" i="5"/>
  <c r="D918" i="5"/>
  <c r="D904" i="5"/>
  <c r="D890" i="5"/>
  <c r="D877" i="5"/>
  <c r="D864" i="5"/>
  <c r="D850" i="5"/>
  <c r="D837" i="5"/>
  <c r="D824" i="5"/>
  <c r="D811" i="5"/>
  <c r="D798" i="5"/>
  <c r="D785" i="5"/>
  <c r="D772" i="5"/>
  <c r="D759" i="5"/>
  <c r="D746" i="5"/>
  <c r="D733" i="5"/>
  <c r="D720" i="5"/>
  <c r="D995" i="5"/>
  <c r="D979" i="5"/>
  <c r="D959" i="5"/>
  <c r="D943" i="5"/>
  <c r="D927" i="5"/>
  <c r="D909" i="5"/>
  <c r="D893" i="5"/>
  <c r="D876" i="5"/>
  <c r="D860" i="5"/>
  <c r="D845" i="5"/>
  <c r="D830" i="5"/>
  <c r="D814" i="5"/>
  <c r="D797" i="5"/>
  <c r="D782" i="5"/>
  <c r="D766" i="5"/>
  <c r="D751" i="5"/>
  <c r="D736" i="5"/>
  <c r="D718" i="5"/>
  <c r="D704" i="5"/>
  <c r="D690" i="5"/>
  <c r="D676" i="5"/>
  <c r="D662" i="5"/>
  <c r="D648" i="5"/>
  <c r="D633" i="5"/>
  <c r="D619" i="5"/>
  <c r="D605" i="5"/>
  <c r="D591" i="5"/>
  <c r="D576" i="5"/>
  <c r="D561" i="5"/>
  <c r="D547" i="5"/>
  <c r="D533" i="5"/>
  <c r="D519" i="5"/>
  <c r="D505" i="5"/>
  <c r="D490" i="5"/>
  <c r="D476" i="5"/>
  <c r="D462" i="5"/>
  <c r="D448" i="5"/>
  <c r="D434" i="5"/>
  <c r="D418" i="5"/>
  <c r="D404" i="5"/>
  <c r="D390" i="5"/>
  <c r="D377" i="5"/>
  <c r="D364" i="5"/>
  <c r="D351" i="5"/>
  <c r="D338" i="5"/>
  <c r="D325" i="5"/>
  <c r="D312" i="5"/>
  <c r="D298" i="5"/>
  <c r="D285" i="5"/>
  <c r="D272" i="5"/>
  <c r="D259" i="5"/>
  <c r="D246" i="5"/>
  <c r="D233" i="5"/>
  <c r="D220" i="5"/>
  <c r="D207" i="5"/>
  <c r="D194" i="5"/>
  <c r="D181" i="5"/>
  <c r="D168" i="5"/>
  <c r="D154" i="5"/>
  <c r="D141" i="5"/>
  <c r="D128" i="5"/>
  <c r="D115" i="5"/>
  <c r="D102" i="5"/>
  <c r="D89" i="5"/>
  <c r="D76" i="5"/>
  <c r="D63" i="5"/>
  <c r="D50" i="5"/>
  <c r="D37" i="5"/>
  <c r="D24" i="5"/>
  <c r="D10" i="5"/>
  <c r="D994" i="5"/>
  <c r="D977" i="5"/>
  <c r="D958" i="5"/>
  <c r="D942" i="5"/>
  <c r="D925" i="5"/>
  <c r="D908" i="5"/>
  <c r="D892" i="5"/>
  <c r="D874" i="5"/>
  <c r="D859" i="5"/>
  <c r="D844" i="5"/>
  <c r="D829" i="5"/>
  <c r="D813" i="5"/>
  <c r="D796" i="5"/>
  <c r="D781" i="5"/>
  <c r="D765" i="5"/>
  <c r="D750" i="5"/>
  <c r="D735" i="5"/>
  <c r="D717" i="5"/>
  <c r="D703" i="5"/>
  <c r="D689" i="5"/>
  <c r="D675" i="5"/>
  <c r="D661" i="5"/>
  <c r="D646" i="5"/>
  <c r="D632" i="5"/>
  <c r="D618" i="5"/>
  <c r="D604" i="5"/>
  <c r="D589" i="5"/>
  <c r="D574" i="5"/>
  <c r="D560" i="5"/>
  <c r="D546" i="5"/>
  <c r="D532" i="5"/>
  <c r="D518" i="5"/>
  <c r="D504" i="5"/>
  <c r="D489" i="5"/>
  <c r="D475" i="5"/>
  <c r="D461" i="5"/>
  <c r="D447" i="5"/>
  <c r="D432" i="5"/>
  <c r="D417" i="5"/>
  <c r="D403" i="5"/>
  <c r="D389" i="5"/>
  <c r="D376" i="5"/>
  <c r="D363" i="5"/>
  <c r="D350" i="5"/>
  <c r="D337" i="5"/>
  <c r="D324" i="5"/>
  <c r="D310" i="5"/>
  <c r="D297" i="5"/>
  <c r="D284" i="5"/>
  <c r="D271" i="5"/>
  <c r="D258" i="5"/>
  <c r="D245" i="5"/>
  <c r="D232" i="5"/>
  <c r="D219" i="5"/>
  <c r="D206" i="5"/>
  <c r="D193" i="5"/>
  <c r="D180" i="5"/>
  <c r="D166" i="5"/>
  <c r="D153" i="5"/>
  <c r="D140" i="5"/>
  <c r="D127" i="5"/>
  <c r="D114" i="5"/>
  <c r="D101" i="5"/>
  <c r="D88" i="5"/>
  <c r="D75" i="5"/>
  <c r="D62" i="5"/>
  <c r="D49" i="5"/>
  <c r="D36" i="5"/>
  <c r="D22" i="5"/>
  <c r="D9" i="5"/>
  <c r="D998" i="5"/>
  <c r="D973" i="5"/>
  <c r="D954" i="5"/>
  <c r="D934" i="5"/>
  <c r="D914" i="5"/>
  <c r="D894" i="5"/>
  <c r="D872" i="5"/>
  <c r="D855" i="5"/>
  <c r="D835" i="5"/>
  <c r="D818" i="5"/>
  <c r="D800" i="5"/>
  <c r="D778" i="5"/>
  <c r="D761" i="5"/>
  <c r="D741" i="5"/>
  <c r="D724" i="5"/>
  <c r="D705" i="5"/>
  <c r="D687" i="5"/>
  <c r="D670" i="5"/>
  <c r="D653" i="5"/>
  <c r="D637" i="5"/>
  <c r="D620" i="5"/>
  <c r="D601" i="5"/>
  <c r="D584" i="5"/>
  <c r="D568" i="5"/>
  <c r="D552" i="5"/>
  <c r="D534" i="5"/>
  <c r="D516" i="5"/>
  <c r="D499" i="5"/>
  <c r="D482" i="5"/>
  <c r="D465" i="5"/>
  <c r="D449" i="5"/>
  <c r="D429" i="5"/>
  <c r="D413" i="5"/>
  <c r="D397" i="5"/>
  <c r="D380" i="5"/>
  <c r="D365" i="5"/>
  <c r="D348" i="5"/>
  <c r="D332" i="5"/>
  <c r="D317" i="5"/>
  <c r="D302" i="5"/>
  <c r="D286" i="5"/>
  <c r="D269" i="5"/>
  <c r="D254" i="5"/>
  <c r="D238" i="5"/>
  <c r="D223" i="5"/>
  <c r="D208" i="5"/>
  <c r="D190" i="5"/>
  <c r="D175" i="5"/>
  <c r="D160" i="5"/>
  <c r="D145" i="5"/>
  <c r="D129" i="5"/>
  <c r="D112" i="5"/>
  <c r="D97" i="5"/>
  <c r="D81" i="5"/>
  <c r="D66" i="5"/>
  <c r="D51" i="5"/>
  <c r="D33" i="5"/>
  <c r="D18" i="5"/>
  <c r="D3" i="5"/>
  <c r="D992" i="5"/>
  <c r="D970" i="5"/>
  <c r="D951" i="5"/>
  <c r="D930" i="5"/>
  <c r="D910" i="5"/>
  <c r="D888" i="5"/>
  <c r="D870" i="5"/>
  <c r="D853" i="5"/>
  <c r="D833" i="5"/>
  <c r="D816" i="5"/>
  <c r="D794" i="5"/>
  <c r="D776" i="5"/>
  <c r="D757" i="5"/>
  <c r="D739" i="5"/>
  <c r="D722" i="5"/>
  <c r="D701" i="5"/>
  <c r="D685" i="5"/>
  <c r="D667" i="5"/>
  <c r="D651" i="5"/>
  <c r="D634" i="5"/>
  <c r="D615" i="5"/>
  <c r="D598" i="5"/>
  <c r="D582" i="5"/>
  <c r="D566" i="5"/>
  <c r="D548" i="5"/>
  <c r="D530" i="5"/>
  <c r="D513" i="5"/>
  <c r="D496" i="5"/>
  <c r="D480" i="5"/>
  <c r="D463" i="5"/>
  <c r="D444" i="5"/>
  <c r="D427" i="5"/>
  <c r="D411" i="5"/>
  <c r="D394" i="5"/>
  <c r="D378" i="5"/>
  <c r="D361" i="5"/>
  <c r="D345" i="5"/>
  <c r="D330" i="5"/>
  <c r="D315" i="5"/>
  <c r="D300" i="5"/>
  <c r="D282" i="5"/>
  <c r="D983" i="5"/>
  <c r="D957" i="5"/>
  <c r="D935" i="5"/>
  <c r="D907" i="5"/>
  <c r="D884" i="5"/>
  <c r="D862" i="5"/>
  <c r="D841" i="5"/>
  <c r="D819" i="5"/>
  <c r="D793" i="5"/>
  <c r="D771" i="5"/>
  <c r="D749" i="5"/>
  <c r="D727" i="5"/>
  <c r="D706" i="5"/>
  <c r="D684" i="5"/>
  <c r="D664" i="5"/>
  <c r="D643" i="5"/>
  <c r="D624" i="5"/>
  <c r="D602" i="5"/>
  <c r="D581" i="5"/>
  <c r="D559" i="5"/>
  <c r="D541" i="5"/>
  <c r="D521" i="5"/>
  <c r="D500" i="5"/>
  <c r="D478" i="5"/>
  <c r="D457" i="5"/>
  <c r="D438" i="5"/>
  <c r="D416" i="5"/>
  <c r="D398" i="5"/>
  <c r="D375" i="5"/>
  <c r="D357" i="5"/>
  <c r="D340" i="5"/>
  <c r="D320" i="5"/>
  <c r="D303" i="5"/>
  <c r="D281" i="5"/>
  <c r="D265" i="5"/>
  <c r="D248" i="5"/>
  <c r="D230" i="5"/>
  <c r="D213" i="5"/>
  <c r="D197" i="5"/>
  <c r="D178" i="5"/>
  <c r="D162" i="5"/>
  <c r="D146" i="5"/>
  <c r="D126" i="5"/>
  <c r="D110" i="5"/>
  <c r="D93" i="5"/>
  <c r="D77" i="5"/>
  <c r="D58" i="5"/>
  <c r="D42" i="5"/>
  <c r="D26" i="5"/>
  <c r="D7" i="5"/>
  <c r="D981" i="5"/>
  <c r="D955" i="5"/>
  <c r="D929" i="5"/>
  <c r="D903" i="5"/>
  <c r="D882" i="5"/>
  <c r="D858" i="5"/>
  <c r="D836" i="5"/>
  <c r="D810" i="5"/>
  <c r="D790" i="5"/>
  <c r="D769" i="5"/>
  <c r="D745" i="5"/>
  <c r="D725" i="5"/>
  <c r="D700" i="5"/>
  <c r="D680" i="5"/>
  <c r="D660" i="5"/>
  <c r="D640" i="5"/>
  <c r="D621" i="5"/>
  <c r="D597" i="5"/>
  <c r="D579" i="5"/>
  <c r="D557" i="5"/>
  <c r="D538" i="5"/>
  <c r="D517" i="5"/>
  <c r="D495" i="5"/>
  <c r="D474" i="5"/>
  <c r="D454" i="5"/>
  <c r="D436" i="5"/>
  <c r="D414" i="5"/>
  <c r="D392" i="5"/>
  <c r="D373" i="5"/>
  <c r="D355" i="5"/>
  <c r="D336" i="5"/>
  <c r="D318" i="5"/>
  <c r="D296" i="5"/>
  <c r="D279" i="5"/>
  <c r="D262" i="5"/>
  <c r="D244" i="5"/>
  <c r="D228" i="5"/>
  <c r="D211" i="5"/>
  <c r="D195" i="5"/>
  <c r="D176" i="5"/>
  <c r="D159" i="5"/>
  <c r="D142" i="5"/>
  <c r="D124" i="5"/>
  <c r="D108" i="5"/>
  <c r="D91" i="5"/>
  <c r="D73" i="5"/>
  <c r="D56" i="5"/>
  <c r="D40" i="5"/>
  <c r="D21" i="5"/>
  <c r="D5" i="5"/>
  <c r="D974" i="5"/>
  <c r="D950" i="5"/>
  <c r="D923" i="5"/>
  <c r="D901" i="5"/>
  <c r="D880" i="5"/>
  <c r="D856" i="5"/>
  <c r="D982" i="5"/>
  <c r="D945" i="5"/>
  <c r="D916" i="5"/>
  <c r="D883" i="5"/>
  <c r="D849" i="5"/>
  <c r="D823" i="5"/>
  <c r="D801" i="5"/>
  <c r="D770" i="5"/>
  <c r="D742" i="5"/>
  <c r="D714" i="5"/>
  <c r="D692" i="5"/>
  <c r="D666" i="5"/>
  <c r="D641" i="5"/>
  <c r="D614" i="5"/>
  <c r="D593" i="5"/>
  <c r="D569" i="5"/>
  <c r="D543" i="5"/>
  <c r="D520" i="5"/>
  <c r="D493" i="5"/>
  <c r="D469" i="5"/>
  <c r="D442" i="5"/>
  <c r="D422" i="5"/>
  <c r="D396" i="5"/>
  <c r="D370" i="5"/>
  <c r="D349" i="5"/>
  <c r="D327" i="5"/>
  <c r="D305" i="5"/>
  <c r="D280" i="5"/>
  <c r="D260" i="5"/>
  <c r="D240" i="5"/>
  <c r="D218" i="5"/>
  <c r="D199" i="5"/>
  <c r="D177" i="5"/>
  <c r="D157" i="5"/>
  <c r="D136" i="5"/>
  <c r="D117" i="5"/>
  <c r="D96" i="5"/>
  <c r="D74" i="5"/>
  <c r="D54" i="5"/>
  <c r="D32" i="5"/>
  <c r="D14" i="5"/>
  <c r="D25" i="5"/>
  <c r="D45" i="5"/>
  <c r="D68" i="5"/>
  <c r="D90" i="5"/>
  <c r="D113" i="5"/>
  <c r="D135" i="5"/>
  <c r="D158" i="5"/>
  <c r="D183" i="5"/>
  <c r="D202" i="5"/>
  <c r="D225" i="5"/>
  <c r="D249" i="5"/>
  <c r="D270" i="5"/>
  <c r="D293" i="5"/>
  <c r="D319" i="5"/>
  <c r="D343" i="5"/>
  <c r="D368" i="5"/>
  <c r="D391" i="5"/>
  <c r="D423" i="5"/>
  <c r="D450" i="5"/>
  <c r="D473" i="5"/>
  <c r="D502" i="5"/>
  <c r="D528" i="5"/>
  <c r="D555" i="5"/>
  <c r="D583" i="5"/>
  <c r="D609" i="5"/>
  <c r="D636" i="5"/>
  <c r="D663" i="5"/>
  <c r="D691" i="5"/>
  <c r="D715" i="5"/>
  <c r="D748" i="5"/>
  <c r="D777" i="5"/>
  <c r="D806" i="5"/>
  <c r="D834" i="5"/>
  <c r="D868" i="5"/>
  <c r="D898" i="5"/>
  <c r="D938" i="5"/>
  <c r="D969" i="5"/>
  <c r="E968" i="5"/>
  <c r="E1" i="5"/>
  <c r="E26" i="5"/>
  <c r="E54" i="5"/>
  <c r="E78" i="5"/>
  <c r="E109" i="5"/>
  <c r="E135" i="5"/>
  <c r="E158" i="5"/>
  <c r="E186" i="5"/>
  <c r="E213" i="5"/>
  <c r="E243" i="5"/>
  <c r="E267" i="5"/>
  <c r="E296" i="5"/>
  <c r="E322" i="5"/>
  <c r="E345" i="5"/>
  <c r="E377" i="5"/>
  <c r="E402" i="5"/>
  <c r="E431" i="5"/>
  <c r="E455" i="5"/>
  <c r="E483" i="5"/>
  <c r="E512" i="5"/>
  <c r="E540" i="5"/>
  <c r="E564" i="5"/>
  <c r="E589" i="5"/>
  <c r="E617" i="5"/>
  <c r="E646" i="5"/>
  <c r="E672" i="5"/>
  <c r="E698" i="5"/>
  <c r="E726" i="5"/>
  <c r="E750" i="5"/>
  <c r="E782" i="5"/>
  <c r="E808" i="5"/>
  <c r="E834" i="5"/>
  <c r="E858" i="5"/>
  <c r="E885" i="5"/>
  <c r="E916" i="5"/>
  <c r="E942" i="5"/>
  <c r="E1000" i="5"/>
  <c r="E998" i="5"/>
  <c r="E997" i="5"/>
  <c r="E994" i="5"/>
  <c r="E993" i="5"/>
  <c r="E992" i="5"/>
  <c r="E991" i="5"/>
  <c r="E979" i="5"/>
  <c r="E967" i="5"/>
  <c r="E955" i="5"/>
  <c r="E943" i="5"/>
  <c r="E931" i="5"/>
  <c r="E919" i="5"/>
  <c r="E907" i="5"/>
  <c r="E895" i="5"/>
  <c r="E883" i="5"/>
  <c r="E871" i="5"/>
  <c r="E859" i="5"/>
  <c r="E847" i="5"/>
  <c r="E835" i="5"/>
  <c r="E823" i="5"/>
  <c r="E811" i="5"/>
  <c r="E799" i="5"/>
  <c r="E787" i="5"/>
  <c r="E775" i="5"/>
  <c r="E763" i="5"/>
  <c r="E751" i="5"/>
  <c r="E739" i="5"/>
  <c r="E727" i="5"/>
  <c r="E715" i="5"/>
  <c r="E703" i="5"/>
  <c r="E691" i="5"/>
  <c r="E679" i="5"/>
  <c r="E667" i="5"/>
  <c r="E655" i="5"/>
  <c r="E643" i="5"/>
  <c r="E631" i="5"/>
  <c r="E619" i="5"/>
  <c r="E607" i="5"/>
  <c r="E595" i="5"/>
  <c r="E583" i="5"/>
  <c r="E571" i="5"/>
  <c r="E559" i="5"/>
  <c r="E547" i="5"/>
  <c r="E535" i="5"/>
  <c r="E523" i="5"/>
  <c r="E511" i="5"/>
  <c r="E499" i="5"/>
  <c r="E487" i="5"/>
  <c r="E475" i="5"/>
  <c r="E463" i="5"/>
  <c r="E451" i="5"/>
  <c r="E439" i="5"/>
  <c r="E427" i="5"/>
  <c r="E415" i="5"/>
  <c r="E403" i="5"/>
  <c r="E391" i="5"/>
  <c r="E379" i="5"/>
  <c r="E367" i="5"/>
  <c r="E355" i="5"/>
  <c r="E343" i="5"/>
  <c r="E331" i="5"/>
  <c r="E319" i="5"/>
  <c r="E307" i="5"/>
  <c r="E295" i="5"/>
  <c r="E283" i="5"/>
  <c r="E271" i="5"/>
  <c r="E259" i="5"/>
  <c r="E247" i="5"/>
  <c r="E235" i="5"/>
  <c r="E223" i="5"/>
  <c r="E211" i="5"/>
  <c r="E199" i="5"/>
  <c r="E187" i="5"/>
  <c r="E175" i="5"/>
  <c r="E163" i="5"/>
  <c r="E151" i="5"/>
  <c r="E139" i="5"/>
  <c r="E127" i="5"/>
  <c r="E115" i="5"/>
  <c r="E103" i="5"/>
  <c r="E91" i="5"/>
  <c r="E79" i="5"/>
  <c r="E67" i="5"/>
  <c r="E55" i="5"/>
  <c r="E43" i="5"/>
  <c r="E31" i="5"/>
  <c r="E19" i="5"/>
  <c r="E7" i="5"/>
  <c r="E990" i="5"/>
  <c r="E977" i="5"/>
  <c r="E964" i="5"/>
  <c r="E951" i="5"/>
  <c r="E938" i="5"/>
  <c r="E925" i="5"/>
  <c r="E912" i="5"/>
  <c r="E899" i="5"/>
  <c r="E886" i="5"/>
  <c r="E873" i="5"/>
  <c r="E860" i="5"/>
  <c r="E846" i="5"/>
  <c r="E833" i="5"/>
  <c r="E820" i="5"/>
  <c r="E807" i="5"/>
  <c r="E794" i="5"/>
  <c r="E781" i="5"/>
  <c r="E768" i="5"/>
  <c r="E755" i="5"/>
  <c r="E742" i="5"/>
  <c r="E729" i="5"/>
  <c r="E716" i="5"/>
  <c r="E702" i="5"/>
  <c r="E689" i="5"/>
  <c r="E676" i="5"/>
  <c r="E663" i="5"/>
  <c r="E650" i="5"/>
  <c r="E637" i="5"/>
  <c r="E624" i="5"/>
  <c r="E611" i="5"/>
  <c r="E598" i="5"/>
  <c r="E585" i="5"/>
  <c r="E572" i="5"/>
  <c r="E558" i="5"/>
  <c r="E545" i="5"/>
  <c r="E532" i="5"/>
  <c r="E519" i="5"/>
  <c r="E506" i="5"/>
  <c r="E493" i="5"/>
  <c r="E480" i="5"/>
  <c r="E467" i="5"/>
  <c r="E454" i="5"/>
  <c r="E441" i="5"/>
  <c r="E428" i="5"/>
  <c r="E414" i="5"/>
  <c r="E401" i="5"/>
  <c r="E388" i="5"/>
  <c r="E375" i="5"/>
  <c r="E362" i="5"/>
  <c r="E349" i="5"/>
  <c r="E336" i="5"/>
  <c r="E323" i="5"/>
  <c r="E310" i="5"/>
  <c r="E297" i="5"/>
  <c r="E284" i="5"/>
  <c r="E270" i="5"/>
  <c r="E257" i="5"/>
  <c r="E244" i="5"/>
  <c r="E231" i="5"/>
  <c r="E218" i="5"/>
  <c r="E205" i="5"/>
  <c r="E192" i="5"/>
  <c r="E179" i="5"/>
  <c r="E166" i="5"/>
  <c r="E153" i="5"/>
  <c r="E140" i="5"/>
  <c r="E126" i="5"/>
  <c r="E113" i="5"/>
  <c r="E100" i="5"/>
  <c r="E87" i="5"/>
  <c r="E74" i="5"/>
  <c r="E61" i="5"/>
  <c r="E48" i="5"/>
  <c r="E35" i="5"/>
  <c r="E22" i="5"/>
  <c r="E9" i="5"/>
  <c r="E989" i="5"/>
  <c r="E975" i="5"/>
  <c r="E961" i="5"/>
  <c r="E947" i="5"/>
  <c r="E933" i="5"/>
  <c r="E918" i="5"/>
  <c r="E904" i="5"/>
  <c r="E890" i="5"/>
  <c r="E876" i="5"/>
  <c r="E862" i="5"/>
  <c r="E848" i="5"/>
  <c r="E832" i="5"/>
  <c r="E818" i="5"/>
  <c r="E804" i="5"/>
  <c r="E790" i="5"/>
  <c r="E776" i="5"/>
  <c r="E761" i="5"/>
  <c r="E747" i="5"/>
  <c r="E733" i="5"/>
  <c r="E719" i="5"/>
  <c r="E705" i="5"/>
  <c r="E690" i="5"/>
  <c r="E675" i="5"/>
  <c r="E661" i="5"/>
  <c r="E647" i="5"/>
  <c r="E633" i="5"/>
  <c r="E618" i="5"/>
  <c r="E604" i="5"/>
  <c r="E590" i="5"/>
  <c r="E576" i="5"/>
  <c r="E562" i="5"/>
  <c r="E548" i="5"/>
  <c r="E533" i="5"/>
  <c r="E518" i="5"/>
  <c r="E504" i="5"/>
  <c r="E490" i="5"/>
  <c r="E476" i="5"/>
  <c r="E461" i="5"/>
  <c r="E447" i="5"/>
  <c r="E433" i="5"/>
  <c r="E419" i="5"/>
  <c r="E405" i="5"/>
  <c r="E390" i="5"/>
  <c r="E376" i="5"/>
  <c r="E361" i="5"/>
  <c r="E347" i="5"/>
  <c r="E333" i="5"/>
  <c r="E318" i="5"/>
  <c r="E304" i="5"/>
  <c r="E290" i="5"/>
  <c r="E276" i="5"/>
  <c r="E262" i="5"/>
  <c r="E248" i="5"/>
  <c r="E233" i="5"/>
  <c r="E219" i="5"/>
  <c r="E204" i="5"/>
  <c r="E190" i="5"/>
  <c r="E176" i="5"/>
  <c r="E161" i="5"/>
  <c r="E147" i="5"/>
  <c r="E133" i="5"/>
  <c r="E119" i="5"/>
  <c r="E105" i="5"/>
  <c r="E90" i="5"/>
  <c r="E76" i="5"/>
  <c r="E62" i="5"/>
  <c r="E47" i="5"/>
  <c r="E33" i="5"/>
  <c r="E18" i="5"/>
  <c r="E4" i="5"/>
  <c r="E988" i="5"/>
  <c r="E986" i="5"/>
  <c r="E987" i="5"/>
  <c r="E971" i="5"/>
  <c r="E956" i="5"/>
  <c r="E940" i="5"/>
  <c r="E924" i="5"/>
  <c r="E909" i="5"/>
  <c r="E893" i="5"/>
  <c r="E878" i="5"/>
  <c r="E863" i="5"/>
  <c r="E845" i="5"/>
  <c r="E830" i="5"/>
  <c r="E815" i="5"/>
  <c r="E800" i="5"/>
  <c r="E784" i="5"/>
  <c r="E769" i="5"/>
  <c r="E753" i="5"/>
  <c r="E737" i="5"/>
  <c r="E722" i="5"/>
  <c r="E707" i="5"/>
  <c r="E692" i="5"/>
  <c r="E674" i="5"/>
  <c r="E659" i="5"/>
  <c r="E644" i="5"/>
  <c r="E628" i="5"/>
  <c r="E613" i="5"/>
  <c r="E597" i="5"/>
  <c r="E581" i="5"/>
  <c r="E566" i="5"/>
  <c r="E551" i="5"/>
  <c r="E536" i="5"/>
  <c r="E520" i="5"/>
  <c r="E503" i="5"/>
  <c r="E488" i="5"/>
  <c r="E472" i="5"/>
  <c r="E457" i="5"/>
  <c r="E442" i="5"/>
  <c r="E425" i="5"/>
  <c r="E410" i="5"/>
  <c r="E395" i="5"/>
  <c r="E380" i="5"/>
  <c r="E364" i="5"/>
  <c r="E348" i="5"/>
  <c r="E332" i="5"/>
  <c r="E316" i="5"/>
  <c r="E301" i="5"/>
  <c r="E286" i="5"/>
  <c r="E269" i="5"/>
  <c r="E254" i="5"/>
  <c r="E239" i="5"/>
  <c r="E224" i="5"/>
  <c r="E208" i="5"/>
  <c r="E193" i="5"/>
  <c r="E177" i="5"/>
  <c r="E160" i="5"/>
  <c r="E145" i="5"/>
  <c r="E130" i="5"/>
  <c r="E114" i="5"/>
  <c r="E98" i="5"/>
  <c r="E83" i="5"/>
  <c r="E68" i="5"/>
  <c r="E52" i="5"/>
  <c r="E37" i="5"/>
  <c r="E21" i="5"/>
  <c r="E5" i="5"/>
  <c r="E985" i="5"/>
  <c r="E970" i="5"/>
  <c r="E954" i="5"/>
  <c r="E939" i="5"/>
  <c r="E923" i="5"/>
  <c r="E908" i="5"/>
  <c r="E892" i="5"/>
  <c r="E877" i="5"/>
  <c r="E861" i="5"/>
  <c r="E844" i="5"/>
  <c r="E829" i="5"/>
  <c r="E814" i="5"/>
  <c r="E798" i="5"/>
  <c r="E783" i="5"/>
  <c r="E767" i="5"/>
  <c r="E752" i="5"/>
  <c r="E736" i="5"/>
  <c r="E721" i="5"/>
  <c r="E706" i="5"/>
  <c r="E688" i="5"/>
  <c r="E673" i="5"/>
  <c r="E658" i="5"/>
  <c r="E642" i="5"/>
  <c r="E627" i="5"/>
  <c r="E612" i="5"/>
  <c r="E596" i="5"/>
  <c r="E580" i="5"/>
  <c r="E565" i="5"/>
  <c r="E550" i="5"/>
  <c r="E534" i="5"/>
  <c r="E517" i="5"/>
  <c r="E502" i="5"/>
  <c r="E486" i="5"/>
  <c r="E471" i="5"/>
  <c r="E456" i="5"/>
  <c r="E440" i="5"/>
  <c r="E424" i="5"/>
  <c r="E409" i="5"/>
  <c r="E394" i="5"/>
  <c r="E378" i="5"/>
  <c r="E363" i="5"/>
  <c r="E346" i="5"/>
  <c r="E330" i="5"/>
  <c r="E315" i="5"/>
  <c r="E300" i="5"/>
  <c r="E285" i="5"/>
  <c r="E268" i="5"/>
  <c r="E253" i="5"/>
  <c r="E238" i="5"/>
  <c r="E222" i="5"/>
  <c r="E207" i="5"/>
  <c r="E191" i="5"/>
  <c r="E174" i="5"/>
  <c r="E159" i="5"/>
  <c r="E144" i="5"/>
  <c r="E129" i="5"/>
  <c r="E112" i="5"/>
  <c r="E97" i="5"/>
  <c r="E82" i="5"/>
  <c r="E66" i="5"/>
  <c r="E51" i="5"/>
  <c r="E36" i="5"/>
  <c r="E20" i="5"/>
  <c r="E3" i="5"/>
  <c r="E984" i="5"/>
  <c r="E966" i="5"/>
  <c r="E948" i="5"/>
  <c r="E929" i="5"/>
  <c r="E911" i="5"/>
  <c r="E891" i="5"/>
  <c r="E872" i="5"/>
  <c r="E854" i="5"/>
  <c r="E837" i="5"/>
  <c r="E817" i="5"/>
  <c r="E797" i="5"/>
  <c r="E779" i="5"/>
  <c r="E760" i="5"/>
  <c r="E743" i="5"/>
  <c r="E724" i="5"/>
  <c r="E704" i="5"/>
  <c r="E685" i="5"/>
  <c r="E668" i="5"/>
  <c r="E649" i="5"/>
  <c r="E630" i="5"/>
  <c r="E610" i="5"/>
  <c r="E592" i="5"/>
  <c r="E574" i="5"/>
  <c r="E555" i="5"/>
  <c r="E538" i="5"/>
  <c r="E516" i="5"/>
  <c r="E498" i="5"/>
  <c r="E481" i="5"/>
  <c r="E462" i="5"/>
  <c r="E444" i="5"/>
  <c r="E423" i="5"/>
  <c r="E406" i="5"/>
  <c r="E386" i="5"/>
  <c r="E369" i="5"/>
  <c r="E351" i="5"/>
  <c r="E329" i="5"/>
  <c r="E312" i="5"/>
  <c r="E293" i="5"/>
  <c r="E275" i="5"/>
  <c r="E256" i="5"/>
  <c r="E237" i="5"/>
  <c r="E217" i="5"/>
  <c r="E200" i="5"/>
  <c r="E182" i="5"/>
  <c r="E164" i="5"/>
  <c r="E143" i="5"/>
  <c r="E124" i="5"/>
  <c r="E107" i="5"/>
  <c r="E88" i="5"/>
  <c r="E70" i="5"/>
  <c r="E50" i="5"/>
  <c r="E30" i="5"/>
  <c r="E13" i="5"/>
  <c r="E983" i="5"/>
  <c r="E965" i="5"/>
  <c r="E946" i="5"/>
  <c r="E928" i="5"/>
  <c r="E910" i="5"/>
  <c r="E889" i="5"/>
  <c r="E870" i="5"/>
  <c r="E853" i="5"/>
  <c r="E836" i="5"/>
  <c r="E816" i="5"/>
  <c r="E796" i="5"/>
  <c r="E778" i="5"/>
  <c r="E759" i="5"/>
  <c r="E741" i="5"/>
  <c r="E723" i="5"/>
  <c r="E701" i="5"/>
  <c r="E684" i="5"/>
  <c r="E666" i="5"/>
  <c r="E648" i="5"/>
  <c r="E629" i="5"/>
  <c r="E609" i="5"/>
  <c r="E591" i="5"/>
  <c r="E573" i="5"/>
  <c r="E554" i="5"/>
  <c r="E537" i="5"/>
  <c r="E515" i="5"/>
  <c r="E497" i="5"/>
  <c r="E479" i="5"/>
  <c r="E460" i="5"/>
  <c r="E443" i="5"/>
  <c r="E422" i="5"/>
  <c r="E404" i="5"/>
  <c r="E385" i="5"/>
  <c r="E368" i="5"/>
  <c r="E350" i="5"/>
  <c r="E328" i="5"/>
  <c r="E311" i="5"/>
  <c r="E292" i="5"/>
  <c r="E274" i="5"/>
  <c r="E255" i="5"/>
  <c r="E236" i="5"/>
  <c r="E216" i="5"/>
  <c r="E198" i="5"/>
  <c r="E181" i="5"/>
  <c r="E162" i="5"/>
  <c r="E142" i="5"/>
  <c r="E123" i="5"/>
  <c r="E106" i="5"/>
  <c r="E86" i="5"/>
  <c r="E69" i="5"/>
  <c r="E49" i="5"/>
  <c r="E29" i="5"/>
  <c r="E12" i="5"/>
  <c r="E981" i="5"/>
  <c r="E959" i="5"/>
  <c r="E936" i="5"/>
  <c r="E915" i="5"/>
  <c r="E894" i="5"/>
  <c r="E868" i="5"/>
  <c r="E849" i="5"/>
  <c r="E825" i="5"/>
  <c r="E803" i="5"/>
  <c r="E780" i="5"/>
  <c r="E757" i="5"/>
  <c r="E734" i="5"/>
  <c r="E712" i="5"/>
  <c r="E693" i="5"/>
  <c r="E669" i="5"/>
  <c r="E645" i="5"/>
  <c r="E622" i="5"/>
  <c r="E601" i="5"/>
  <c r="E578" i="5"/>
  <c r="E556" i="5"/>
  <c r="E530" i="5"/>
  <c r="E510" i="5"/>
  <c r="E489" i="5"/>
  <c r="E466" i="5"/>
  <c r="E445" i="5"/>
  <c r="E420" i="5"/>
  <c r="E398" i="5"/>
  <c r="E374" i="5"/>
  <c r="E354" i="5"/>
  <c r="E334" i="5"/>
  <c r="E308" i="5"/>
  <c r="E287" i="5"/>
  <c r="E264" i="5"/>
  <c r="E242" i="5"/>
  <c r="E220" i="5"/>
  <c r="E196" i="5"/>
  <c r="E172" i="5"/>
  <c r="E152" i="5"/>
  <c r="E131" i="5"/>
  <c r="E108" i="5"/>
  <c r="E84" i="5"/>
  <c r="E60" i="5"/>
  <c r="E40" i="5"/>
  <c r="E16" i="5"/>
  <c r="E978" i="5"/>
  <c r="E957" i="5"/>
  <c r="E934" i="5"/>
  <c r="E913" i="5"/>
  <c r="E887" i="5"/>
  <c r="E866" i="5"/>
  <c r="E842" i="5"/>
  <c r="E822" i="5"/>
  <c r="E801" i="5"/>
  <c r="E774" i="5"/>
  <c r="E754" i="5"/>
  <c r="E731" i="5"/>
  <c r="E710" i="5"/>
  <c r="E686" i="5"/>
  <c r="E664" i="5"/>
  <c r="E640" i="5"/>
  <c r="E620" i="5"/>
  <c r="E599" i="5"/>
  <c r="E575" i="5"/>
  <c r="E552" i="5"/>
  <c r="E528" i="5"/>
  <c r="E508" i="5"/>
  <c r="E484" i="5"/>
  <c r="E464" i="5"/>
  <c r="E437" i="5"/>
  <c r="E417" i="5"/>
  <c r="E396" i="5"/>
  <c r="E372" i="5"/>
  <c r="E352" i="5"/>
  <c r="E326" i="5"/>
  <c r="E305" i="5"/>
  <c r="E281" i="5"/>
  <c r="E261" i="5"/>
  <c r="E240" i="5"/>
  <c r="E214" i="5"/>
  <c r="E194" i="5"/>
  <c r="E170" i="5"/>
  <c r="E149" i="5"/>
  <c r="E125" i="5"/>
  <c r="E102" i="5"/>
  <c r="E80" i="5"/>
  <c r="E58" i="5"/>
  <c r="E38" i="5"/>
  <c r="E14" i="5"/>
  <c r="E976" i="5"/>
  <c r="E27" i="5"/>
  <c r="E56" i="5"/>
  <c r="E81" i="5"/>
  <c r="E110" i="5"/>
  <c r="E136" i="5"/>
  <c r="E165" i="5"/>
  <c r="E188" i="5"/>
  <c r="E215" i="5"/>
  <c r="E245" i="5"/>
  <c r="E272" i="5"/>
  <c r="E298" i="5"/>
  <c r="E324" i="5"/>
  <c r="E353" i="5"/>
  <c r="E381" i="5"/>
  <c r="E407" i="5"/>
  <c r="E432" i="5"/>
  <c r="E458" i="5"/>
  <c r="E485" i="5"/>
  <c r="E513" i="5"/>
  <c r="E541" i="5"/>
  <c r="E567" i="5"/>
  <c r="E593" i="5"/>
  <c r="E621" i="5"/>
  <c r="E651" i="5"/>
  <c r="E677" i="5"/>
  <c r="E699" i="5"/>
  <c r="E728" i="5"/>
  <c r="E756" i="5"/>
  <c r="E785" i="5"/>
  <c r="E809" i="5"/>
  <c r="E838" i="5"/>
  <c r="E864" i="5"/>
  <c r="E888" i="5"/>
  <c r="E917" i="5"/>
  <c r="E944" i="5"/>
  <c r="E972" i="5"/>
  <c r="E2" i="5"/>
  <c r="E28" i="5"/>
  <c r="E57" i="5"/>
  <c r="E85" i="5"/>
  <c r="E111" i="5"/>
  <c r="E137" i="5"/>
  <c r="E167" i="5"/>
  <c r="E189" i="5"/>
  <c r="E221" i="5"/>
  <c r="E246" i="5"/>
  <c r="E273" i="5"/>
  <c r="E299" i="5"/>
  <c r="E325" i="5"/>
  <c r="E356" i="5"/>
  <c r="E382" i="5"/>
  <c r="E408" i="5"/>
  <c r="E434" i="5"/>
  <c r="E459" i="5"/>
  <c r="E491" i="5"/>
  <c r="E514" i="5"/>
  <c r="E542" i="5"/>
  <c r="E568" i="5"/>
  <c r="E594" i="5"/>
  <c r="E623" i="5"/>
  <c r="E652" i="5"/>
  <c r="E678" i="5"/>
  <c r="E700" i="5"/>
  <c r="E730" i="5"/>
  <c r="E758" i="5"/>
  <c r="E786" i="5"/>
  <c r="E810" i="5"/>
  <c r="E839" i="5"/>
  <c r="E865" i="5"/>
  <c r="E896" i="5"/>
  <c r="E920" i="5"/>
  <c r="E945" i="5"/>
  <c r="E973" i="5"/>
  <c r="E411" i="5"/>
  <c r="E435" i="5"/>
  <c r="E465" i="5"/>
  <c r="E492" i="5"/>
  <c r="E521" i="5"/>
  <c r="E543" i="5"/>
  <c r="E569" i="5"/>
  <c r="E600" i="5"/>
  <c r="E625" i="5"/>
  <c r="E653" i="5"/>
  <c r="E680" i="5"/>
  <c r="E708" i="5"/>
  <c r="E732" i="5"/>
  <c r="E762" i="5"/>
  <c r="E788" i="5"/>
  <c r="E812" i="5"/>
  <c r="E840" i="5"/>
  <c r="E867" i="5"/>
  <c r="E897" i="5"/>
  <c r="E921" i="5"/>
  <c r="E949" i="5"/>
  <c r="E974" i="5"/>
  <c r="E8" i="5"/>
  <c r="E34" i="5"/>
  <c r="E63" i="5"/>
  <c r="E92" i="5"/>
  <c r="E117" i="5"/>
  <c r="E141" i="5"/>
  <c r="E169" i="5"/>
  <c r="E197" i="5"/>
  <c r="E226" i="5"/>
  <c r="E250" i="5"/>
  <c r="E278" i="5"/>
  <c r="E303" i="5"/>
  <c r="E335" i="5"/>
  <c r="E358" i="5"/>
  <c r="E384" i="5"/>
  <c r="E412" i="5"/>
  <c r="E436" i="5"/>
  <c r="E468" i="5"/>
  <c r="E494" i="5"/>
  <c r="E522" i="5"/>
  <c r="E544" i="5"/>
  <c r="E570" i="5"/>
  <c r="E602" i="5"/>
  <c r="E626" i="5"/>
  <c r="E654" i="5"/>
  <c r="E681" i="5"/>
  <c r="E709" i="5"/>
  <c r="E735" i="5"/>
  <c r="E764" i="5"/>
  <c r="E789" i="5"/>
  <c r="E813" i="5"/>
  <c r="E841" i="5"/>
  <c r="E869" i="5"/>
  <c r="E898" i="5"/>
  <c r="E922" i="5"/>
  <c r="E950" i="5"/>
  <c r="E980" i="5"/>
  <c r="S5" i="2" l="1"/>
  <c r="T5" i="2"/>
  <c r="T7" i="2"/>
  <c r="T4" i="2"/>
</calcChain>
</file>

<file path=xl/sharedStrings.xml><?xml version="1.0" encoding="utf-8"?>
<sst xmlns="http://schemas.openxmlformats.org/spreadsheetml/2006/main" count="3201" uniqueCount="86">
  <si>
    <t>M</t>
  </si>
  <si>
    <t>N</t>
  </si>
  <si>
    <t>seed</t>
  </si>
  <si>
    <t>match</t>
  </si>
  <si>
    <t>crit_pt_lines_counted</t>
  </si>
  <si>
    <t>time_crit_pts</t>
  </si>
  <si>
    <t>exact_lines_counted</t>
  </si>
  <si>
    <t>time_bneck</t>
  </si>
  <si>
    <t>time_switch</t>
  </si>
  <si>
    <t>time_match_dist</t>
  </si>
  <si>
    <t>total_exact_time</t>
  </si>
  <si>
    <t>prune</t>
  </si>
  <si>
    <t>Note: time_bneck is subset. Should have time_switch + time_match_dist = total_exact</t>
  </si>
  <si>
    <t>crit_point_dist: 2.313, grid_dist: 2.52, exact_dist: 2.52</t>
  </si>
  <si>
    <t>ALL (including NEW) PRUNING</t>
  </si>
  <si>
    <t>crit_point_dist: 1.743, grid_dist: 1.853, exact_dist: 3.191</t>
  </si>
  <si>
    <t>crit_point_dist: 3.595, grid_dist: 3.308, exact_dist: 3.595</t>
  </si>
  <si>
    <t>crit_point_dist: 1.267, grid_dist: 1.299, exact_dist: 1.299</t>
  </si>
  <si>
    <t>crit_point_dist: 2.656, grid_dist: 2.656, exact_dist: 3.191</t>
  </si>
  <si>
    <t>crit_point_dist: 3.647, grid_dist: 1.708, exact_dist: 3.647</t>
  </si>
  <si>
    <t>crit_point_dist: 2.121, grid_dist: 2.1, exact_dist: 2.121</t>
  </si>
  <si>
    <t>crit_point_dist: 2.574, grid_dist: 2.585, exact_dist: 2.585</t>
  </si>
  <si>
    <t>crit_point_dist: 4.087, grid_dist: 4.241, exact_dist: 4.241</t>
  </si>
  <si>
    <t>crit_point_dist: 3.647, grid_dist: 2.451, exact_dist: 3.647</t>
  </si>
  <si>
    <t>yes</t>
  </si>
  <si>
    <t>crit_point_dist: 3.595, grid_dist: 3.095, exact_dist: 3.595</t>
  </si>
  <si>
    <t>crit_point_dist: 2.373, grid_dist: 2.373, exact_dist: 2.888</t>
  </si>
  <si>
    <t>crit_point_dist: 2.401, grid_dist: 2.347, exact_dist: 2.559</t>
  </si>
  <si>
    <t>crit_point_dist: 4.348, grid_dist: 4.348, exact_dist: 4.74</t>
  </si>
  <si>
    <t>crit_point_dist: 2.373, grid_dist: 2.373, exact_dist: 2.898</t>
  </si>
  <si>
    <t>crit_point_dist: 2.945, grid_dist: 2.987, exact_dist: 3.02</t>
  </si>
  <si>
    <t>crit_point_dist: 4.348, grid_dist: 4.348, exact_dist: 4.795</t>
  </si>
  <si>
    <t>crit_point_dist: 4.348, grid_dist: 4.348, exact_dist: 4.821</t>
  </si>
  <si>
    <t>crit_point_dist: 3.195, grid_dist: 2.453, exact_dist: 3.256</t>
  </si>
  <si>
    <t>crit_point_dist: 3.195, grid_dist: 2.559, exact_dist: 3.256</t>
  </si>
  <si>
    <t>NO PRUNING WHATSOEVER</t>
  </si>
  <si>
    <t>time_bneck is subset of time_match_dist</t>
  </si>
  <si>
    <t>crit_point_dist: 2.373, grid_dist: 2.373, exact_dist: 2.972</t>
  </si>
  <si>
    <t>crit_point_dist: 4.348, grid_dist: 4.348, exact_dist: 4.925</t>
  </si>
  <si>
    <t>crit_point_dist: 4.348, grid_dist: 4.348, exact_dist: 4.935</t>
  </si>
  <si>
    <t>crit_point_dist: 4.348, grid_dist: 4.348, exact_dist: 4.926</t>
  </si>
  <si>
    <t>ONLY OLD PRUNING</t>
  </si>
  <si>
    <t>crit_point_dist: 4.348, grid_dist: 4.348, exact_dist: 4.893</t>
  </si>
  <si>
    <t xml:space="preserve">ratio all over critical lines </t>
  </si>
  <si>
    <t>M+N</t>
  </si>
  <si>
    <t>Average ratio all lines/crit lines</t>
  </si>
  <si>
    <t>Standard deviation</t>
  </si>
  <si>
    <t>avg - st dev</t>
  </si>
  <si>
    <t>average + st dev</t>
  </si>
  <si>
    <t>MN</t>
  </si>
  <si>
    <t>mean</t>
  </si>
  <si>
    <t>1+5</t>
  </si>
  <si>
    <t>2+4</t>
  </si>
  <si>
    <t>3+3</t>
  </si>
  <si>
    <t>M + N</t>
  </si>
  <si>
    <t>All pruning</t>
  </si>
  <si>
    <t>Old pruning</t>
  </si>
  <si>
    <t>No pruning</t>
  </si>
  <si>
    <t>crit pts counted</t>
  </si>
  <si>
    <t>Total time: All pruning</t>
  </si>
  <si>
    <t>Total time: old pruning</t>
  </si>
  <si>
    <t>Total time: no pruning</t>
  </si>
  <si>
    <t>For Claudia</t>
  </si>
  <si>
    <t>Avrg Time_bneck</t>
  </si>
  <si>
    <t>St Def</t>
  </si>
  <si>
    <t>Avrg time_switch</t>
  </si>
  <si>
    <t>St Dev</t>
  </si>
  <si>
    <t>Avrg time_match_dist</t>
  </si>
  <si>
    <t>St DEv</t>
  </si>
  <si>
    <t>Avrg total_exact_time</t>
  </si>
  <si>
    <t>Average:</t>
  </si>
  <si>
    <t>Average</t>
  </si>
  <si>
    <t>Unicorns, meaning runs where the exact is different than approximate</t>
  </si>
  <si>
    <t>First page "dardel experiment results" is raw data, all other pages are trying to make graphs.</t>
  </si>
  <si>
    <t>purple highlight =</t>
  </si>
  <si>
    <t>Column meanings</t>
  </si>
  <si>
    <t>number of rectangles in M</t>
  </si>
  <si>
    <t>number of rectangles in N</t>
  </si>
  <si>
    <t>Seed</t>
  </si>
  <si>
    <t>tells the seed number generating the rectangles</t>
  </si>
  <si>
    <t>tells the matching distance; if exact is different than critical point approximate, then tells both</t>
  </si>
  <si>
    <t>number of lines through critical points</t>
  </si>
  <si>
    <t>number of lines through pairs of points in set used to compute exact mathching distance for our computation</t>
  </si>
  <si>
    <t>designates if it is with our new pruning or not</t>
  </si>
  <si>
    <t>time to compute set of switch points</t>
  </si>
  <si>
    <t>time switch + time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</si>
</sst>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">
    <dxf>
      <fill>
        <patternFill patternType="solid">
          <fgColor rgb="FFD9D2E9"/>
          <bgColor rgb="FFD9D2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Statistics (mean and standard deviation) of all lines/critical lines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'ratio all lines vs critical lin'!$Q$2</c:f>
              <c:strCache>
                <c:ptCount val="1"/>
                <c:pt idx="0">
                  <c:v>Average ratio all lines/crit lines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'ratio all lines vs critical lin'!$P$3:$P$7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'ratio all lines vs critical lin'!$Q$3:$Q$7</c:f>
              <c:numCache>
                <c:formatCode>General</c:formatCode>
                <c:ptCount val="5"/>
                <c:pt idx="0">
                  <c:v>235.08660609857975</c:v>
                </c:pt>
                <c:pt idx="1">
                  <c:v>1626.3766470648109</c:v>
                </c:pt>
                <c:pt idx="2">
                  <c:v>6274.3469464656055</c:v>
                </c:pt>
                <c:pt idx="3">
                  <c:v>16260.304511732509</c:v>
                </c:pt>
                <c:pt idx="4">
                  <c:v>35106.65012976461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36-D74E-971B-5905C9FD1291}"/>
            </c:ext>
          </c:extLst>
        </c:ser>
        <c:ser>
          <c:idx val="1"/>
          <c:order val="1"/>
          <c:tx>
            <c:strRef>
              <c:f>'ratio all lines vs critical lin'!$S$2</c:f>
              <c:strCache>
                <c:ptCount val="1"/>
                <c:pt idx="0">
                  <c:v>avg - st dev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'ratio all lines vs critical lin'!$P$3:$P$7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'ratio all lines vs critical lin'!$S$3:$S$7</c:f>
              <c:numCache>
                <c:formatCode>General</c:formatCode>
                <c:ptCount val="5"/>
                <c:pt idx="0">
                  <c:v>175.28629004447484</c:v>
                </c:pt>
                <c:pt idx="1">
                  <c:v>1097.1387603003648</c:v>
                </c:pt>
                <c:pt idx="2">
                  <c:v>4122.2079417871391</c:v>
                </c:pt>
                <c:pt idx="3">
                  <c:v>9395.2925481154962</c:v>
                </c:pt>
                <c:pt idx="4">
                  <c:v>19341.130016059215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36-D74E-971B-5905C9FD1291}"/>
            </c:ext>
          </c:extLst>
        </c:ser>
        <c:ser>
          <c:idx val="2"/>
          <c:order val="2"/>
          <c:tx>
            <c:strRef>
              <c:f>'ratio all lines vs critical lin'!$T$2</c:f>
              <c:strCache>
                <c:ptCount val="1"/>
                <c:pt idx="0">
                  <c:v>average + st dev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'ratio all lines vs critical lin'!$P$3:$P$7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'ratio all lines vs critical lin'!$T$3:$T$7</c:f>
              <c:numCache>
                <c:formatCode>General</c:formatCode>
                <c:ptCount val="5"/>
                <c:pt idx="0">
                  <c:v>294.88692215268463</c:v>
                </c:pt>
                <c:pt idx="1">
                  <c:v>2155.6145338292572</c:v>
                </c:pt>
                <c:pt idx="2">
                  <c:v>8426.4859511440718</c:v>
                </c:pt>
                <c:pt idx="3">
                  <c:v>23125.316475349522</c:v>
                </c:pt>
                <c:pt idx="4">
                  <c:v>50872.170243470006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36-D74E-971B-5905C9FD1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993508"/>
        <c:axId val="1201778573"/>
      </c:scatterChart>
      <c:valAx>
        <c:axId val="8229935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number of rectangles in M plus 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1778573"/>
        <c:crosses val="autoZero"/>
        <c:crossBetween val="midCat"/>
      </c:valAx>
      <c:valAx>
        <c:axId val="1201778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ratio all lines/crit lines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299350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Statistics with numer of rectangles equal to 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'focus on ratio all lines vs cri'!$Q$2</c:f>
              <c:strCache>
                <c:ptCount val="1"/>
                <c:pt idx="0">
                  <c:v>mean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strRef>
              <c:f>'focus on ratio all lines vs cri'!$P$3:$P$5</c:f>
              <c:strCache>
                <c:ptCount val="3"/>
                <c:pt idx="0">
                  <c:v>1+5</c:v>
                </c:pt>
                <c:pt idx="1">
                  <c:v>2+4</c:v>
                </c:pt>
                <c:pt idx="2">
                  <c:v>3+3</c:v>
                </c:pt>
              </c:strCache>
            </c:strRef>
          </c:xVal>
          <c:yVal>
            <c:numRef>
              <c:f>'focus on ratio all lines vs cri'!$Q$3:$Q$5</c:f>
              <c:numCache>
                <c:formatCode>General</c:formatCode>
                <c:ptCount val="3"/>
                <c:pt idx="0">
                  <c:v>1941.4922142857145</c:v>
                </c:pt>
                <c:pt idx="1">
                  <c:v>2626.1072142857142</c:v>
                </c:pt>
                <c:pt idx="2">
                  <c:v>3313.3256666666671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16-7944-B8A9-F1D59C0E1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979465"/>
        <c:axId val="380644683"/>
      </c:scatterChart>
      <c:valAx>
        <c:axId val="2899794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M+N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0644683"/>
        <c:crosses val="autoZero"/>
        <c:crossBetween val="midCat"/>
      </c:valAx>
      <c:valAx>
        <c:axId val="380644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ratio of total lines over critical lines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997946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# rects vs |log| of computation time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graphpruningtime!$B$1</c:f>
              <c:strCache>
                <c:ptCount val="1"/>
                <c:pt idx="0">
                  <c:v>All pruning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graphpruningtime!$A$2:$A$1001</c:f>
              <c:numCache>
                <c:formatCode>General</c:formatCode>
                <c:ptCount val="100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</c:numCache>
            </c:numRef>
          </c:cat>
          <c:val>
            <c:numRef>
              <c:f>graphpruningtime!$B$2:$B$1001</c:f>
              <c:numCache>
                <c:formatCode>General</c:formatCode>
                <c:ptCount val="1000"/>
                <c:pt idx="0">
                  <c:v>8.9909454405931802E-2</c:v>
                </c:pt>
                <c:pt idx="1">
                  <c:v>0.114073660198568</c:v>
                </c:pt>
                <c:pt idx="2">
                  <c:v>1.1263587270692601</c:v>
                </c:pt>
                <c:pt idx="3">
                  <c:v>1.2001936371412001</c:v>
                </c:pt>
                <c:pt idx="4">
                  <c:v>1.23603314711763</c:v>
                </c:pt>
                <c:pt idx="5">
                  <c:v>2.47444064016599</c:v>
                </c:pt>
                <c:pt idx="6">
                  <c:v>2.2501320037546302</c:v>
                </c:pt>
                <c:pt idx="7">
                  <c:v>2.1928015413061699</c:v>
                </c:pt>
                <c:pt idx="8">
                  <c:v>2.2333870533870002</c:v>
                </c:pt>
                <c:pt idx="9">
                  <c:v>3.1721584859934899</c:v>
                </c:pt>
                <c:pt idx="10">
                  <c:v>2.8828966309222901</c:v>
                </c:pt>
                <c:pt idx="11">
                  <c:v>2.9252930068810001</c:v>
                </c:pt>
                <c:pt idx="12">
                  <c:v>2.99792825893334</c:v>
                </c:pt>
                <c:pt idx="13">
                  <c:v>2.9878217252464601</c:v>
                </c:pt>
                <c:pt idx="14">
                  <c:v>2.3029194036821599</c:v>
                </c:pt>
                <c:pt idx="15">
                  <c:v>3.7389254048220901</c:v>
                </c:pt>
                <c:pt idx="16">
                  <c:v>0.41793663708829099</c:v>
                </c:pt>
                <c:pt idx="17">
                  <c:v>0.27572413039921001</c:v>
                </c:pt>
                <c:pt idx="18">
                  <c:v>0.24412514432750801</c:v>
                </c:pt>
                <c:pt idx="19">
                  <c:v>0.209714835966758</c:v>
                </c:pt>
                <c:pt idx="20">
                  <c:v>0.26921772433361002</c:v>
                </c:pt>
                <c:pt idx="21">
                  <c:v>0.38404994834359901</c:v>
                </c:pt>
                <c:pt idx="22">
                  <c:v>0.33254704711004601</c:v>
                </c:pt>
                <c:pt idx="23">
                  <c:v>0.25258819211357603</c:v>
                </c:pt>
                <c:pt idx="24">
                  <c:v>0.30277065724028202</c:v>
                </c:pt>
                <c:pt idx="25">
                  <c:v>0.318758762624412</c:v>
                </c:pt>
                <c:pt idx="26">
                  <c:v>0.44855000202712397</c:v>
                </c:pt>
                <c:pt idx="27">
                  <c:v>0.46597389394386401</c:v>
                </c:pt>
                <c:pt idx="28">
                  <c:v>0.37365963262495699</c:v>
                </c:pt>
                <c:pt idx="29">
                  <c:v>0.35457773065090797</c:v>
                </c:pt>
                <c:pt idx="30">
                  <c:v>0.48545224733971298</c:v>
                </c:pt>
                <c:pt idx="31">
                  <c:v>0.267606240177031</c:v>
                </c:pt>
                <c:pt idx="32">
                  <c:v>0.39040559077477999</c:v>
                </c:pt>
                <c:pt idx="33">
                  <c:v>0.30980391997148599</c:v>
                </c:pt>
                <c:pt idx="34">
                  <c:v>0.72090317081345701</c:v>
                </c:pt>
                <c:pt idx="35">
                  <c:v>0.48840968890319802</c:v>
                </c:pt>
                <c:pt idx="36">
                  <c:v>1.3220951928665501</c:v>
                </c:pt>
                <c:pt idx="37">
                  <c:v>0.90574192739160098</c:v>
                </c:pt>
                <c:pt idx="38">
                  <c:v>0.66558099101795298</c:v>
                </c:pt>
                <c:pt idx="39">
                  <c:v>0.81564414913196503</c:v>
                </c:pt>
                <c:pt idx="40">
                  <c:v>0.57806588383609103</c:v>
                </c:pt>
                <c:pt idx="41">
                  <c:v>0.86129539352669504</c:v>
                </c:pt>
                <c:pt idx="42">
                  <c:v>0.88935773688893105</c:v>
                </c:pt>
                <c:pt idx="43">
                  <c:v>0.85089118413592402</c:v>
                </c:pt>
                <c:pt idx="44">
                  <c:v>0.61647551388856503</c:v>
                </c:pt>
                <c:pt idx="45">
                  <c:v>0.82386530932451096</c:v>
                </c:pt>
                <c:pt idx="46">
                  <c:v>0.651278013998144</c:v>
                </c:pt>
                <c:pt idx="47">
                  <c:v>0.79692107533016798</c:v>
                </c:pt>
                <c:pt idx="48">
                  <c:v>0.77568324902604302</c:v>
                </c:pt>
                <c:pt idx="49">
                  <c:v>0.75534118381154702</c:v>
                </c:pt>
                <c:pt idx="50">
                  <c:v>0.81597600097198497</c:v>
                </c:pt>
                <c:pt idx="51">
                  <c:v>1.8688970666998299</c:v>
                </c:pt>
                <c:pt idx="52">
                  <c:v>1.43953794816541</c:v>
                </c:pt>
                <c:pt idx="53">
                  <c:v>2.16923933401752</c:v>
                </c:pt>
                <c:pt idx="54">
                  <c:v>1.39165832872247</c:v>
                </c:pt>
                <c:pt idx="55">
                  <c:v>1.73476783618341</c:v>
                </c:pt>
                <c:pt idx="56">
                  <c:v>1.6667051361198899</c:v>
                </c:pt>
                <c:pt idx="57">
                  <c:v>1.9787737843301201</c:v>
                </c:pt>
                <c:pt idx="58">
                  <c:v>1.7856856682808999</c:v>
                </c:pt>
                <c:pt idx="59">
                  <c:v>1.49753778760367</c:v>
                </c:pt>
                <c:pt idx="60">
                  <c:v>1.69109033713436</c:v>
                </c:pt>
                <c:pt idx="61">
                  <c:v>1.65284562128087</c:v>
                </c:pt>
                <c:pt idx="62">
                  <c:v>1.4195923082995801</c:v>
                </c:pt>
                <c:pt idx="63">
                  <c:v>1.8491367539942301</c:v>
                </c:pt>
                <c:pt idx="64">
                  <c:v>1.7519485101577601</c:v>
                </c:pt>
                <c:pt idx="65">
                  <c:v>1.7595469807128099</c:v>
                </c:pt>
                <c:pt idx="66">
                  <c:v>1.79246173134695</c:v>
                </c:pt>
                <c:pt idx="67">
                  <c:v>2.5709245310500699</c:v>
                </c:pt>
                <c:pt idx="68">
                  <c:v>2.4849600344718299</c:v>
                </c:pt>
                <c:pt idx="69">
                  <c:v>2.2804895904096698</c:v>
                </c:pt>
                <c:pt idx="70">
                  <c:v>1.99920451300531</c:v>
                </c:pt>
                <c:pt idx="71">
                  <c:v>2.54447980842443</c:v>
                </c:pt>
                <c:pt idx="72">
                  <c:v>2.74945725741361</c:v>
                </c:pt>
                <c:pt idx="73">
                  <c:v>2.85843191952734</c:v>
                </c:pt>
                <c:pt idx="74">
                  <c:v>2.7279517721495701</c:v>
                </c:pt>
                <c:pt idx="75">
                  <c:v>2.0618293072946901</c:v>
                </c:pt>
                <c:pt idx="76">
                  <c:v>2.7041316340605199</c:v>
                </c:pt>
                <c:pt idx="77">
                  <c:v>2.3825483227587299</c:v>
                </c:pt>
                <c:pt idx="78">
                  <c:v>2.2635484908438399</c:v>
                </c:pt>
                <c:pt idx="79">
                  <c:v>2.7223829791824299</c:v>
                </c:pt>
                <c:pt idx="80">
                  <c:v>2.6508289463146402</c:v>
                </c:pt>
                <c:pt idx="81">
                  <c:v>3.3112561499006201</c:v>
                </c:pt>
                <c:pt idx="82">
                  <c:v>3.27603994306503</c:v>
                </c:pt>
                <c:pt idx="83">
                  <c:v>2.8291692815691198</c:v>
                </c:pt>
                <c:pt idx="84">
                  <c:v>2.6956471321807398</c:v>
                </c:pt>
                <c:pt idx="85">
                  <c:v>3.2579486652236098</c:v>
                </c:pt>
                <c:pt idx="86">
                  <c:v>3.1583015659570299</c:v>
                </c:pt>
                <c:pt idx="87">
                  <c:v>1.3715665524837299</c:v>
                </c:pt>
                <c:pt idx="88">
                  <c:v>1.28334646535604</c:v>
                </c:pt>
                <c:pt idx="89">
                  <c:v>1.1658672683529401</c:v>
                </c:pt>
                <c:pt idx="90">
                  <c:v>2.3896373483050102</c:v>
                </c:pt>
                <c:pt idx="91">
                  <c:v>2.0832660584190301</c:v>
                </c:pt>
                <c:pt idx="92">
                  <c:v>2.5030017019154198</c:v>
                </c:pt>
                <c:pt idx="93">
                  <c:v>2.2618359971396802</c:v>
                </c:pt>
                <c:pt idx="94">
                  <c:v>1.89210017053276</c:v>
                </c:pt>
                <c:pt idx="95">
                  <c:v>2.1687949646735598</c:v>
                </c:pt>
                <c:pt idx="96">
                  <c:v>3.1597022125633298</c:v>
                </c:pt>
                <c:pt idx="97">
                  <c:v>3.0116397898570502</c:v>
                </c:pt>
                <c:pt idx="98">
                  <c:v>3.1562031528033798</c:v>
                </c:pt>
                <c:pt idx="99">
                  <c:v>2.9882373529012001</c:v>
                </c:pt>
                <c:pt idx="100">
                  <c:v>2.4858193445900798</c:v>
                </c:pt>
                <c:pt idx="101">
                  <c:v>2.9225552351635899</c:v>
                </c:pt>
                <c:pt idx="102">
                  <c:v>2.9868142661791799</c:v>
                </c:pt>
                <c:pt idx="103">
                  <c:v>2.6017852131603898</c:v>
                </c:pt>
                <c:pt idx="104">
                  <c:v>3.7372492722855801</c:v>
                </c:pt>
                <c:pt idx="105">
                  <c:v>1.0657290594623401</c:v>
                </c:pt>
                <c:pt idx="106">
                  <c:v>0.77305469336426202</c:v>
                </c:pt>
                <c:pt idx="107">
                  <c:v>1.16369794589256</c:v>
                </c:pt>
                <c:pt idx="108">
                  <c:v>0.72115084374968397</c:v>
                </c:pt>
                <c:pt idx="109">
                  <c:v>0.703721159927019</c:v>
                </c:pt>
                <c:pt idx="110">
                  <c:v>0.74795530690672896</c:v>
                </c:pt>
                <c:pt idx="111">
                  <c:v>0.78760214618233704</c:v>
                </c:pt>
                <c:pt idx="112">
                  <c:v>0.75936562165592802</c:v>
                </c:pt>
                <c:pt idx="113">
                  <c:v>0.86385796188397301</c:v>
                </c:pt>
                <c:pt idx="114">
                  <c:v>0.96642334594369295</c:v>
                </c:pt>
                <c:pt idx="115">
                  <c:v>0.86135516019325997</c:v>
                </c:pt>
                <c:pt idx="116">
                  <c:v>0.52179164963912295</c:v>
                </c:pt>
                <c:pt idx="117">
                  <c:v>0.79858159472854695</c:v>
                </c:pt>
                <c:pt idx="118">
                  <c:v>0.55388302664387401</c:v>
                </c:pt>
                <c:pt idx="119">
                  <c:v>0.80875097234959403</c:v>
                </c:pt>
                <c:pt idx="120">
                  <c:v>0.80147231352147097</c:v>
                </c:pt>
                <c:pt idx="121">
                  <c:v>1.0441476208787199</c:v>
                </c:pt>
                <c:pt idx="122">
                  <c:v>2.1388140748403601</c:v>
                </c:pt>
                <c:pt idx="123">
                  <c:v>1.6882417959777101</c:v>
                </c:pt>
                <c:pt idx="124">
                  <c:v>2.18705233273778</c:v>
                </c:pt>
                <c:pt idx="125">
                  <c:v>1.72025855937299</c:v>
                </c:pt>
                <c:pt idx="126">
                  <c:v>1.72375932570044</c:v>
                </c:pt>
                <c:pt idx="127">
                  <c:v>2.1045588049551398</c:v>
                </c:pt>
                <c:pt idx="128">
                  <c:v>2.07168689901546</c:v>
                </c:pt>
                <c:pt idx="129">
                  <c:v>1.8154648436465299</c:v>
                </c:pt>
                <c:pt idx="130">
                  <c:v>1.6913556037452799</c:v>
                </c:pt>
                <c:pt idx="131">
                  <c:v>1.58932394545019</c:v>
                </c:pt>
                <c:pt idx="132">
                  <c:v>1.3751696088516301</c:v>
                </c:pt>
                <c:pt idx="133">
                  <c:v>1.84750479532731</c:v>
                </c:pt>
                <c:pt idx="134">
                  <c:v>1.8456498636990499</c:v>
                </c:pt>
                <c:pt idx="135">
                  <c:v>2.0152004289835399</c:v>
                </c:pt>
                <c:pt idx="136">
                  <c:v>2.8263858276474401</c:v>
                </c:pt>
                <c:pt idx="137">
                  <c:v>2.59711464206443</c:v>
                </c:pt>
                <c:pt idx="138">
                  <c:v>2.5194447008521101</c:v>
                </c:pt>
                <c:pt idx="139">
                  <c:v>2.3940609903504702</c:v>
                </c:pt>
                <c:pt idx="140">
                  <c:v>2.6102128649743701</c:v>
                </c:pt>
                <c:pt idx="141">
                  <c:v>2.9803193138751398</c:v>
                </c:pt>
                <c:pt idx="142">
                  <c:v>2.9614044813914799</c:v>
                </c:pt>
                <c:pt idx="143">
                  <c:v>2.7635350564185099</c:v>
                </c:pt>
                <c:pt idx="144">
                  <c:v>2.31937467640401</c:v>
                </c:pt>
                <c:pt idx="145">
                  <c:v>2.2353693447890399</c:v>
                </c:pt>
                <c:pt idx="146">
                  <c:v>2.7852750107716102</c:v>
                </c:pt>
                <c:pt idx="147">
                  <c:v>2.8899697217909002</c:v>
                </c:pt>
                <c:pt idx="148">
                  <c:v>3.6060824160396701</c:v>
                </c:pt>
                <c:pt idx="149">
                  <c:v>3.42142754117523</c:v>
                </c:pt>
                <c:pt idx="150">
                  <c:v>3.0650379091484998</c:v>
                </c:pt>
                <c:pt idx="151">
                  <c:v>3.02442901689813</c:v>
                </c:pt>
                <c:pt idx="152">
                  <c:v>3.385448612172</c:v>
                </c:pt>
                <c:pt idx="153">
                  <c:v>3.42934863452157</c:v>
                </c:pt>
                <c:pt idx="154">
                  <c:v>2.3210575556031698</c:v>
                </c:pt>
                <c:pt idx="155">
                  <c:v>1.9814425691119599</c:v>
                </c:pt>
                <c:pt idx="156">
                  <c:v>2.0255925688516698</c:v>
                </c:pt>
                <c:pt idx="157">
                  <c:v>1.6603056550178701</c:v>
                </c:pt>
                <c:pt idx="158">
                  <c:v>3.1705093100353001</c:v>
                </c:pt>
                <c:pt idx="159">
                  <c:v>3.01722956266173</c:v>
                </c:pt>
                <c:pt idx="160">
                  <c:v>2.9062391200245301</c:v>
                </c:pt>
                <c:pt idx="161">
                  <c:v>2.45328928416256</c:v>
                </c:pt>
                <c:pt idx="162">
                  <c:v>2.83631082077421</c:v>
                </c:pt>
                <c:pt idx="163">
                  <c:v>3.0710638065081599</c:v>
                </c:pt>
                <c:pt idx="164">
                  <c:v>2.6332694425162799</c:v>
                </c:pt>
                <c:pt idx="165">
                  <c:v>3.7659330735003702</c:v>
                </c:pt>
                <c:pt idx="166">
                  <c:v>3.7629847121628401</c:v>
                </c:pt>
                <c:pt idx="167">
                  <c:v>1.8554343479074</c:v>
                </c:pt>
                <c:pt idx="168">
                  <c:v>1.45851698504883</c:v>
                </c:pt>
                <c:pt idx="169">
                  <c:v>1.73487180613491</c:v>
                </c:pt>
                <c:pt idx="170">
                  <c:v>1.56225716755258</c:v>
                </c:pt>
                <c:pt idx="171">
                  <c:v>1.7597056077853299</c:v>
                </c:pt>
                <c:pt idx="172">
                  <c:v>2.0119593161081699</c:v>
                </c:pt>
                <c:pt idx="173">
                  <c:v>2.1800369418255201</c:v>
                </c:pt>
                <c:pt idx="174">
                  <c:v>2.06312686045854</c:v>
                </c:pt>
                <c:pt idx="175">
                  <c:v>1.83147303556694</c:v>
                </c:pt>
                <c:pt idx="176">
                  <c:v>1.46161856395401</c:v>
                </c:pt>
                <c:pt idx="177">
                  <c:v>1.63767981682722</c:v>
                </c:pt>
                <c:pt idx="178">
                  <c:v>1.18839407126142</c:v>
                </c:pt>
                <c:pt idx="179">
                  <c:v>1.9903388547876</c:v>
                </c:pt>
                <c:pt idx="180">
                  <c:v>1.8627036980629801</c:v>
                </c:pt>
                <c:pt idx="181">
                  <c:v>1.9923502398878301</c:v>
                </c:pt>
                <c:pt idx="182">
                  <c:v>1.9928229354008999</c:v>
                </c:pt>
                <c:pt idx="183">
                  <c:v>2.6565734607773899</c:v>
                </c:pt>
                <c:pt idx="184">
                  <c:v>2.3677341330297899</c:v>
                </c:pt>
                <c:pt idx="185">
                  <c:v>2.6248367306723601</c:v>
                </c:pt>
                <c:pt idx="186">
                  <c:v>2.3677862743638598</c:v>
                </c:pt>
                <c:pt idx="187">
                  <c:v>2.6116022408384199</c:v>
                </c:pt>
                <c:pt idx="188">
                  <c:v>2.9118114887917201</c:v>
                </c:pt>
                <c:pt idx="189">
                  <c:v>2.89059593102859</c:v>
                </c:pt>
                <c:pt idx="190">
                  <c:v>3.0114490609920899</c:v>
                </c:pt>
                <c:pt idx="191">
                  <c:v>2.8136543654612698</c:v>
                </c:pt>
                <c:pt idx="192">
                  <c:v>2.4049397125732299</c:v>
                </c:pt>
                <c:pt idx="193">
                  <c:v>2.1962867488088702</c:v>
                </c:pt>
                <c:pt idx="194">
                  <c:v>3.1239045367727898</c:v>
                </c:pt>
                <c:pt idx="195">
                  <c:v>2.8432813764829201</c:v>
                </c:pt>
                <c:pt idx="196">
                  <c:v>3.5782560826703498</c:v>
                </c:pt>
                <c:pt idx="197">
                  <c:v>3.3285699988086699</c:v>
                </c:pt>
                <c:pt idx="198">
                  <c:v>3.0984007297805101</c:v>
                </c:pt>
                <c:pt idx="199">
                  <c:v>3.4732027974286299</c:v>
                </c:pt>
                <c:pt idx="200">
                  <c:v>2.8376187367936101</c:v>
                </c:pt>
                <c:pt idx="201">
                  <c:v>2.8245052688397498</c:v>
                </c:pt>
                <c:pt idx="202">
                  <c:v>2.8384183592007899</c:v>
                </c:pt>
                <c:pt idx="203">
                  <c:v>2.4967760964486598</c:v>
                </c:pt>
                <c:pt idx="204">
                  <c:v>3.7418604727560401</c:v>
                </c:pt>
                <c:pt idx="205">
                  <c:v>2.6418437975016</c:v>
                </c:pt>
                <c:pt idx="206">
                  <c:v>2.3574316883469901</c:v>
                </c:pt>
                <c:pt idx="207">
                  <c:v>2.3996494972088498</c:v>
                </c:pt>
                <c:pt idx="208">
                  <c:v>2.5036191096573202</c:v>
                </c:pt>
                <c:pt idx="209">
                  <c:v>1.998468586552</c:v>
                </c:pt>
                <c:pt idx="210">
                  <c:v>2.6654599720238799</c:v>
                </c:pt>
                <c:pt idx="211">
                  <c:v>2.82255837653585</c:v>
                </c:pt>
                <c:pt idx="212">
                  <c:v>2.7371226408831699</c:v>
                </c:pt>
                <c:pt idx="213">
                  <c:v>2.4941100487102399</c:v>
                </c:pt>
                <c:pt idx="214">
                  <c:v>2.85565541916792</c:v>
                </c:pt>
                <c:pt idx="215">
                  <c:v>2.5870461092545498</c:v>
                </c:pt>
                <c:pt idx="216">
                  <c:v>1.72060577672612</c:v>
                </c:pt>
                <c:pt idx="217">
                  <c:v>2.6372885465371301</c:v>
                </c:pt>
                <c:pt idx="218">
                  <c:v>1.87602721740792</c:v>
                </c:pt>
                <c:pt idx="219">
                  <c:v>3.1814333860054602</c:v>
                </c:pt>
                <c:pt idx="220">
                  <c:v>2.68973672587479</c:v>
                </c:pt>
                <c:pt idx="221">
                  <c:v>3.5964963716064999</c:v>
                </c:pt>
                <c:pt idx="222">
                  <c:v>3.3180332673808901</c:v>
                </c:pt>
                <c:pt idx="223">
                  <c:v>3.1353126951334702</c:v>
                </c:pt>
                <c:pt idx="224">
                  <c:v>3.3920858738572801</c:v>
                </c:pt>
                <c:pt idx="225">
                  <c:v>3.2596992147720298</c:v>
                </c:pt>
                <c:pt idx="226">
                  <c:v>3.55851333408045</c:v>
                </c:pt>
                <c:pt idx="227">
                  <c:v>3.4257312711440999</c:v>
                </c:pt>
                <c:pt idx="228">
                  <c:v>3.1886807668882202</c:v>
                </c:pt>
                <c:pt idx="229">
                  <c:v>2.66245088474381</c:v>
                </c:pt>
                <c:pt idx="230">
                  <c:v>3.2941590250427599</c:v>
                </c:pt>
                <c:pt idx="231">
                  <c:v>3.0806596709466301</c:v>
                </c:pt>
                <c:pt idx="232">
                  <c:v>3.4953304677071899</c:v>
                </c:pt>
                <c:pt idx="233">
                  <c:v>3.7257177075399102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6-DE4F-84AB-11CE88B0963B}"/>
            </c:ext>
          </c:extLst>
        </c:ser>
        <c:ser>
          <c:idx val="1"/>
          <c:order val="1"/>
          <c:tx>
            <c:strRef>
              <c:f>graphpruningtime!$C$1</c:f>
              <c:strCache>
                <c:ptCount val="1"/>
                <c:pt idx="0">
                  <c:v>Old pruning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graphpruningtime!$A$2:$A$1001</c:f>
              <c:numCache>
                <c:formatCode>General</c:formatCode>
                <c:ptCount val="100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</c:numCache>
            </c:numRef>
          </c:cat>
          <c:val>
            <c:numRef>
              <c:f>graphpruningtime!$C$2:$C$1001</c:f>
              <c:numCache>
                <c:formatCode>General</c:formatCode>
                <c:ptCount val="1000"/>
                <c:pt idx="0">
                  <c:v>5.0122295963125202E-2</c:v>
                </c:pt>
                <c:pt idx="1">
                  <c:v>5.5024091587951997E-2</c:v>
                </c:pt>
                <c:pt idx="2">
                  <c:v>1.53619216781264</c:v>
                </c:pt>
                <c:pt idx="3">
                  <c:v>1.2745503849095301</c:v>
                </c:pt>
                <c:pt idx="4">
                  <c:v>1.52043112602154</c:v>
                </c:pt>
                <c:pt idx="5">
                  <c:v>2.5857155912133098</c:v>
                </c:pt>
                <c:pt idx="6">
                  <c:v>2.6688106837557499</c:v>
                </c:pt>
                <c:pt idx="7">
                  <c:v>2.2752998346414901</c:v>
                </c:pt>
                <c:pt idx="8">
                  <c:v>2.51128562787917</c:v>
                </c:pt>
                <c:pt idx="9">
                  <c:v>3.28306569580687</c:v>
                </c:pt>
                <c:pt idx="10">
                  <c:v>3.29499059012067</c:v>
                </c:pt>
                <c:pt idx="11">
                  <c:v>3.11122923440128</c:v>
                </c:pt>
                <c:pt idx="12">
                  <c:v>3.33653317744223</c:v>
                </c:pt>
                <c:pt idx="13">
                  <c:v>3.1880370550068902</c:v>
                </c:pt>
                <c:pt idx="14">
                  <c:v>2.87146726771718</c:v>
                </c:pt>
                <c:pt idx="15">
                  <c:v>3.90066868106392</c:v>
                </c:pt>
                <c:pt idx="16">
                  <c:v>0.23882418684426801</c:v>
                </c:pt>
                <c:pt idx="17">
                  <c:v>0.224753740259763</c:v>
                </c:pt>
                <c:pt idx="18">
                  <c:v>0.133712660915805</c:v>
                </c:pt>
                <c:pt idx="19">
                  <c:v>0.136677139879544</c:v>
                </c:pt>
                <c:pt idx="20">
                  <c:v>0.22767829327708</c:v>
                </c:pt>
                <c:pt idx="21">
                  <c:v>0.32882715728491602</c:v>
                </c:pt>
                <c:pt idx="22">
                  <c:v>0.255707016877323</c:v>
                </c:pt>
                <c:pt idx="23">
                  <c:v>0.11463877996848799</c:v>
                </c:pt>
                <c:pt idx="24">
                  <c:v>0.224753740259763</c:v>
                </c:pt>
                <c:pt idx="25">
                  <c:v>0.27901425584626</c:v>
                </c:pt>
                <c:pt idx="26">
                  <c:v>0.27572413039921001</c:v>
                </c:pt>
                <c:pt idx="27">
                  <c:v>0.281498311132725</c:v>
                </c:pt>
                <c:pt idx="28">
                  <c:v>0.33161408330999897</c:v>
                </c:pt>
                <c:pt idx="29">
                  <c:v>4.4793462458058202E-2</c:v>
                </c:pt>
                <c:pt idx="30">
                  <c:v>0.289882634888183</c:v>
                </c:pt>
                <c:pt idx="31">
                  <c:v>0.22112552799726001</c:v>
                </c:pt>
                <c:pt idx="32">
                  <c:v>0.283162276700475</c:v>
                </c:pt>
                <c:pt idx="33">
                  <c:v>0.25492520841794197</c:v>
                </c:pt>
                <c:pt idx="34">
                  <c:v>1.01707509637605</c:v>
                </c:pt>
                <c:pt idx="35">
                  <c:v>0.82288694783414995</c:v>
                </c:pt>
                <c:pt idx="36">
                  <c:v>1.5993371329924799</c:v>
                </c:pt>
                <c:pt idx="37">
                  <c:v>1.0562185812723</c:v>
                </c:pt>
                <c:pt idx="38">
                  <c:v>0.79295170825013195</c:v>
                </c:pt>
                <c:pt idx="39">
                  <c:v>0.85775452205944203</c:v>
                </c:pt>
                <c:pt idx="40">
                  <c:v>1.0029863408567801</c:v>
                </c:pt>
                <c:pt idx="41">
                  <c:v>1.22549020007128</c:v>
                </c:pt>
                <c:pt idx="42">
                  <c:v>1.0234582376436701</c:v>
                </c:pt>
                <c:pt idx="43">
                  <c:v>0.93444794894896999</c:v>
                </c:pt>
                <c:pt idx="44">
                  <c:v>0.99681802187951496</c:v>
                </c:pt>
                <c:pt idx="45">
                  <c:v>0.91965328231036403</c:v>
                </c:pt>
                <c:pt idx="46">
                  <c:v>1.1997825939689799</c:v>
                </c:pt>
                <c:pt idx="47">
                  <c:v>0.98276857725101197</c:v>
                </c:pt>
                <c:pt idx="48">
                  <c:v>1.0217679726824</c:v>
                </c:pt>
                <c:pt idx="49">
                  <c:v>0.96279536985723302</c:v>
                </c:pt>
                <c:pt idx="50">
                  <c:v>0.96834283095894502</c:v>
                </c:pt>
                <c:pt idx="51">
                  <c:v>2.1337304666245398</c:v>
                </c:pt>
                <c:pt idx="52">
                  <c:v>1.7153179540986701</c:v>
                </c:pt>
                <c:pt idx="53">
                  <c:v>2.5928449011769201</c:v>
                </c:pt>
                <c:pt idx="54">
                  <c:v>1.9778195966177701</c:v>
                </c:pt>
                <c:pt idx="55">
                  <c:v>1.84451445264213</c:v>
                </c:pt>
                <c:pt idx="56">
                  <c:v>2.01674092728625</c:v>
                </c:pt>
                <c:pt idx="57">
                  <c:v>2.3171834154315598</c:v>
                </c:pt>
                <c:pt idx="58">
                  <c:v>2.1424989646110801</c:v>
                </c:pt>
                <c:pt idx="59">
                  <c:v>2.2416286501042801</c:v>
                </c:pt>
                <c:pt idx="60">
                  <c:v>1.9566053875510201</c:v>
                </c:pt>
                <c:pt idx="61">
                  <c:v>1.88800529172875</c:v>
                </c:pt>
                <c:pt idx="62">
                  <c:v>2.2816332341535799</c:v>
                </c:pt>
                <c:pt idx="63">
                  <c:v>2.1011247350512199</c:v>
                </c:pt>
                <c:pt idx="64">
                  <c:v>2.0097100353331898</c:v>
                </c:pt>
                <c:pt idx="65">
                  <c:v>1.99473496556579</c:v>
                </c:pt>
                <c:pt idx="66">
                  <c:v>1.9657330689596999</c:v>
                </c:pt>
                <c:pt idx="67">
                  <c:v>2.9959443548436901</c:v>
                </c:pt>
                <c:pt idx="68">
                  <c:v>2.6966236990294701</c:v>
                </c:pt>
                <c:pt idx="69">
                  <c:v>3.3653089887310901</c:v>
                </c:pt>
                <c:pt idx="70">
                  <c:v>2.6842338682465998</c:v>
                </c:pt>
                <c:pt idx="71">
                  <c:v>2.66681458474529</c:v>
                </c:pt>
                <c:pt idx="72">
                  <c:v>3.0887493402139401</c:v>
                </c:pt>
                <c:pt idx="73">
                  <c:v>3.3018112397745001</c:v>
                </c:pt>
                <c:pt idx="74">
                  <c:v>3.1310428586531298</c:v>
                </c:pt>
                <c:pt idx="75">
                  <c:v>2.99054840238085</c:v>
                </c:pt>
                <c:pt idx="76">
                  <c:v>2.9493348623840401</c:v>
                </c:pt>
                <c:pt idx="77">
                  <c:v>2.7409119219793001</c:v>
                </c:pt>
                <c:pt idx="78">
                  <c:v>3.1395119839252899</c:v>
                </c:pt>
                <c:pt idx="79">
                  <c:v>2.9477051936174501</c:v>
                </c:pt>
                <c:pt idx="80">
                  <c:v>2.7899499874438098</c:v>
                </c:pt>
                <c:pt idx="81">
                  <c:v>3.7381809292877399</c:v>
                </c:pt>
                <c:pt idx="82">
                  <c:v>3.5100705122384799</c:v>
                </c:pt>
                <c:pt idx="83">
                  <c:v>4.0123684819326098</c:v>
                </c:pt>
                <c:pt idx="84">
                  <c:v>3.4752401660016301</c:v>
                </c:pt>
                <c:pt idx="85">
                  <c:v>3.49349053472872</c:v>
                </c:pt>
                <c:pt idx="86">
                  <c:v>3.7345051612149902</c:v>
                </c:pt>
                <c:pt idx="87">
                  <c:v>1.55158416936041</c:v>
                </c:pt>
                <c:pt idx="88">
                  <c:v>1.34713478291001</c:v>
                </c:pt>
                <c:pt idx="89">
                  <c:v>1.3440187377459101</c:v>
                </c:pt>
                <c:pt idx="90">
                  <c:v>2.5027847876140799</c:v>
                </c:pt>
                <c:pt idx="91">
                  <c:v>2.2566744586559602</c:v>
                </c:pt>
                <c:pt idx="92">
                  <c:v>2.72981250716093</c:v>
                </c:pt>
                <c:pt idx="93">
                  <c:v>2.3495766698343701</c:v>
                </c:pt>
                <c:pt idx="94">
                  <c:v>2.4525438717140502</c:v>
                </c:pt>
                <c:pt idx="95">
                  <c:v>2.3512337554595701</c:v>
                </c:pt>
                <c:pt idx="96">
                  <c:v>3.2933181284235098</c:v>
                </c:pt>
                <c:pt idx="97">
                  <c:v>3.1859363255116002</c:v>
                </c:pt>
                <c:pt idx="98">
                  <c:v>3.3950270898959198</c:v>
                </c:pt>
                <c:pt idx="99">
                  <c:v>3.1868668130073101</c:v>
                </c:pt>
                <c:pt idx="100">
                  <c:v>3.1740112268576</c:v>
                </c:pt>
                <c:pt idx="101">
                  <c:v>3.1744686025702098</c:v>
                </c:pt>
                <c:pt idx="102">
                  <c:v>3.1804980500190898</c:v>
                </c:pt>
                <c:pt idx="103">
                  <c:v>3.14713597936636</c:v>
                </c:pt>
                <c:pt idx="104">
                  <c:v>3.9422375976375501</c:v>
                </c:pt>
                <c:pt idx="105">
                  <c:v>1.32097667734282</c:v>
                </c:pt>
                <c:pt idx="106">
                  <c:v>0.90800220117255304</c:v>
                </c:pt>
                <c:pt idx="107">
                  <c:v>1.4886494085772</c:v>
                </c:pt>
                <c:pt idx="108">
                  <c:v>0.91317783399046804</c:v>
                </c:pt>
                <c:pt idx="109">
                  <c:v>0.82840207849159297</c:v>
                </c:pt>
                <c:pt idx="110">
                  <c:v>0.79574102086924303</c:v>
                </c:pt>
                <c:pt idx="111">
                  <c:v>1.05149981913274</c:v>
                </c:pt>
                <c:pt idx="112">
                  <c:v>1.0129215455445599</c:v>
                </c:pt>
                <c:pt idx="113">
                  <c:v>1.3041241527328999</c:v>
                </c:pt>
                <c:pt idx="114">
                  <c:v>1.08004896757885</c:v>
                </c:pt>
                <c:pt idx="115">
                  <c:v>0.93596046898916596</c:v>
                </c:pt>
                <c:pt idx="116">
                  <c:v>0.95235647732379003</c:v>
                </c:pt>
                <c:pt idx="117">
                  <c:v>0.89309566609622804</c:v>
                </c:pt>
                <c:pt idx="118">
                  <c:v>1.08951654422482</c:v>
                </c:pt>
                <c:pt idx="119">
                  <c:v>0.95660058821317595</c:v>
                </c:pt>
                <c:pt idx="120">
                  <c:v>1.03806352699785</c:v>
                </c:pt>
                <c:pt idx="121">
                  <c:v>1.0923696996291199</c:v>
                </c:pt>
                <c:pt idx="122">
                  <c:v>2.36902279473441</c:v>
                </c:pt>
                <c:pt idx="123">
                  <c:v>1.8468564700755801</c:v>
                </c:pt>
                <c:pt idx="124">
                  <c:v>2.5917822699964002</c:v>
                </c:pt>
                <c:pt idx="125">
                  <c:v>2.0839252420926</c:v>
                </c:pt>
                <c:pt idx="126">
                  <c:v>1.8418473083147</c:v>
                </c:pt>
                <c:pt idx="127">
                  <c:v>2.3416442015854</c:v>
                </c:pt>
                <c:pt idx="128">
                  <c:v>2.4279710924984901</c:v>
                </c:pt>
                <c:pt idx="129">
                  <c:v>2.1521935232653102</c:v>
                </c:pt>
                <c:pt idx="130">
                  <c:v>1.9963671751558301</c:v>
                </c:pt>
                <c:pt idx="131">
                  <c:v>1.8543181897285701</c:v>
                </c:pt>
                <c:pt idx="132">
                  <c:v>2.0841185084192699</c:v>
                </c:pt>
                <c:pt idx="133">
                  <c:v>2.0823041495865402</c:v>
                </c:pt>
                <c:pt idx="134">
                  <c:v>2.0291889102805398</c:v>
                </c:pt>
                <c:pt idx="135">
                  <c:v>2.1207055156582699</c:v>
                </c:pt>
                <c:pt idx="136">
                  <c:v>3.23436186129278</c:v>
                </c:pt>
                <c:pt idx="137">
                  <c:v>2.7448825971859998</c:v>
                </c:pt>
                <c:pt idx="138">
                  <c:v>3.40592065623997</c:v>
                </c:pt>
                <c:pt idx="139">
                  <c:v>2.8528318004254798</c:v>
                </c:pt>
                <c:pt idx="140">
                  <c:v>2.7486314013993201</c:v>
                </c:pt>
                <c:pt idx="141">
                  <c:v>3.34582543632889</c:v>
                </c:pt>
                <c:pt idx="142">
                  <c:v>3.34671375847853</c:v>
                </c:pt>
                <c:pt idx="143">
                  <c:v>3.1961662329199898</c:v>
                </c:pt>
                <c:pt idx="144">
                  <c:v>2.6966490238250098</c:v>
                </c:pt>
                <c:pt idx="145">
                  <c:v>3.0497098152719802</c:v>
                </c:pt>
                <c:pt idx="146">
                  <c:v>2.9792314152966499</c:v>
                </c:pt>
                <c:pt idx="147">
                  <c:v>2.9917238994416402</c:v>
                </c:pt>
                <c:pt idx="148">
                  <c:v>4.01373440148397</c:v>
                </c:pt>
                <c:pt idx="149">
                  <c:v>3.5967063701600899</c:v>
                </c:pt>
                <c:pt idx="150">
                  <c:v>4.1063404429407298</c:v>
                </c:pt>
                <c:pt idx="151">
                  <c:v>3.6367945023072399</c:v>
                </c:pt>
                <c:pt idx="152">
                  <c:v>3.5663367147551601</c:v>
                </c:pt>
                <c:pt idx="153">
                  <c:v>3.8803650087806498</c:v>
                </c:pt>
                <c:pt idx="154">
                  <c:v>2.4384600702711001</c:v>
                </c:pt>
                <c:pt idx="155">
                  <c:v>2.2657138106400199</c:v>
                </c:pt>
                <c:pt idx="156">
                  <c:v>2.1640523152247</c:v>
                </c:pt>
                <c:pt idx="157">
                  <c:v>2.41043641041423</c:v>
                </c:pt>
                <c:pt idx="158">
                  <c:v>3.28658804059397</c:v>
                </c:pt>
                <c:pt idx="159">
                  <c:v>3.2561045877896402</c:v>
                </c:pt>
                <c:pt idx="160">
                  <c:v>3.1343164293450498</c:v>
                </c:pt>
                <c:pt idx="161">
                  <c:v>3.2082604523143101</c:v>
                </c:pt>
                <c:pt idx="162">
                  <c:v>3.1414011673270101</c:v>
                </c:pt>
                <c:pt idx="163">
                  <c:v>3.24625305131369</c:v>
                </c:pt>
                <c:pt idx="164">
                  <c:v>3.158326902617</c:v>
                </c:pt>
                <c:pt idx="165">
                  <c:v>3.9538588580047498</c:v>
                </c:pt>
                <c:pt idx="166">
                  <c:v>3.9911599072172299</c:v>
                </c:pt>
                <c:pt idx="167">
                  <c:v>2.12011965856358</c:v>
                </c:pt>
                <c:pt idx="168">
                  <c:v>1.7027836879362701</c:v>
                </c:pt>
                <c:pt idx="169">
                  <c:v>2.3657106908972398</c:v>
                </c:pt>
                <c:pt idx="170">
                  <c:v>2.12295927823937</c:v>
                </c:pt>
                <c:pt idx="171">
                  <c:v>1.84591622413446</c:v>
                </c:pt>
                <c:pt idx="172">
                  <c:v>2.2585678475156201</c:v>
                </c:pt>
                <c:pt idx="173">
                  <c:v>2.55825724570178</c:v>
                </c:pt>
                <c:pt idx="174">
                  <c:v>2.3447694154957501</c:v>
                </c:pt>
                <c:pt idx="175">
                  <c:v>2.0293147721454399</c:v>
                </c:pt>
                <c:pt idx="176">
                  <c:v>1.91798837393814</c:v>
                </c:pt>
                <c:pt idx="177">
                  <c:v>1.9117753061871099</c:v>
                </c:pt>
                <c:pt idx="178">
                  <c:v>1.9710855712302799</c:v>
                </c:pt>
                <c:pt idx="179">
                  <c:v>2.21058869912402</c:v>
                </c:pt>
                <c:pt idx="180">
                  <c:v>2.0439121671012499</c:v>
                </c:pt>
                <c:pt idx="181">
                  <c:v>2.2407688359456102</c:v>
                </c:pt>
                <c:pt idx="182">
                  <c:v>2.1026017650211801</c:v>
                </c:pt>
                <c:pt idx="183">
                  <c:v>3.0311162776956202</c:v>
                </c:pt>
                <c:pt idx="184">
                  <c:v>2.5680984201211499</c:v>
                </c:pt>
                <c:pt idx="185">
                  <c:v>3.4664069943679601</c:v>
                </c:pt>
                <c:pt idx="186">
                  <c:v>2.9336158361861902</c:v>
                </c:pt>
                <c:pt idx="187">
                  <c:v>2.7434674307120699</c:v>
                </c:pt>
                <c:pt idx="188">
                  <c:v>3.2534090086081902</c:v>
                </c:pt>
                <c:pt idx="189">
                  <c:v>3.2309276586840299</c:v>
                </c:pt>
                <c:pt idx="190">
                  <c:v>3.3405474210112902</c:v>
                </c:pt>
                <c:pt idx="191">
                  <c:v>3.0905303277103102</c:v>
                </c:pt>
                <c:pt idx="192">
                  <c:v>2.7146381837337299</c:v>
                </c:pt>
                <c:pt idx="193">
                  <c:v>2.9610146131074302</c:v>
                </c:pt>
                <c:pt idx="194">
                  <c:v>3.2828015026517701</c:v>
                </c:pt>
                <c:pt idx="195">
                  <c:v>2.9689795347853498</c:v>
                </c:pt>
                <c:pt idx="196">
                  <c:v>3.9511358213630499</c:v>
                </c:pt>
                <c:pt idx="197">
                  <c:v>3.5031677932020502</c:v>
                </c:pt>
                <c:pt idx="198">
                  <c:v>3.7207411162861899</c:v>
                </c:pt>
                <c:pt idx="199">
                  <c:v>3.6325438387545601</c:v>
                </c:pt>
                <c:pt idx="200">
                  <c:v>3.0476638054486198</c:v>
                </c:pt>
                <c:pt idx="201">
                  <c:v>3.09775727627345</c:v>
                </c:pt>
                <c:pt idx="202">
                  <c:v>3.0685606038053002</c:v>
                </c:pt>
                <c:pt idx="203">
                  <c:v>3.11766099123132</c:v>
                </c:pt>
                <c:pt idx="204">
                  <c:v>4.0088859031251296</c:v>
                </c:pt>
                <c:pt idx="205">
                  <c:v>3.02265185366472</c:v>
                </c:pt>
                <c:pt idx="206">
                  <c:v>2.5900377909932999</c:v>
                </c:pt>
                <c:pt idx="207">
                  <c:v>3.4228899344102599</c:v>
                </c:pt>
                <c:pt idx="208">
                  <c:v>2.93850221294915</c:v>
                </c:pt>
                <c:pt idx="209">
                  <c:v>2.8148267128167501</c:v>
                </c:pt>
                <c:pt idx="210">
                  <c:v>2.7660505360718299</c:v>
                </c:pt>
                <c:pt idx="211">
                  <c:v>3.11286261990811</c:v>
                </c:pt>
                <c:pt idx="212">
                  <c:v>3.1116122957941199</c:v>
                </c:pt>
                <c:pt idx="213">
                  <c:v>2.9052360620997102</c:v>
                </c:pt>
                <c:pt idx="214">
                  <c:v>3.2708853388946899</c:v>
                </c:pt>
                <c:pt idx="215">
                  <c:v>3.0539737807641498</c:v>
                </c:pt>
                <c:pt idx="216">
                  <c:v>2.94616329428663</c:v>
                </c:pt>
                <c:pt idx="217">
                  <c:v>2.8985814896968898</c:v>
                </c:pt>
                <c:pt idx="218">
                  <c:v>2.9038894383062801</c:v>
                </c:pt>
                <c:pt idx="219">
                  <c:v>3.3461436018745201</c:v>
                </c:pt>
                <c:pt idx="220">
                  <c:v>2.8145692009108898</c:v>
                </c:pt>
                <c:pt idx="221">
                  <c:v>3.9255926932971801</c:v>
                </c:pt>
                <c:pt idx="222">
                  <c:v>3.52312136125623</c:v>
                </c:pt>
                <c:pt idx="223">
                  <c:v>4.1681161151756898</c:v>
                </c:pt>
                <c:pt idx="224">
                  <c:v>3.7808844773760901</c:v>
                </c:pt>
                <c:pt idx="225">
                  <c:v>4.0082516596634203</c:v>
                </c:pt>
                <c:pt idx="226">
                  <c:v>3.7318275212239</c:v>
                </c:pt>
                <c:pt idx="227">
                  <c:v>3.8659673796138301</c:v>
                </c:pt>
                <c:pt idx="228">
                  <c:v>3.4074191199470998</c:v>
                </c:pt>
                <c:pt idx="229">
                  <c:v>3.8341842890394</c:v>
                </c:pt>
                <c:pt idx="230">
                  <c:v>3.7073257102146902</c:v>
                </c:pt>
                <c:pt idx="231">
                  <c:v>3.92092196479974</c:v>
                </c:pt>
                <c:pt idx="232">
                  <c:v>3.6766435028657898</c:v>
                </c:pt>
                <c:pt idx="233">
                  <c:v>4.0073615193425098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6-DE4F-84AB-11CE88B0963B}"/>
            </c:ext>
          </c:extLst>
        </c:ser>
        <c:ser>
          <c:idx val="2"/>
          <c:order val="2"/>
          <c:tx>
            <c:strRef>
              <c:f>graphpruningtime!$D$1</c:f>
              <c:strCache>
                <c:ptCount val="1"/>
                <c:pt idx="0">
                  <c:v>No pruning</c:v>
                </c:pt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numRef>
              <c:f>graphpruningtime!$A$2:$A$1001</c:f>
              <c:numCache>
                <c:formatCode>General</c:formatCode>
                <c:ptCount val="100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</c:numCache>
            </c:numRef>
          </c:cat>
          <c:val>
            <c:numRef>
              <c:f>graphpruningtime!$D$2:$D$1001</c:f>
              <c:numCache>
                <c:formatCode>General</c:formatCode>
                <c:ptCount val="1000"/>
                <c:pt idx="0">
                  <c:v>0.54220278243402797</c:v>
                </c:pt>
                <c:pt idx="1">
                  <c:v>0.61552922363713203</c:v>
                </c:pt>
                <c:pt idx="2">
                  <c:v>2.2080461191663798</c:v>
                </c:pt>
                <c:pt idx="3">
                  <c:v>1.9323976550034601</c:v>
                </c:pt>
                <c:pt idx="4">
                  <c:v>2.2749656245392802</c:v>
                </c:pt>
                <c:pt idx="5">
                  <c:v>3.40024364004358</c:v>
                </c:pt>
                <c:pt idx="6">
                  <c:v>3.3214494980491498</c:v>
                </c:pt>
                <c:pt idx="7">
                  <c:v>2.9725753939502302</c:v>
                </c:pt>
                <c:pt idx="8">
                  <c:v>3.2831630015373601</c:v>
                </c:pt>
                <c:pt idx="9">
                  <c:v>4.1166712233739204</c:v>
                </c:pt>
                <c:pt idx="10">
                  <c:v>4.1083635238849201</c:v>
                </c:pt>
                <c:pt idx="11">
                  <c:v>3.8207906095252899</c:v>
                </c:pt>
                <c:pt idx="12">
                  <c:v>4.07947118557425</c:v>
                </c:pt>
                <c:pt idx="13">
                  <c:v>3.9896742045019198</c:v>
                </c:pt>
                <c:pt idx="14">
                  <c:v>3.7241553156659899</c:v>
                </c:pt>
                <c:pt idx="15">
                  <c:v>4.7334545946321498</c:v>
                </c:pt>
                <c:pt idx="16">
                  <c:v>0.174641192660448</c:v>
                </c:pt>
                <c:pt idx="17">
                  <c:v>0.19173039336285599</c:v>
                </c:pt>
                <c:pt idx="18">
                  <c:v>0.42845877351557998</c:v>
                </c:pt>
                <c:pt idx="19">
                  <c:v>0.439174739843468</c:v>
                </c:pt>
                <c:pt idx="20">
                  <c:v>0.18184358794477201</c:v>
                </c:pt>
                <c:pt idx="21">
                  <c:v>0.226857570288723</c:v>
                </c:pt>
                <c:pt idx="22">
                  <c:v>0.19395897801918599</c:v>
                </c:pt>
                <c:pt idx="23">
                  <c:v>0.389874558390985</c:v>
                </c:pt>
                <c:pt idx="24">
                  <c:v>0.21537315278342101</c:v>
                </c:pt>
                <c:pt idx="25">
                  <c:v>0.199480914862355</c:v>
                </c:pt>
                <c:pt idx="26">
                  <c:v>0.178401341533755</c:v>
                </c:pt>
                <c:pt idx="27">
                  <c:v>0.18469143081759801</c:v>
                </c:pt>
                <c:pt idx="28">
                  <c:v>0.169086357487022</c:v>
                </c:pt>
                <c:pt idx="29">
                  <c:v>0.54555450723406496</c:v>
                </c:pt>
                <c:pt idx="30">
                  <c:v>0.17114115102838201</c:v>
                </c:pt>
                <c:pt idx="31">
                  <c:v>0.188084373714938</c:v>
                </c:pt>
                <c:pt idx="32">
                  <c:v>0.23146959043068099</c:v>
                </c:pt>
                <c:pt idx="33">
                  <c:v>0.16761267272753</c:v>
                </c:pt>
                <c:pt idx="34">
                  <c:v>1.7207710208046301</c:v>
                </c:pt>
                <c:pt idx="35">
                  <c:v>1.6433243432481901</c:v>
                </c:pt>
                <c:pt idx="36">
                  <c:v>2.2596727040637599</c:v>
                </c:pt>
                <c:pt idx="37">
                  <c:v>1.8617374722154401</c:v>
                </c:pt>
                <c:pt idx="38">
                  <c:v>1.56362345369003</c:v>
                </c:pt>
                <c:pt idx="39">
                  <c:v>1.63514180639512</c:v>
                </c:pt>
                <c:pt idx="40">
                  <c:v>1.77657770479417</c:v>
                </c:pt>
                <c:pt idx="41">
                  <c:v>1.9887773868429599</c:v>
                </c:pt>
                <c:pt idx="42">
                  <c:v>1.8111995273844901</c:v>
                </c:pt>
                <c:pt idx="43">
                  <c:v>1.7142039805827201</c:v>
                </c:pt>
                <c:pt idx="44">
                  <c:v>1.7771512226019599</c:v>
                </c:pt>
                <c:pt idx="45">
                  <c:v>1.74810271078199</c:v>
                </c:pt>
                <c:pt idx="46">
                  <c:v>2.0926715294453202</c:v>
                </c:pt>
                <c:pt idx="47">
                  <c:v>1.8476713512188601</c:v>
                </c:pt>
                <c:pt idx="48">
                  <c:v>1.81472026645965</c:v>
                </c:pt>
                <c:pt idx="49">
                  <c:v>1.7442460298298099</c:v>
                </c:pt>
                <c:pt idx="50">
                  <c:v>1.76966528305324</c:v>
                </c:pt>
                <c:pt idx="51">
                  <c:v>2.8615409819775501</c:v>
                </c:pt>
                <c:pt idx="52">
                  <c:v>2.7352722576949402</c:v>
                </c:pt>
                <c:pt idx="53">
                  <c:v>3.2478763367207502</c:v>
                </c:pt>
                <c:pt idx="54">
                  <c:v>2.8304962830759899</c:v>
                </c:pt>
                <c:pt idx="55">
                  <c:v>2.77634808543861</c:v>
                </c:pt>
                <c:pt idx="56">
                  <c:v>2.85686719024639</c:v>
                </c:pt>
                <c:pt idx="57">
                  <c:v>3.11091043110281</c:v>
                </c:pt>
                <c:pt idx="58">
                  <c:v>3.0312876529844499</c:v>
                </c:pt>
                <c:pt idx="59">
                  <c:v>3.0421134104473002</c:v>
                </c:pt>
                <c:pt idx="60">
                  <c:v>2.86578716936434</c:v>
                </c:pt>
                <c:pt idx="61">
                  <c:v>2.8084911814358402</c:v>
                </c:pt>
                <c:pt idx="62">
                  <c:v>3.17546397455417</c:v>
                </c:pt>
                <c:pt idx="63">
                  <c:v>2.9964433704738802</c:v>
                </c:pt>
                <c:pt idx="64">
                  <c:v>2.8917810179750498</c:v>
                </c:pt>
                <c:pt idx="65">
                  <c:v>2.8227772339725998</c:v>
                </c:pt>
                <c:pt idx="66">
                  <c:v>2.8800426070710698</c:v>
                </c:pt>
                <c:pt idx="67">
                  <c:v>3.7183909836411599</c:v>
                </c:pt>
                <c:pt idx="68">
                  <c:v>3.6816412373816698</c:v>
                </c:pt>
                <c:pt idx="69">
                  <c:v>4.0006518209167599</c:v>
                </c:pt>
                <c:pt idx="70">
                  <c:v>3.6584998225057999</c:v>
                </c:pt>
                <c:pt idx="71">
                  <c:v>3.64829168962128</c:v>
                </c:pt>
                <c:pt idx="72">
                  <c:v>3.9467914619273698</c:v>
                </c:pt>
                <c:pt idx="73">
                  <c:v>4.0958479947001099</c:v>
                </c:pt>
                <c:pt idx="74">
                  <c:v>4.0033862476132898</c:v>
                </c:pt>
                <c:pt idx="75">
                  <c:v>3.8329281238245301</c:v>
                </c:pt>
                <c:pt idx="76">
                  <c:v>3.8087875330363499</c:v>
                </c:pt>
                <c:pt idx="77">
                  <c:v>3.6273945354700698</c:v>
                </c:pt>
                <c:pt idx="78">
                  <c:v>4.0202575037050403</c:v>
                </c:pt>
                <c:pt idx="79">
                  <c:v>3.7790888926097699</c:v>
                </c:pt>
                <c:pt idx="80">
                  <c:v>3.72118880778048</c:v>
                </c:pt>
                <c:pt idx="81">
                  <c:v>4.4435156811432801</c:v>
                </c:pt>
                <c:pt idx="82">
                  <c:v>4.4805824331002304</c:v>
                </c:pt>
                <c:pt idx="83">
                  <c:v>4.6689589469914301</c:v>
                </c:pt>
                <c:pt idx="84">
                  <c:v>4.3716169437428301</c:v>
                </c:pt>
                <c:pt idx="85">
                  <c:v>4.42026001130845</c:v>
                </c:pt>
                <c:pt idx="86">
                  <c:v>4.5650456988596604</c:v>
                </c:pt>
                <c:pt idx="87">
                  <c:v>2.27270237462767</c:v>
                </c:pt>
                <c:pt idx="88">
                  <c:v>2.02592818108121</c:v>
                </c:pt>
                <c:pt idx="89">
                  <c:v>2.1054659015063502</c:v>
                </c:pt>
                <c:pt idx="90">
                  <c:v>3.3230568816799302</c:v>
                </c:pt>
                <c:pt idx="91">
                  <c:v>3.0778782193608398</c:v>
                </c:pt>
                <c:pt idx="92">
                  <c:v>3.3935523912431398</c:v>
                </c:pt>
                <c:pt idx="93">
                  <c:v>3.06475814769657</c:v>
                </c:pt>
                <c:pt idx="94">
                  <c:v>3.2665068665633701</c:v>
                </c:pt>
                <c:pt idx="95">
                  <c:v>3.1156504449630802</c:v>
                </c:pt>
                <c:pt idx="96">
                  <c:v>4.1233588454188803</c:v>
                </c:pt>
                <c:pt idx="97">
                  <c:v>4.0322659043546496</c:v>
                </c:pt>
                <c:pt idx="98">
                  <c:v>4.2041412625641801</c:v>
                </c:pt>
                <c:pt idx="99">
                  <c:v>3.91699135144852</c:v>
                </c:pt>
                <c:pt idx="100">
                  <c:v>4.0129694324919596</c:v>
                </c:pt>
                <c:pt idx="101">
                  <c:v>4.0747465019042499</c:v>
                </c:pt>
                <c:pt idx="102">
                  <c:v>3.9963259628071501</c:v>
                </c:pt>
                <c:pt idx="103">
                  <c:v>3.9339871473700798</c:v>
                </c:pt>
                <c:pt idx="104">
                  <c:v>4.7730480434079601</c:v>
                </c:pt>
                <c:pt idx="105">
                  <c:v>2.03628148052313</c:v>
                </c:pt>
                <c:pt idx="106">
                  <c:v>1.69442969095708</c:v>
                </c:pt>
                <c:pt idx="107">
                  <c:v>2.1737979303704602</c:v>
                </c:pt>
                <c:pt idx="108">
                  <c:v>1.69703744336914</c:v>
                </c:pt>
                <c:pt idx="109">
                  <c:v>1.5611491056953499</c:v>
                </c:pt>
                <c:pt idx="110">
                  <c:v>1.60388020836629</c:v>
                </c:pt>
                <c:pt idx="111">
                  <c:v>1.7978143935886</c:v>
                </c:pt>
                <c:pt idx="112">
                  <c:v>1.7917608040129001</c:v>
                </c:pt>
                <c:pt idx="113">
                  <c:v>2.0441593902173998</c:v>
                </c:pt>
                <c:pt idx="114">
                  <c:v>1.8314218170650201</c:v>
                </c:pt>
                <c:pt idx="115">
                  <c:v>1.7095328331405</c:v>
                </c:pt>
                <c:pt idx="116">
                  <c:v>1.73041078697446</c:v>
                </c:pt>
                <c:pt idx="117">
                  <c:v>1.73953278941733</c:v>
                </c:pt>
                <c:pt idx="118">
                  <c:v>1.9246462132539499</c:v>
                </c:pt>
                <c:pt idx="119">
                  <c:v>1.85011299370666</c:v>
                </c:pt>
                <c:pt idx="120">
                  <c:v>1.81355430298755</c:v>
                </c:pt>
                <c:pt idx="121">
                  <c:v>1.8884153983775001</c:v>
                </c:pt>
                <c:pt idx="122">
                  <c:v>3.12093569256113</c:v>
                </c:pt>
                <c:pt idx="123">
                  <c:v>2.82426970675527</c:v>
                </c:pt>
                <c:pt idx="124">
                  <c:v>3.2620027994349701</c:v>
                </c:pt>
                <c:pt idx="125">
                  <c:v>2.9109603996053002</c:v>
                </c:pt>
                <c:pt idx="126">
                  <c:v>2.80066966063176</c:v>
                </c:pt>
                <c:pt idx="127">
                  <c:v>3.09253959244873</c:v>
                </c:pt>
                <c:pt idx="128">
                  <c:v>3.17130335885994</c:v>
                </c:pt>
                <c:pt idx="129">
                  <c:v>3.0442096024791798</c:v>
                </c:pt>
                <c:pt idx="130">
                  <c:v>2.9557733503130899</c:v>
                </c:pt>
                <c:pt idx="131">
                  <c:v>2.8109546210062799</c:v>
                </c:pt>
                <c:pt idx="132">
                  <c:v>3.0200097265402999</c:v>
                </c:pt>
                <c:pt idx="133">
                  <c:v>2.9921393489628501</c:v>
                </c:pt>
                <c:pt idx="134">
                  <c:v>2.8881851121805799</c:v>
                </c:pt>
                <c:pt idx="135">
                  <c:v>2.9925035909782398</c:v>
                </c:pt>
                <c:pt idx="136">
                  <c:v>3.9671743597415898</c:v>
                </c:pt>
                <c:pt idx="137">
                  <c:v>3.7168313046964099</c:v>
                </c:pt>
                <c:pt idx="138">
                  <c:v>4.0581561009793097</c:v>
                </c:pt>
                <c:pt idx="139">
                  <c:v>3.72821852084641</c:v>
                </c:pt>
                <c:pt idx="140">
                  <c:v>3.7218676383722902</c:v>
                </c:pt>
                <c:pt idx="141">
                  <c:v>4.1323745253806301</c:v>
                </c:pt>
                <c:pt idx="142">
                  <c:v>4.0645899422866698</c:v>
                </c:pt>
                <c:pt idx="143">
                  <c:v>4.0628576643076704</c:v>
                </c:pt>
                <c:pt idx="144">
                  <c:v>3.6508089554038698</c:v>
                </c:pt>
                <c:pt idx="145">
                  <c:v>3.9918275999413502</c:v>
                </c:pt>
                <c:pt idx="146">
                  <c:v>3.79207888484809</c:v>
                </c:pt>
                <c:pt idx="147">
                  <c:v>3.8512134489122798</c:v>
                </c:pt>
                <c:pt idx="148">
                  <c:v>4.7139300249156504</c:v>
                </c:pt>
                <c:pt idx="149">
                  <c:v>4.52849485720267</c:v>
                </c:pt>
                <c:pt idx="150">
                  <c:v>4.7498360372968804</c:v>
                </c:pt>
                <c:pt idx="151">
                  <c:v>4.45578610593234</c:v>
                </c:pt>
                <c:pt idx="152">
                  <c:v>4.4896025775855204</c:v>
                </c:pt>
                <c:pt idx="153">
                  <c:v>4.7002360018747602</c:v>
                </c:pt>
                <c:pt idx="154">
                  <c:v>3.2757900816942902</c:v>
                </c:pt>
                <c:pt idx="155">
                  <c:v>3.07776168086931</c:v>
                </c:pt>
                <c:pt idx="156">
                  <c:v>2.8926782806917299</c:v>
                </c:pt>
                <c:pt idx="157">
                  <c:v>3.2552018058583498</c:v>
                </c:pt>
                <c:pt idx="158">
                  <c:v>4.1343498025470398</c:v>
                </c:pt>
                <c:pt idx="159">
                  <c:v>4.0504231448694803</c:v>
                </c:pt>
                <c:pt idx="160">
                  <c:v>3.8562419539947701</c:v>
                </c:pt>
                <c:pt idx="161">
                  <c:v>4.0550167148163796</c:v>
                </c:pt>
                <c:pt idx="162">
                  <c:v>4.0627682209024503</c:v>
                </c:pt>
                <c:pt idx="163">
                  <c:v>4.1127424728502904</c:v>
                </c:pt>
                <c:pt idx="164">
                  <c:v>3.9255729508827999</c:v>
                </c:pt>
                <c:pt idx="165">
                  <c:v>4.7824941878569396</c:v>
                </c:pt>
                <c:pt idx="166">
                  <c:v>4.7836749001763401</c:v>
                </c:pt>
                <c:pt idx="167">
                  <c:v>2.8633633130648199</c:v>
                </c:pt>
                <c:pt idx="168">
                  <c:v>2.6828514715933101</c:v>
                </c:pt>
                <c:pt idx="169">
                  <c:v>3.0046411719452299</c:v>
                </c:pt>
                <c:pt idx="170">
                  <c:v>2.9589578661198699</c:v>
                </c:pt>
                <c:pt idx="171">
                  <c:v>2.7823285521020802</c:v>
                </c:pt>
                <c:pt idx="172">
                  <c:v>3.01091787753542</c:v>
                </c:pt>
                <c:pt idx="173">
                  <c:v>3.2297389084972399</c:v>
                </c:pt>
                <c:pt idx="174">
                  <c:v>3.06488421226189</c:v>
                </c:pt>
                <c:pt idx="175">
                  <c:v>2.9305349048100702</c:v>
                </c:pt>
                <c:pt idx="176">
                  <c:v>2.9193103516447501</c:v>
                </c:pt>
                <c:pt idx="177">
                  <c:v>2.81460447642421</c:v>
                </c:pt>
                <c:pt idx="178">
                  <c:v>2.89581135834697</c:v>
                </c:pt>
                <c:pt idx="179">
                  <c:v>3.1869667832564001</c:v>
                </c:pt>
                <c:pt idx="180">
                  <c:v>2.8750039327361798</c:v>
                </c:pt>
                <c:pt idx="181">
                  <c:v>3.0453081107931301</c:v>
                </c:pt>
                <c:pt idx="182">
                  <c:v>3.00274473536897</c:v>
                </c:pt>
                <c:pt idx="183">
                  <c:v>3.7729191108053701</c:v>
                </c:pt>
                <c:pt idx="184">
                  <c:v>3.6241158767600501</c:v>
                </c:pt>
                <c:pt idx="185">
                  <c:v>4.1468703856536999</c:v>
                </c:pt>
                <c:pt idx="186">
                  <c:v>3.8230734630824998</c:v>
                </c:pt>
                <c:pt idx="187">
                  <c:v>3.7164647034154599</c:v>
                </c:pt>
                <c:pt idx="188">
                  <c:v>4.0251212508766203</c:v>
                </c:pt>
                <c:pt idx="189">
                  <c:v>4.06148603005584</c:v>
                </c:pt>
                <c:pt idx="190">
                  <c:v>4.0574707035002699</c:v>
                </c:pt>
                <c:pt idx="191">
                  <c:v>3.99907261698828</c:v>
                </c:pt>
                <c:pt idx="192">
                  <c:v>3.64713308109532</c:v>
                </c:pt>
                <c:pt idx="193">
                  <c:v>3.9006268628664702</c:v>
                </c:pt>
                <c:pt idx="194">
                  <c:v>4.05627237825819</c:v>
                </c:pt>
                <c:pt idx="195">
                  <c:v>3.8634160746988302</c:v>
                </c:pt>
                <c:pt idx="196">
                  <c:v>4.6431797946170796</c:v>
                </c:pt>
                <c:pt idx="197">
                  <c:v>4.4719213628688497</c:v>
                </c:pt>
                <c:pt idx="198">
                  <c:v>4.5892927955217901</c:v>
                </c:pt>
                <c:pt idx="199">
                  <c:v>4.52493730909055</c:v>
                </c:pt>
                <c:pt idx="200">
                  <c:v>3.7592089117880998</c:v>
                </c:pt>
                <c:pt idx="201">
                  <c:v>3.9944016712635801</c:v>
                </c:pt>
                <c:pt idx="202">
                  <c:v>3.8956381479033499</c:v>
                </c:pt>
                <c:pt idx="203">
                  <c:v>3.9075212104849002</c:v>
                </c:pt>
                <c:pt idx="204">
                  <c:v>4.7837755506762401</c:v>
                </c:pt>
                <c:pt idx="205">
                  <c:v>3.7428619949595801</c:v>
                </c:pt>
                <c:pt idx="206">
                  <c:v>3.6062111614249899</c:v>
                </c:pt>
                <c:pt idx="207">
                  <c:v>4.1180476238227497</c:v>
                </c:pt>
                <c:pt idx="208">
                  <c:v>3.8167892923419302</c:v>
                </c:pt>
                <c:pt idx="209">
                  <c:v>3.7419242862884299</c:v>
                </c:pt>
                <c:pt idx="210">
                  <c:v>3.71801439127572</c:v>
                </c:pt>
                <c:pt idx="211">
                  <c:v>3.9390040336130698</c:v>
                </c:pt>
                <c:pt idx="212">
                  <c:v>3.9087794886399498</c:v>
                </c:pt>
                <c:pt idx="213">
                  <c:v>3.7648278323945199</c:v>
                </c:pt>
                <c:pt idx="214">
                  <c:v>4.0058861395459804</c:v>
                </c:pt>
                <c:pt idx="215">
                  <c:v>3.93030877698639</c:v>
                </c:pt>
                <c:pt idx="216">
                  <c:v>3.8177585446687701</c:v>
                </c:pt>
                <c:pt idx="217">
                  <c:v>3.7825285198588601</c:v>
                </c:pt>
                <c:pt idx="218">
                  <c:v>3.82006911419592</c:v>
                </c:pt>
                <c:pt idx="219">
                  <c:v>4.0785590356090404</c:v>
                </c:pt>
                <c:pt idx="220">
                  <c:v>3.6932417451172799</c:v>
                </c:pt>
                <c:pt idx="221">
                  <c:v>4.6180709305831202</c:v>
                </c:pt>
                <c:pt idx="222">
                  <c:v>4.47866517455686</c:v>
                </c:pt>
                <c:pt idx="223">
                  <c:v>4.83835339754323</c:v>
                </c:pt>
                <c:pt idx="224">
                  <c:v>4.6290418121160704</c:v>
                </c:pt>
                <c:pt idx="225">
                  <c:v>4.8145973350280196</c:v>
                </c:pt>
                <c:pt idx="226">
                  <c:v>4.59402088726935</c:v>
                </c:pt>
                <c:pt idx="227">
                  <c:v>4.5678755873365704</c:v>
                </c:pt>
                <c:pt idx="228">
                  <c:v>4.3885071055989497</c:v>
                </c:pt>
                <c:pt idx="229">
                  <c:v>4.5263804041639402</c:v>
                </c:pt>
                <c:pt idx="230">
                  <c:v>4.5953862895230504</c:v>
                </c:pt>
                <c:pt idx="231">
                  <c:v>4.7653418171026898</c:v>
                </c:pt>
                <c:pt idx="232">
                  <c:v>4.5450731530895698</c:v>
                </c:pt>
                <c:pt idx="233">
                  <c:v>4.7839355287425196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C6-DE4F-84AB-11CE88B09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120873"/>
        <c:axId val="1490944063"/>
      </c:areaChart>
      <c:catAx>
        <c:axId val="514120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0944063"/>
        <c:crosses val="autoZero"/>
        <c:auto val="1"/>
        <c:lblAlgn val="ctr"/>
        <c:lblOffset val="100"/>
        <c:noMultiLvlLbl val="1"/>
      </c:catAx>
      <c:valAx>
        <c:axId val="1490944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412087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time_crit_pts, time_bneck, time_switch, time_match_dist and total_exact_time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graphtime!$A$1</c:f>
              <c:strCache>
                <c:ptCount val="1"/>
                <c:pt idx="0">
                  <c:v>time_crit_pts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val>
            <c:numRef>
              <c:f>graphtime!$A$2:$A$1000</c:f>
              <c:numCache>
                <c:formatCode>General</c:formatCode>
                <c:ptCount val="999"/>
                <c:pt idx="0">
                  <c:v>-2.1549019599857431</c:v>
                </c:pt>
                <c:pt idx="1">
                  <c:v>-3</c:v>
                </c:pt>
                <c:pt idx="2">
                  <c:v>-2.0969100130080562</c:v>
                </c:pt>
                <c:pt idx="3">
                  <c:v>-2.3010299956639813</c:v>
                </c:pt>
                <c:pt idx="4">
                  <c:v>-2.0457574905606752</c:v>
                </c:pt>
                <c:pt idx="5">
                  <c:v>-1.5086383061657274</c:v>
                </c:pt>
                <c:pt idx="6">
                  <c:v>-1.5686362358410126</c:v>
                </c:pt>
                <c:pt idx="7">
                  <c:v>-1.8860566476931633</c:v>
                </c:pt>
                <c:pt idx="8">
                  <c:v>-1.6382721639824072</c:v>
                </c:pt>
                <c:pt idx="9">
                  <c:v>-1.2924298239020637</c:v>
                </c:pt>
                <c:pt idx="10">
                  <c:v>-1.2924298239020637</c:v>
                </c:pt>
                <c:pt idx="11">
                  <c:v>-1.4559319556497243</c:v>
                </c:pt>
                <c:pt idx="12">
                  <c:v>-1.3010299956639813</c:v>
                </c:pt>
                <c:pt idx="13">
                  <c:v>-1.3872161432802645</c:v>
                </c:pt>
                <c:pt idx="14">
                  <c:v>-1.6382721639824072</c:v>
                </c:pt>
                <c:pt idx="15">
                  <c:v>-0.77469071827413716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-3</c:v>
                </c:pt>
                <c:pt idx="24">
                  <c:v>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-2.6989700043360187</c:v>
                </c:pt>
                <c:pt idx="35">
                  <c:v>-2.5228787452803374</c:v>
                </c:pt>
                <c:pt idx="36">
                  <c:v>-2.0457574905606752</c:v>
                </c:pt>
                <c:pt idx="37">
                  <c:v>-2.3979400086720375</c:v>
                </c:pt>
                <c:pt idx="38">
                  <c:v>-2.6989700043360187</c:v>
                </c:pt>
                <c:pt idx="39">
                  <c:v>-2.6989700043360187</c:v>
                </c:pt>
                <c:pt idx="40">
                  <c:v>-2.5228787452803374</c:v>
                </c:pt>
                <c:pt idx="41">
                  <c:v>-2.3010299956639813</c:v>
                </c:pt>
                <c:pt idx="42">
                  <c:v>-2.5228787452803374</c:v>
                </c:pt>
                <c:pt idx="43">
                  <c:v>-2.6989700043360187</c:v>
                </c:pt>
                <c:pt idx="44">
                  <c:v>-2.6989700043360187</c:v>
                </c:pt>
                <c:pt idx="45">
                  <c:v>-2.6989700043360187</c:v>
                </c:pt>
                <c:pt idx="46">
                  <c:v>-2.5228787452803374</c:v>
                </c:pt>
                <c:pt idx="47">
                  <c:v>-2.5228787452803374</c:v>
                </c:pt>
                <c:pt idx="48">
                  <c:v>-2.5228787452803374</c:v>
                </c:pt>
                <c:pt idx="49">
                  <c:v>-2.5228787452803374</c:v>
                </c:pt>
                <c:pt idx="50">
                  <c:v>-2.5228787452803374</c:v>
                </c:pt>
                <c:pt idx="51">
                  <c:v>-2.0969100130080562</c:v>
                </c:pt>
                <c:pt idx="52">
                  <c:v>-2.2218487496163561</c:v>
                </c:pt>
                <c:pt idx="53">
                  <c:v>-1.6020599913279623</c:v>
                </c:pt>
                <c:pt idx="54">
                  <c:v>-2.1549019599857431</c:v>
                </c:pt>
                <c:pt idx="55">
                  <c:v>-2.3010299956639813</c:v>
                </c:pt>
                <c:pt idx="56">
                  <c:v>-2.0457574905606752</c:v>
                </c:pt>
                <c:pt idx="57">
                  <c:v>-1.7695510786217261</c:v>
                </c:pt>
                <c:pt idx="58">
                  <c:v>-1.9208187539523751</c:v>
                </c:pt>
                <c:pt idx="59">
                  <c:v>-1.9586073148417751</c:v>
                </c:pt>
                <c:pt idx="60">
                  <c:v>-2.1549019599857431</c:v>
                </c:pt>
                <c:pt idx="61">
                  <c:v>-2.2218487496163561</c:v>
                </c:pt>
                <c:pt idx="62">
                  <c:v>-1.8239087409443189</c:v>
                </c:pt>
                <c:pt idx="63">
                  <c:v>-2</c:v>
                </c:pt>
                <c:pt idx="64">
                  <c:v>-2.0969100130080562</c:v>
                </c:pt>
                <c:pt idx="65">
                  <c:v>-2.0969100130080562</c:v>
                </c:pt>
                <c:pt idx="66">
                  <c:v>-2</c:v>
                </c:pt>
                <c:pt idx="67">
                  <c:v>-1.6989700043360187</c:v>
                </c:pt>
                <c:pt idx="68">
                  <c:v>-1.7958800173440752</c:v>
                </c:pt>
                <c:pt idx="69">
                  <c:v>-1.2218487496163564</c:v>
                </c:pt>
                <c:pt idx="70">
                  <c:v>-1.7695510786217261</c:v>
                </c:pt>
                <c:pt idx="71">
                  <c:v>-1.7958800173440752</c:v>
                </c:pt>
                <c:pt idx="72">
                  <c:v>-1.4685210829577449</c:v>
                </c:pt>
                <c:pt idx="73">
                  <c:v>-1.2676062401770316</c:v>
                </c:pt>
                <c:pt idx="74">
                  <c:v>-1.3979400086720375</c:v>
                </c:pt>
                <c:pt idx="75">
                  <c:v>-1.6020599913279623</c:v>
                </c:pt>
                <c:pt idx="76">
                  <c:v>-1.6020599913279623</c:v>
                </c:pt>
                <c:pt idx="77">
                  <c:v>-1.8239087409443189</c:v>
                </c:pt>
                <c:pt idx="78">
                  <c:v>-1.3187587626244128</c:v>
                </c:pt>
                <c:pt idx="79">
                  <c:v>-1.585026652029182</c:v>
                </c:pt>
                <c:pt idx="80">
                  <c:v>-1.6777807052660807</c:v>
                </c:pt>
                <c:pt idx="81">
                  <c:v>-0.8477116556169435</c:v>
                </c:pt>
                <c:pt idx="82">
                  <c:v>-1.3187587626244128</c:v>
                </c:pt>
                <c:pt idx="83">
                  <c:v>-0.80410034759076621</c:v>
                </c:pt>
                <c:pt idx="84">
                  <c:v>-1.3372421683184259</c:v>
                </c:pt>
                <c:pt idx="85">
                  <c:v>-1.3565473235138126</c:v>
                </c:pt>
                <c:pt idx="86">
                  <c:v>-1.1487416512809248</c:v>
                </c:pt>
                <c:pt idx="87">
                  <c:v>-2.0969100130080562</c:v>
                </c:pt>
                <c:pt idx="88">
                  <c:v>-2.1549019599857431</c:v>
                </c:pt>
                <c:pt idx="89">
                  <c:v>-2.1549019599857431</c:v>
                </c:pt>
                <c:pt idx="90">
                  <c:v>-1.585026652029182</c:v>
                </c:pt>
                <c:pt idx="91">
                  <c:v>-1.8860566476931633</c:v>
                </c:pt>
                <c:pt idx="92">
                  <c:v>-1.4685210829577449</c:v>
                </c:pt>
                <c:pt idx="93">
                  <c:v>-1.7695510786217261</c:v>
                </c:pt>
                <c:pt idx="94">
                  <c:v>-1.744727494896694</c:v>
                </c:pt>
                <c:pt idx="95">
                  <c:v>-1.7958800173440752</c:v>
                </c:pt>
                <c:pt idx="96">
                  <c:v>-1.3098039199714864</c:v>
                </c:pt>
                <c:pt idx="97">
                  <c:v>-1.3979400086720375</c:v>
                </c:pt>
                <c:pt idx="98">
                  <c:v>-1.1739251972991736</c:v>
                </c:pt>
                <c:pt idx="99">
                  <c:v>-1.3565473235138126</c:v>
                </c:pt>
                <c:pt idx="100">
                  <c:v>-1.4814860601221125</c:v>
                </c:pt>
                <c:pt idx="101">
                  <c:v>-1.3979400086720375</c:v>
                </c:pt>
                <c:pt idx="102">
                  <c:v>-1.4089353929735009</c:v>
                </c:pt>
                <c:pt idx="103">
                  <c:v>-1.431798275933005</c:v>
                </c:pt>
                <c:pt idx="104">
                  <c:v>-0.69897000433601875</c:v>
                </c:pt>
                <c:pt idx="105">
                  <c:v>-2.3979400086720375</c:v>
                </c:pt>
                <c:pt idx="106">
                  <c:v>-2.5228787452803374</c:v>
                </c:pt>
                <c:pt idx="107">
                  <c:v>-2.0969100130080562</c:v>
                </c:pt>
                <c:pt idx="108">
                  <c:v>-2.6989700043360187</c:v>
                </c:pt>
                <c:pt idx="109">
                  <c:v>-3</c:v>
                </c:pt>
                <c:pt idx="110">
                  <c:v>-2.6989700043360187</c:v>
                </c:pt>
                <c:pt idx="111">
                  <c:v>-2.5228787452803374</c:v>
                </c:pt>
                <c:pt idx="112">
                  <c:v>-2.5228787452803374</c:v>
                </c:pt>
                <c:pt idx="113">
                  <c:v>-2.3010299956639813</c:v>
                </c:pt>
                <c:pt idx="114">
                  <c:v>-2.3979400086720375</c:v>
                </c:pt>
                <c:pt idx="115">
                  <c:v>-2.6989700043360187</c:v>
                </c:pt>
                <c:pt idx="116">
                  <c:v>-2.6989700043360187</c:v>
                </c:pt>
                <c:pt idx="117">
                  <c:v>-2.6989700043360187</c:v>
                </c:pt>
                <c:pt idx="118">
                  <c:v>-2.5228787452803374</c:v>
                </c:pt>
                <c:pt idx="119">
                  <c:v>-2.6989700043360187</c:v>
                </c:pt>
                <c:pt idx="120">
                  <c:v>-2.5228787452803374</c:v>
                </c:pt>
                <c:pt idx="121">
                  <c:v>-2.3979400086720375</c:v>
                </c:pt>
                <c:pt idx="122">
                  <c:v>-1.8860566476931633</c:v>
                </c:pt>
                <c:pt idx="123">
                  <c:v>-2.0969100130080562</c:v>
                </c:pt>
                <c:pt idx="124">
                  <c:v>-1.5686362358410126</c:v>
                </c:pt>
                <c:pt idx="125">
                  <c:v>-2.0457574905606752</c:v>
                </c:pt>
                <c:pt idx="126">
                  <c:v>-2.2218487496163561</c:v>
                </c:pt>
                <c:pt idx="127">
                  <c:v>-1.744727494896694</c:v>
                </c:pt>
                <c:pt idx="128">
                  <c:v>-1.744727494896694</c:v>
                </c:pt>
                <c:pt idx="129">
                  <c:v>-1.853871964321762</c:v>
                </c:pt>
                <c:pt idx="130">
                  <c:v>-2.0969100130080562</c:v>
                </c:pt>
                <c:pt idx="131">
                  <c:v>-2.2218487496163561</c:v>
                </c:pt>
                <c:pt idx="132">
                  <c:v>-1.9208187539523751</c:v>
                </c:pt>
                <c:pt idx="133">
                  <c:v>-2</c:v>
                </c:pt>
                <c:pt idx="134">
                  <c:v>-2.0457574905606752</c:v>
                </c:pt>
                <c:pt idx="135">
                  <c:v>-1.8860566476931633</c:v>
                </c:pt>
                <c:pt idx="136">
                  <c:v>-1.494850021680094</c:v>
                </c:pt>
                <c:pt idx="137">
                  <c:v>-1.7695510786217261</c:v>
                </c:pt>
                <c:pt idx="138">
                  <c:v>-1.1870866433571443</c:v>
                </c:pt>
                <c:pt idx="139">
                  <c:v>-1.6989700043360187</c:v>
                </c:pt>
                <c:pt idx="140">
                  <c:v>-1.744727494896694</c:v>
                </c:pt>
                <c:pt idx="141">
                  <c:v>-1.2365720064370627</c:v>
                </c:pt>
                <c:pt idx="142">
                  <c:v>-1.3098039199714864</c:v>
                </c:pt>
                <c:pt idx="143">
                  <c:v>-1.3010299956639813</c:v>
                </c:pt>
                <c:pt idx="144">
                  <c:v>-1.8239087409443189</c:v>
                </c:pt>
                <c:pt idx="145">
                  <c:v>-1.3979400086720375</c:v>
                </c:pt>
                <c:pt idx="146">
                  <c:v>-1.585026652029182</c:v>
                </c:pt>
                <c:pt idx="147">
                  <c:v>-1.5528419686577808</c:v>
                </c:pt>
                <c:pt idx="148">
                  <c:v>-0.75945075171740029</c:v>
                </c:pt>
                <c:pt idx="149">
                  <c:v>-1.2757241303992111</c:v>
                </c:pt>
                <c:pt idx="150">
                  <c:v>-0.82102305270683062</c:v>
                </c:pt>
                <c:pt idx="151">
                  <c:v>-1.0409586076789064</c:v>
                </c:pt>
                <c:pt idx="152">
                  <c:v>-1.3010299956639813</c:v>
                </c:pt>
                <c:pt idx="153">
                  <c:v>-0.83268266525182388</c:v>
                </c:pt>
                <c:pt idx="154">
                  <c:v>-1.6575773191777938</c:v>
                </c:pt>
                <c:pt idx="155">
                  <c:v>-1.8860566476931633</c:v>
                </c:pt>
                <c:pt idx="156">
                  <c:v>-1.8860566476931633</c:v>
                </c:pt>
                <c:pt idx="157">
                  <c:v>-1.7695510786217261</c:v>
                </c:pt>
                <c:pt idx="158">
                  <c:v>-1.2924298239020637</c:v>
                </c:pt>
                <c:pt idx="159">
                  <c:v>-1.2924298239020637</c:v>
                </c:pt>
                <c:pt idx="160">
                  <c:v>-1.3979400086720375</c:v>
                </c:pt>
                <c:pt idx="161">
                  <c:v>-1.4436974992327127</c:v>
                </c:pt>
                <c:pt idx="162">
                  <c:v>-1.4089353929735009</c:v>
                </c:pt>
                <c:pt idx="163">
                  <c:v>-1.3565473235138126</c:v>
                </c:pt>
                <c:pt idx="164">
                  <c:v>-1.4089353929735009</c:v>
                </c:pt>
                <c:pt idx="165">
                  <c:v>-0.83268266525182388</c:v>
                </c:pt>
                <c:pt idx="166">
                  <c:v>-0.74957999769110606</c:v>
                </c:pt>
                <c:pt idx="167">
                  <c:v>-2.0969100130080562</c:v>
                </c:pt>
                <c:pt idx="168">
                  <c:v>-2.3010299956639813</c:v>
                </c:pt>
                <c:pt idx="169">
                  <c:v>-1.7695510786217261</c:v>
                </c:pt>
                <c:pt idx="170">
                  <c:v>-2</c:v>
                </c:pt>
                <c:pt idx="171">
                  <c:v>-2.2218487496163561</c:v>
                </c:pt>
                <c:pt idx="172">
                  <c:v>-1.853871964321762</c:v>
                </c:pt>
                <c:pt idx="173">
                  <c:v>-1.6020599913279623</c:v>
                </c:pt>
                <c:pt idx="174">
                  <c:v>-1.853871964321762</c:v>
                </c:pt>
                <c:pt idx="175">
                  <c:v>-2</c:v>
                </c:pt>
                <c:pt idx="176">
                  <c:v>-2.1549019599857431</c:v>
                </c:pt>
                <c:pt idx="177">
                  <c:v>-2.1549019599857431</c:v>
                </c:pt>
                <c:pt idx="178">
                  <c:v>-2</c:v>
                </c:pt>
                <c:pt idx="179">
                  <c:v>-1.9586073148417751</c:v>
                </c:pt>
                <c:pt idx="180">
                  <c:v>-2.0457574905606752</c:v>
                </c:pt>
                <c:pt idx="181">
                  <c:v>-1.9208187539523751</c:v>
                </c:pt>
                <c:pt idx="182">
                  <c:v>-1.9208187539523751</c:v>
                </c:pt>
                <c:pt idx="183">
                  <c:v>-1.6575773191777938</c:v>
                </c:pt>
                <c:pt idx="184">
                  <c:v>-1.8860566476931633</c:v>
                </c:pt>
                <c:pt idx="185">
                  <c:v>-1.1487416512809248</c:v>
                </c:pt>
                <c:pt idx="186">
                  <c:v>-1.6020599913279623</c:v>
                </c:pt>
                <c:pt idx="187">
                  <c:v>-1.744727494896694</c:v>
                </c:pt>
                <c:pt idx="188">
                  <c:v>-1.3187587626244128</c:v>
                </c:pt>
                <c:pt idx="189">
                  <c:v>-1.3010299956639813</c:v>
                </c:pt>
                <c:pt idx="190">
                  <c:v>-1.3010299956639813</c:v>
                </c:pt>
                <c:pt idx="191">
                  <c:v>-1.3979400086720375</c:v>
                </c:pt>
                <c:pt idx="192">
                  <c:v>-1.8239087409443189</c:v>
                </c:pt>
                <c:pt idx="193">
                  <c:v>-1.4559319556497243</c:v>
                </c:pt>
                <c:pt idx="194">
                  <c:v>-1.3187587626244128</c:v>
                </c:pt>
                <c:pt idx="195">
                  <c:v>-1.5686362358410126</c:v>
                </c:pt>
                <c:pt idx="196">
                  <c:v>-0.80410034759076621</c:v>
                </c:pt>
                <c:pt idx="197">
                  <c:v>-1.3467874862246563</c:v>
                </c:pt>
                <c:pt idx="198">
                  <c:v>-0.87942606879415008</c:v>
                </c:pt>
                <c:pt idx="199">
                  <c:v>-0.91721462968354994</c:v>
                </c:pt>
                <c:pt idx="200">
                  <c:v>-1.5228787452803376</c:v>
                </c:pt>
                <c:pt idx="201">
                  <c:v>-1.4685210829577449</c:v>
                </c:pt>
                <c:pt idx="202">
                  <c:v>-1.494850021680094</c:v>
                </c:pt>
                <c:pt idx="203">
                  <c:v>-1.431798275933005</c:v>
                </c:pt>
                <c:pt idx="204">
                  <c:v>-0.8124792791635369</c:v>
                </c:pt>
                <c:pt idx="205">
                  <c:v>-1.6575773191777938</c:v>
                </c:pt>
                <c:pt idx="206">
                  <c:v>-1.8860566476931633</c:v>
                </c:pt>
                <c:pt idx="207">
                  <c:v>-1.1487416512809248</c:v>
                </c:pt>
                <c:pt idx="208">
                  <c:v>-1.5686362358410126</c:v>
                </c:pt>
                <c:pt idx="209">
                  <c:v>-1.6989700043360187</c:v>
                </c:pt>
                <c:pt idx="210">
                  <c:v>-1.744727494896694</c:v>
                </c:pt>
                <c:pt idx="211">
                  <c:v>-1.4202164033831899</c:v>
                </c:pt>
                <c:pt idx="212">
                  <c:v>-1.4685210829577449</c:v>
                </c:pt>
                <c:pt idx="213">
                  <c:v>-1.6197887582883939</c:v>
                </c:pt>
                <c:pt idx="214">
                  <c:v>-1.3565473235138126</c:v>
                </c:pt>
                <c:pt idx="215">
                  <c:v>-1.431798275933005</c:v>
                </c:pt>
                <c:pt idx="216">
                  <c:v>-1.585026652029182</c:v>
                </c:pt>
                <c:pt idx="217">
                  <c:v>-1.6777807052660807</c:v>
                </c:pt>
                <c:pt idx="218">
                  <c:v>-1.5528419686577808</c:v>
                </c:pt>
                <c:pt idx="219">
                  <c:v>-1.2441251443275085</c:v>
                </c:pt>
                <c:pt idx="220">
                  <c:v>-1.6989700043360187</c:v>
                </c:pt>
                <c:pt idx="221">
                  <c:v>-0.82681373158772598</c:v>
                </c:pt>
                <c:pt idx="222">
                  <c:v>-1.3372421683184259</c:v>
                </c:pt>
                <c:pt idx="223">
                  <c:v>-0.63638802010785567</c:v>
                </c:pt>
                <c:pt idx="224">
                  <c:v>-0.95467702121334252</c:v>
                </c:pt>
                <c:pt idx="225">
                  <c:v>-0.75202673363819339</c:v>
                </c:pt>
                <c:pt idx="226">
                  <c:v>-0.81530856918240124</c:v>
                </c:pt>
                <c:pt idx="227">
                  <c:v>-0.80687540164553839</c:v>
                </c:pt>
                <c:pt idx="228">
                  <c:v>-1.4089353929735009</c:v>
                </c:pt>
                <c:pt idx="229">
                  <c:v>-0.90308998699194354</c:v>
                </c:pt>
                <c:pt idx="230">
                  <c:v>-0.58335949266171905</c:v>
                </c:pt>
                <c:pt idx="231">
                  <c:v>-0.85698519974590492</c:v>
                </c:pt>
                <c:pt idx="232">
                  <c:v>-0.94309514866352739</c:v>
                </c:pt>
                <c:pt idx="233">
                  <c:v>-0.80687540164553839</c:v>
                </c:pt>
                <c:pt idx="234">
                  <c:v>-1.6777807052660807</c:v>
                </c:pt>
                <c:pt idx="235">
                  <c:v>-2.2218487496163561</c:v>
                </c:pt>
                <c:pt idx="236">
                  <c:v>-1.8860566476931633</c:v>
                </c:pt>
                <c:pt idx="237">
                  <c:v>-1.9586073148417751</c:v>
                </c:pt>
                <c:pt idx="238">
                  <c:v>-1.853871964321762</c:v>
                </c:pt>
                <c:pt idx="239">
                  <c:v>-1.2146701649892331</c:v>
                </c:pt>
                <c:pt idx="240">
                  <c:v>-1.2924298239020637</c:v>
                </c:pt>
                <c:pt idx="241">
                  <c:v>-1.3187587626244128</c:v>
                </c:pt>
                <c:pt idx="242">
                  <c:v>-1.2218487496163564</c:v>
                </c:pt>
                <c:pt idx="243">
                  <c:v>-1.0457574905606752</c:v>
                </c:pt>
                <c:pt idx="244">
                  <c:v>-1.2291479883578558</c:v>
                </c:pt>
                <c:pt idx="245">
                  <c:v>-0.96657624451305035</c:v>
                </c:pt>
                <c:pt idx="246">
                  <c:v>-1.0915149811213503</c:v>
                </c:pt>
                <c:pt idx="247">
                  <c:v>-0.9507819773298184</c:v>
                </c:pt>
                <c:pt idx="248">
                  <c:v>-1.5376020021010439</c:v>
                </c:pt>
                <c:pt idx="249">
                  <c:v>-0.89619627904404309</c:v>
                </c:pt>
                <c:pt idx="250">
                  <c:v>-2.3010299956639813</c:v>
                </c:pt>
                <c:pt idx="251">
                  <c:v>-1.5686362358410126</c:v>
                </c:pt>
                <c:pt idx="252">
                  <c:v>-1.0915149811213503</c:v>
                </c:pt>
                <c:pt idx="253">
                  <c:v>-1.0757207139381184</c:v>
                </c:pt>
                <c:pt idx="254">
                  <c:v>-1.0861861476162833</c:v>
                </c:pt>
                <c:pt idx="255">
                  <c:v>-1.5376020021010439</c:v>
                </c:pt>
                <c:pt idx="256">
                  <c:v>-1.5228787452803376</c:v>
                </c:pt>
                <c:pt idx="257">
                  <c:v>-1.7958800173440752</c:v>
                </c:pt>
                <c:pt idx="258">
                  <c:v>-2.3010299956639813</c:v>
                </c:pt>
                <c:pt idx="259">
                  <c:v>-2.3010299956639813</c:v>
                </c:pt>
                <c:pt idx="260">
                  <c:v>-1.7695510786217261</c:v>
                </c:pt>
                <c:pt idx="261">
                  <c:v>-1.7958800173440752</c:v>
                </c:pt>
                <c:pt idx="262">
                  <c:v>-1.6989700043360187</c:v>
                </c:pt>
                <c:pt idx="263">
                  <c:v>-1.3767507096020994</c:v>
                </c:pt>
                <c:pt idx="264">
                  <c:v>-2.3010299956639813</c:v>
                </c:pt>
                <c:pt idx="265">
                  <c:v>-1.2839966563652008</c:v>
                </c:pt>
                <c:pt idx="266">
                  <c:v>-1.2596373105057561</c:v>
                </c:pt>
                <c:pt idx="267">
                  <c:v>-2.2218487496163561</c:v>
                </c:pt>
                <c:pt idx="268">
                  <c:v>-2.1549019599857431</c:v>
                </c:pt>
                <c:pt idx="269">
                  <c:v>-1.6020599913279623</c:v>
                </c:pt>
                <c:pt idx="270">
                  <c:v>-1.0362121726544447</c:v>
                </c:pt>
                <c:pt idx="271">
                  <c:v>-1.0705810742857071</c:v>
                </c:pt>
                <c:pt idx="272">
                  <c:v>-1.080921907623926</c:v>
                </c:pt>
                <c:pt idx="273">
                  <c:v>-2.0457574905606752</c:v>
                </c:pt>
                <c:pt idx="274">
                  <c:v>-2.0969100130080562</c:v>
                </c:pt>
                <c:pt idx="275">
                  <c:v>-2</c:v>
                </c:pt>
                <c:pt idx="276">
                  <c:v>-2.0969100130080562</c:v>
                </c:pt>
                <c:pt idx="277">
                  <c:v>-2.1549019599857431</c:v>
                </c:pt>
                <c:pt idx="278">
                  <c:v>-2.1549019599857431</c:v>
                </c:pt>
                <c:pt idx="279">
                  <c:v>-2.0969100130080562</c:v>
                </c:pt>
                <c:pt idx="280">
                  <c:v>-2.0457574905606752</c:v>
                </c:pt>
                <c:pt idx="281">
                  <c:v>-2.1549019599857431</c:v>
                </c:pt>
                <c:pt idx="282">
                  <c:v>-2.0969100130080562</c:v>
                </c:pt>
                <c:pt idx="283">
                  <c:v>-2.0969100130080562</c:v>
                </c:pt>
                <c:pt idx="284">
                  <c:v>-2.0969100130080562</c:v>
                </c:pt>
                <c:pt idx="285">
                  <c:v>-1.8860566476931633</c:v>
                </c:pt>
                <c:pt idx="286">
                  <c:v>-1.9586073148417751</c:v>
                </c:pt>
                <c:pt idx="287">
                  <c:v>-1.2676062401770316</c:v>
                </c:pt>
                <c:pt idx="288">
                  <c:v>-1.9208187539523751</c:v>
                </c:pt>
                <c:pt idx="289">
                  <c:v>-1.9586073148417751</c:v>
                </c:pt>
                <c:pt idx="290">
                  <c:v>-0.99567862621735737</c:v>
                </c:pt>
                <c:pt idx="291">
                  <c:v>-1.2365720064370627</c:v>
                </c:pt>
                <c:pt idx="292">
                  <c:v>-1.4685210829577449</c:v>
                </c:pt>
                <c:pt idx="293">
                  <c:v>-1.0655015487564323</c:v>
                </c:pt>
                <c:pt idx="294">
                  <c:v>-1.080921907623926</c:v>
                </c:pt>
                <c:pt idx="295">
                  <c:v>-0.99567862621735737</c:v>
                </c:pt>
                <c:pt idx="296">
                  <c:v>-1.1191864077192086</c:v>
                </c:pt>
                <c:pt idx="297">
                  <c:v>-1.6020599913279623</c:v>
                </c:pt>
                <c:pt idx="298">
                  <c:v>-1.6575773191777938</c:v>
                </c:pt>
                <c:pt idx="299">
                  <c:v>-1.5528419686577808</c:v>
                </c:pt>
                <c:pt idx="300">
                  <c:v>-1.7958800173440752</c:v>
                </c:pt>
                <c:pt idx="301">
                  <c:v>-1.2596373105057561</c:v>
                </c:pt>
                <c:pt idx="302">
                  <c:v>-1.3372421683184259</c:v>
                </c:pt>
                <c:pt idx="303">
                  <c:v>-1.0087739243075051</c:v>
                </c:pt>
                <c:pt idx="304">
                  <c:v>-1.3279021420642825</c:v>
                </c:pt>
                <c:pt idx="305">
                  <c:v>-1.0969100130080565</c:v>
                </c:pt>
                <c:pt idx="306">
                  <c:v>-1.0087739243075051</c:v>
                </c:pt>
                <c:pt idx="307">
                  <c:v>-1.2218487496163564</c:v>
                </c:pt>
                <c:pt idx="308">
                  <c:v>-1.1487416512809248</c:v>
                </c:pt>
                <c:pt idx="309">
                  <c:v>-1.5228787452803376</c:v>
                </c:pt>
                <c:pt idx="310">
                  <c:v>-1.494850021680094</c:v>
                </c:pt>
                <c:pt idx="311">
                  <c:v>-1.6777807052660807</c:v>
                </c:pt>
                <c:pt idx="312">
                  <c:v>-1.1366771398795441</c:v>
                </c:pt>
                <c:pt idx="313">
                  <c:v>-1.5086383061657274</c:v>
                </c:pt>
                <c:pt idx="314">
                  <c:v>-1.5376020021010439</c:v>
                </c:pt>
                <c:pt idx="315">
                  <c:v>-1.0177287669604316</c:v>
                </c:pt>
                <c:pt idx="316">
                  <c:v>-1.1366771398795441</c:v>
                </c:pt>
                <c:pt idx="317">
                  <c:v>-0.8096683018297085</c:v>
                </c:pt>
                <c:pt idx="318">
                  <c:v>-1.0506099933550872</c:v>
                </c:pt>
                <c:pt idx="319">
                  <c:v>-1.0705810742857071</c:v>
                </c:pt>
                <c:pt idx="320">
                  <c:v>-0.84163750790475034</c:v>
                </c:pt>
                <c:pt idx="321">
                  <c:v>-1.8860566476931633</c:v>
                </c:pt>
                <c:pt idx="322">
                  <c:v>-1.9208187539523751</c:v>
                </c:pt>
                <c:pt idx="323">
                  <c:v>-0.77989191195994489</c:v>
                </c:pt>
                <c:pt idx="324">
                  <c:v>-0.8477116556169435</c:v>
                </c:pt>
                <c:pt idx="325">
                  <c:v>-1.744727494896694</c:v>
                </c:pt>
                <c:pt idx="326">
                  <c:v>-1.3979400086720375</c:v>
                </c:pt>
                <c:pt idx="327">
                  <c:v>-1.6382721639824072</c:v>
                </c:pt>
                <c:pt idx="328">
                  <c:v>-0.85387196432176193</c:v>
                </c:pt>
                <c:pt idx="329">
                  <c:v>-1.4814860601221125</c:v>
                </c:pt>
                <c:pt idx="330">
                  <c:v>-1.0861861476162833</c:v>
                </c:pt>
                <c:pt idx="331">
                  <c:v>-1.3187587626244128</c:v>
                </c:pt>
                <c:pt idx="332">
                  <c:v>-1.1366771398795441</c:v>
                </c:pt>
                <c:pt idx="333">
                  <c:v>-1.3010299956639813</c:v>
                </c:pt>
                <c:pt idx="334">
                  <c:v>-1.3979400086720375</c:v>
                </c:pt>
                <c:pt idx="335">
                  <c:v>-1.2218487496163564</c:v>
                </c:pt>
                <c:pt idx="336">
                  <c:v>-1.3279021420642825</c:v>
                </c:pt>
                <c:pt idx="337">
                  <c:v>-1.3665315444204136</c:v>
                </c:pt>
                <c:pt idx="338">
                  <c:v>-0.87614835903291421</c:v>
                </c:pt>
                <c:pt idx="339">
                  <c:v>-1.3767507096020994</c:v>
                </c:pt>
                <c:pt idx="340">
                  <c:v>-1.585026652029182</c:v>
                </c:pt>
                <c:pt idx="341">
                  <c:v>-1.0457574905606752</c:v>
                </c:pt>
                <c:pt idx="342">
                  <c:v>-1.080921907623926</c:v>
                </c:pt>
                <c:pt idx="343">
                  <c:v>-1.080921907623926</c:v>
                </c:pt>
                <c:pt idx="344">
                  <c:v>-2.1549019599857431</c:v>
                </c:pt>
                <c:pt idx="345">
                  <c:v>-2</c:v>
                </c:pt>
                <c:pt idx="346">
                  <c:v>-2.0969100130080562</c:v>
                </c:pt>
                <c:pt idx="347">
                  <c:v>-1.9586073148417751</c:v>
                </c:pt>
                <c:pt idx="348">
                  <c:v>-2.0969100130080562</c:v>
                </c:pt>
                <c:pt idx="349">
                  <c:v>-2.1549019599857431</c:v>
                </c:pt>
                <c:pt idx="350">
                  <c:v>-0.79317412396815024</c:v>
                </c:pt>
                <c:pt idx="351">
                  <c:v>-2.1549019599857431</c:v>
                </c:pt>
                <c:pt idx="352">
                  <c:v>-2.0969100130080562</c:v>
                </c:pt>
                <c:pt idx="353">
                  <c:v>-2.1549019599857431</c:v>
                </c:pt>
                <c:pt idx="354">
                  <c:v>-0.80134291304557737</c:v>
                </c:pt>
                <c:pt idx="355">
                  <c:v>-2.0457574905606752</c:v>
                </c:pt>
                <c:pt idx="356">
                  <c:v>-1.4559319556497243</c:v>
                </c:pt>
                <c:pt idx="357">
                  <c:v>-1.2365720064370627</c:v>
                </c:pt>
                <c:pt idx="358">
                  <c:v>-0.84163750790475034</c:v>
                </c:pt>
                <c:pt idx="359">
                  <c:v>-0.90308998699194354</c:v>
                </c:pt>
                <c:pt idx="360">
                  <c:v>-1.9586073148417751</c:v>
                </c:pt>
                <c:pt idx="361">
                  <c:v>-1.6382721639824072</c:v>
                </c:pt>
                <c:pt idx="362">
                  <c:v>-1.6382721639824072</c:v>
                </c:pt>
                <c:pt idx="363">
                  <c:v>-0.86327943284359321</c:v>
                </c:pt>
                <c:pt idx="364">
                  <c:v>-1.5528419686577808</c:v>
                </c:pt>
                <c:pt idx="365">
                  <c:v>-1.1870866433571443</c:v>
                </c:pt>
                <c:pt idx="366">
                  <c:v>-1.7695510786217261</c:v>
                </c:pt>
                <c:pt idx="367">
                  <c:v>-1.3467874862246563</c:v>
                </c:pt>
                <c:pt idx="368">
                  <c:v>-1.3279021420642825</c:v>
                </c:pt>
                <c:pt idx="369">
                  <c:v>-1.3979400086720375</c:v>
                </c:pt>
                <c:pt idx="370">
                  <c:v>-1.2146701649892331</c:v>
                </c:pt>
                <c:pt idx="371">
                  <c:v>-1.2596373105057561</c:v>
                </c:pt>
                <c:pt idx="372">
                  <c:v>-1.1366771398795441</c:v>
                </c:pt>
                <c:pt idx="373">
                  <c:v>-1.3372421683184259</c:v>
                </c:pt>
                <c:pt idx="374">
                  <c:v>-1.5228787452803376</c:v>
                </c:pt>
                <c:pt idx="375">
                  <c:v>-1.0506099933550872</c:v>
                </c:pt>
                <c:pt idx="376">
                  <c:v>-1.2518119729937995</c:v>
                </c:pt>
                <c:pt idx="377">
                  <c:v>-1.080921907623926</c:v>
                </c:pt>
                <c:pt idx="378">
                  <c:v>-1.5086383061657274</c:v>
                </c:pt>
                <c:pt idx="379">
                  <c:v>-1.3467874862246563</c:v>
                </c:pt>
                <c:pt idx="380">
                  <c:v>-1.4814860601221125</c:v>
                </c:pt>
                <c:pt idx="381">
                  <c:v>-1.4685210829577449</c:v>
                </c:pt>
                <c:pt idx="382">
                  <c:v>-0.79588001734407521</c:v>
                </c:pt>
                <c:pt idx="383">
                  <c:v>-1.0969100130080565</c:v>
                </c:pt>
                <c:pt idx="384">
                  <c:v>-0.68193666503723849</c:v>
                </c:pt>
                <c:pt idx="385">
                  <c:v>-1.1739251972991736</c:v>
                </c:pt>
                <c:pt idx="386">
                  <c:v>-1.1135092748275182</c:v>
                </c:pt>
                <c:pt idx="387">
                  <c:v>-1.0506099933550872</c:v>
                </c:pt>
                <c:pt idx="388">
                  <c:v>-1.5686362358410126</c:v>
                </c:pt>
                <c:pt idx="389">
                  <c:v>-1.7212463990471711</c:v>
                </c:pt>
                <c:pt idx="390">
                  <c:v>-0.99139982823808248</c:v>
                </c:pt>
                <c:pt idx="391">
                  <c:v>-0.90657831483776496</c:v>
                </c:pt>
                <c:pt idx="392">
                  <c:v>-1.2441251443275085</c:v>
                </c:pt>
                <c:pt idx="393">
                  <c:v>-1.1426675035687315</c:v>
                </c:pt>
                <c:pt idx="394">
                  <c:v>-1.3372421683184259</c:v>
                </c:pt>
                <c:pt idx="395">
                  <c:v>-1.1611509092627446</c:v>
                </c:pt>
                <c:pt idx="396">
                  <c:v>-1.2924298239020637</c:v>
                </c:pt>
                <c:pt idx="397">
                  <c:v>-1.2006594505464183</c:v>
                </c:pt>
                <c:pt idx="398">
                  <c:v>-1.3467874862246563</c:v>
                </c:pt>
                <c:pt idx="399">
                  <c:v>-0.86646109162978246</c:v>
                </c:pt>
                <c:pt idx="400">
                  <c:v>-0.9244530386074693</c:v>
                </c:pt>
                <c:pt idx="401">
                  <c:v>-1.431798275933005</c:v>
                </c:pt>
                <c:pt idx="402">
                  <c:v>-1.1549019599857431</c:v>
                </c:pt>
                <c:pt idx="403">
                  <c:v>-1.6382721639824072</c:v>
                </c:pt>
                <c:pt idx="404">
                  <c:v>-1.8239087409443189</c:v>
                </c:pt>
                <c:pt idx="405">
                  <c:v>-1.0969100130080565</c:v>
                </c:pt>
                <c:pt idx="406">
                  <c:v>-1.3467874862246563</c:v>
                </c:pt>
                <c:pt idx="407">
                  <c:v>-1.2146701649892331</c:v>
                </c:pt>
                <c:pt idx="408">
                  <c:v>-0.98716277529482777</c:v>
                </c:pt>
                <c:pt idx="409">
                  <c:v>-1.585026652029182</c:v>
                </c:pt>
                <c:pt idx="410">
                  <c:v>-0.94309514866352739</c:v>
                </c:pt>
                <c:pt idx="411">
                  <c:v>-1.5376020021010439</c:v>
                </c:pt>
                <c:pt idx="412">
                  <c:v>-1.8239087409443189</c:v>
                </c:pt>
                <c:pt idx="413">
                  <c:v>-1.7695510786217261</c:v>
                </c:pt>
                <c:pt idx="414">
                  <c:v>-1.853871964321762</c:v>
                </c:pt>
                <c:pt idx="415">
                  <c:v>-1.744727494896694</c:v>
                </c:pt>
                <c:pt idx="416">
                  <c:v>-1.3872161432802645</c:v>
                </c:pt>
                <c:pt idx="417">
                  <c:v>-1.3010299956639813</c:v>
                </c:pt>
                <c:pt idx="418">
                  <c:v>-1.0362121726544447</c:v>
                </c:pt>
                <c:pt idx="419">
                  <c:v>-0.94692155651658028</c:v>
                </c:pt>
                <c:pt idx="420">
                  <c:v>-1.494850021680094</c:v>
                </c:pt>
                <c:pt idx="421">
                  <c:v>-1.6020599913279623</c:v>
                </c:pt>
                <c:pt idx="422">
                  <c:v>-1.2757241303992111</c:v>
                </c:pt>
                <c:pt idx="423">
                  <c:v>-1.2441251443275085</c:v>
                </c:pt>
                <c:pt idx="424">
                  <c:v>-1.2518119729937995</c:v>
                </c:pt>
                <c:pt idx="425">
                  <c:v>-1.3372421683184259</c:v>
                </c:pt>
                <c:pt idx="426">
                  <c:v>-1.6777807052660807</c:v>
                </c:pt>
                <c:pt idx="427">
                  <c:v>-1.3979400086720375</c:v>
                </c:pt>
                <c:pt idx="428">
                  <c:v>-1.2676062401770316</c:v>
                </c:pt>
                <c:pt idx="429">
                  <c:v>-1.4814860601221125</c:v>
                </c:pt>
                <c:pt idx="430">
                  <c:v>-0.82973828460504262</c:v>
                </c:pt>
                <c:pt idx="431">
                  <c:v>-1.1079053973095196</c:v>
                </c:pt>
                <c:pt idx="432">
                  <c:v>-1.1804560644581312</c:v>
                </c:pt>
                <c:pt idx="433">
                  <c:v>-1.0705810742857071</c:v>
                </c:pt>
                <c:pt idx="434">
                  <c:v>-1.4436974992327127</c:v>
                </c:pt>
                <c:pt idx="435">
                  <c:v>-1.1870866433571443</c:v>
                </c:pt>
                <c:pt idx="436">
                  <c:v>-1.3098039199714864</c:v>
                </c:pt>
                <c:pt idx="437">
                  <c:v>-1.2146701649892331</c:v>
                </c:pt>
                <c:pt idx="438">
                  <c:v>-0.90657831483776496</c:v>
                </c:pt>
                <c:pt idx="439">
                  <c:v>-1.3979400086720375</c:v>
                </c:pt>
                <c:pt idx="440">
                  <c:v>-1.2757241303992111</c:v>
                </c:pt>
                <c:pt idx="441">
                  <c:v>-1.0177287669604316</c:v>
                </c:pt>
                <c:pt idx="442">
                  <c:v>-1.2676062401770316</c:v>
                </c:pt>
                <c:pt idx="443">
                  <c:v>-0.94692155651658028</c:v>
                </c:pt>
                <c:pt idx="444">
                  <c:v>-1.4089353929735009</c:v>
                </c:pt>
                <c:pt idx="445">
                  <c:v>-1.3565473235138126</c:v>
                </c:pt>
                <c:pt idx="446">
                  <c:v>-1.2839966563652008</c:v>
                </c:pt>
                <c:pt idx="447">
                  <c:v>-1.3279021420642825</c:v>
                </c:pt>
                <c:pt idx="448">
                  <c:v>-1.3010299956639813</c:v>
                </c:pt>
                <c:pt idx="449">
                  <c:v>-1.1487416512809248</c:v>
                </c:pt>
                <c:pt idx="450">
                  <c:v>-1.494850021680094</c:v>
                </c:pt>
                <c:pt idx="451">
                  <c:v>-1.4685210829577449</c:v>
                </c:pt>
                <c:pt idx="452">
                  <c:v>-1.4559319556497243</c:v>
                </c:pt>
                <c:pt idx="453">
                  <c:v>-1.1938200260161129</c:v>
                </c:pt>
                <c:pt idx="454">
                  <c:v>-1.585026652029182</c:v>
                </c:pt>
                <c:pt idx="455">
                  <c:v>-0.86327943284359321</c:v>
                </c:pt>
                <c:pt idx="456">
                  <c:v>-1.1366771398795441</c:v>
                </c:pt>
                <c:pt idx="457">
                  <c:v>-0.63827216398240705</c:v>
                </c:pt>
                <c:pt idx="458">
                  <c:v>-0.92811799269387463</c:v>
                </c:pt>
                <c:pt idx="459">
                  <c:v>-0.83564714421556296</c:v>
                </c:pt>
                <c:pt idx="460">
                  <c:v>-1.0222763947111522</c:v>
                </c:pt>
                <c:pt idx="461">
                  <c:v>-0.95467702121334252</c:v>
                </c:pt>
                <c:pt idx="462">
                  <c:v>-1.2006594505464183</c:v>
                </c:pt>
                <c:pt idx="463">
                  <c:v>-0.8477116556169435</c:v>
                </c:pt>
                <c:pt idx="464">
                  <c:v>-0.93554201077308152</c:v>
                </c:pt>
                <c:pt idx="465">
                  <c:v>-0.90308998699194354</c:v>
                </c:pt>
                <c:pt idx="466">
                  <c:v>-1.0362121726544447</c:v>
                </c:pt>
                <c:pt idx="467">
                  <c:v>-0.86012091359876341</c:v>
                </c:pt>
                <c:pt idx="468">
                  <c:v>-2.1549019599857431</c:v>
                </c:pt>
                <c:pt idx="469">
                  <c:v>-3</c:v>
                </c:pt>
                <c:pt idx="470">
                  <c:v>-2.0969100130080562</c:v>
                </c:pt>
                <c:pt idx="471">
                  <c:v>-2.3010299956639813</c:v>
                </c:pt>
                <c:pt idx="472">
                  <c:v>-2.0457574905606752</c:v>
                </c:pt>
                <c:pt idx="473">
                  <c:v>-1.5086383061657274</c:v>
                </c:pt>
                <c:pt idx="474">
                  <c:v>-1.5686362358410126</c:v>
                </c:pt>
                <c:pt idx="475">
                  <c:v>-1.8860566476931633</c:v>
                </c:pt>
                <c:pt idx="476">
                  <c:v>-1.6382721639824072</c:v>
                </c:pt>
                <c:pt idx="477">
                  <c:v>-1.0457574905606752</c:v>
                </c:pt>
                <c:pt idx="478">
                  <c:v>-0.9507819773298184</c:v>
                </c:pt>
                <c:pt idx="479">
                  <c:v>-0.9244530386074693</c:v>
                </c:pt>
                <c:pt idx="480">
                  <c:v>-1.0222763947111522</c:v>
                </c:pt>
                <c:pt idx="481">
                  <c:v>-1.0705810742857071</c:v>
                </c:pt>
                <c:pt idx="482">
                  <c:v>-0.95860731484177497</c:v>
                </c:pt>
                <c:pt idx="483">
                  <c:v>-0.72815839346350109</c:v>
                </c:pt>
                <c:pt idx="484">
                  <c:v>0</c:v>
                </c:pt>
                <c:pt idx="485">
                  <c:v>0</c:v>
                </c:pt>
                <c:pt idx="486">
                  <c:v>-3</c:v>
                </c:pt>
                <c:pt idx="487">
                  <c:v>-3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-3</c:v>
                </c:pt>
                <c:pt idx="492">
                  <c:v>-3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-3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-2.6989700043360187</c:v>
                </c:pt>
                <c:pt idx="503">
                  <c:v>-2.5228787452803374</c:v>
                </c:pt>
                <c:pt idx="504">
                  <c:v>-2.0457574905606752</c:v>
                </c:pt>
                <c:pt idx="505">
                  <c:v>-2.3979400086720375</c:v>
                </c:pt>
                <c:pt idx="506">
                  <c:v>-2.6989700043360187</c:v>
                </c:pt>
                <c:pt idx="507">
                  <c:v>-2.6989700043360187</c:v>
                </c:pt>
                <c:pt idx="508">
                  <c:v>-2.5228787452803374</c:v>
                </c:pt>
                <c:pt idx="509">
                  <c:v>-2.3010299956639813</c:v>
                </c:pt>
                <c:pt idx="510">
                  <c:v>-2.5228787452803374</c:v>
                </c:pt>
                <c:pt idx="511">
                  <c:v>-2.6989700043360187</c:v>
                </c:pt>
                <c:pt idx="512">
                  <c:v>-2.6989700043360187</c:v>
                </c:pt>
                <c:pt idx="513">
                  <c:v>-2.6989700043360187</c:v>
                </c:pt>
                <c:pt idx="514">
                  <c:v>-2.3979400086720375</c:v>
                </c:pt>
                <c:pt idx="515">
                  <c:v>-2.5228787452803374</c:v>
                </c:pt>
                <c:pt idx="516">
                  <c:v>-2.5228787452803374</c:v>
                </c:pt>
                <c:pt idx="517">
                  <c:v>-2.5228787452803374</c:v>
                </c:pt>
                <c:pt idx="518">
                  <c:v>-2.5228787452803374</c:v>
                </c:pt>
                <c:pt idx="519">
                  <c:v>-2.0969100130080562</c:v>
                </c:pt>
                <c:pt idx="520">
                  <c:v>-2.2218487496163561</c:v>
                </c:pt>
                <c:pt idx="521">
                  <c:v>-1.6020599913279623</c:v>
                </c:pt>
                <c:pt idx="522">
                  <c:v>-2.1549019599857431</c:v>
                </c:pt>
                <c:pt idx="523">
                  <c:v>-2.3010299956639813</c:v>
                </c:pt>
                <c:pt idx="524">
                  <c:v>-2.0969100130080562</c:v>
                </c:pt>
                <c:pt idx="525">
                  <c:v>-1.7695510786217261</c:v>
                </c:pt>
                <c:pt idx="526">
                  <c:v>-1.9208187539523751</c:v>
                </c:pt>
                <c:pt idx="527">
                  <c:v>-1.9586073148417751</c:v>
                </c:pt>
                <c:pt idx="528">
                  <c:v>-2.1549019599857431</c:v>
                </c:pt>
                <c:pt idx="529">
                  <c:v>-2.2218487496163561</c:v>
                </c:pt>
                <c:pt idx="530">
                  <c:v>-1.8239087409443189</c:v>
                </c:pt>
                <c:pt idx="531">
                  <c:v>-2</c:v>
                </c:pt>
                <c:pt idx="532">
                  <c:v>-2.0969100130080562</c:v>
                </c:pt>
                <c:pt idx="533">
                  <c:v>-2.0969100130080562</c:v>
                </c:pt>
                <c:pt idx="534">
                  <c:v>-2</c:v>
                </c:pt>
                <c:pt idx="535">
                  <c:v>-1.0087739243075051</c:v>
                </c:pt>
                <c:pt idx="536">
                  <c:v>-1.3372421683184259</c:v>
                </c:pt>
                <c:pt idx="537">
                  <c:v>-0.61439372640168788</c:v>
                </c:pt>
                <c:pt idx="538">
                  <c:v>-1.1739251972991736</c:v>
                </c:pt>
                <c:pt idx="539">
                  <c:v>-1.2218487496163564</c:v>
                </c:pt>
                <c:pt idx="540">
                  <c:v>-1.4202164033831899</c:v>
                </c:pt>
                <c:pt idx="541">
                  <c:v>-1.0362121726544447</c:v>
                </c:pt>
                <c:pt idx="542">
                  <c:v>-1.0861861476162833</c:v>
                </c:pt>
                <c:pt idx="543">
                  <c:v>-1.1135092748275182</c:v>
                </c:pt>
                <c:pt idx="544">
                  <c:v>-1.0268721464003014</c:v>
                </c:pt>
                <c:pt idx="545">
                  <c:v>-1.2924298239020637</c:v>
                </c:pt>
                <c:pt idx="546">
                  <c:v>-1.1191864077192086</c:v>
                </c:pt>
                <c:pt idx="547">
                  <c:v>-1.1674910872937636</c:v>
                </c:pt>
                <c:pt idx="548">
                  <c:v>-1.2076083105017461</c:v>
                </c:pt>
                <c:pt idx="549">
                  <c:v>-0.89619627904404309</c:v>
                </c:pt>
                <c:pt idx="550">
                  <c:v>-1.2291479883578558</c:v>
                </c:pt>
                <c:pt idx="551">
                  <c:v>-0.78781239559604221</c:v>
                </c:pt>
                <c:pt idx="552">
                  <c:v>-0.88941028970075098</c:v>
                </c:pt>
                <c:pt idx="553">
                  <c:v>-0.57839607313016894</c:v>
                </c:pt>
                <c:pt idx="554">
                  <c:v>-1.0555173278498313</c:v>
                </c:pt>
                <c:pt idx="555">
                  <c:v>-2.0969100130080562</c:v>
                </c:pt>
                <c:pt idx="556">
                  <c:v>-2.1549019599857431</c:v>
                </c:pt>
                <c:pt idx="557">
                  <c:v>-2.1549019599857431</c:v>
                </c:pt>
                <c:pt idx="558">
                  <c:v>-1.585026652029182</c:v>
                </c:pt>
                <c:pt idx="559">
                  <c:v>-1.8860566476931633</c:v>
                </c:pt>
                <c:pt idx="560">
                  <c:v>-1.4559319556497243</c:v>
                </c:pt>
                <c:pt idx="561">
                  <c:v>-1.7695510786217261</c:v>
                </c:pt>
                <c:pt idx="562">
                  <c:v>-1.744727494896694</c:v>
                </c:pt>
                <c:pt idx="563">
                  <c:v>-1.7958800173440752</c:v>
                </c:pt>
                <c:pt idx="564">
                  <c:v>-1.2676062401770316</c:v>
                </c:pt>
                <c:pt idx="565">
                  <c:v>-1.1739251972991736</c:v>
                </c:pt>
                <c:pt idx="566">
                  <c:v>-0.86966623150499389</c:v>
                </c:pt>
                <c:pt idx="567">
                  <c:v>-0.99139982823808248</c:v>
                </c:pt>
                <c:pt idx="568">
                  <c:v>-1.4089353929735009</c:v>
                </c:pt>
                <c:pt idx="569">
                  <c:v>-1.0087739243075051</c:v>
                </c:pt>
                <c:pt idx="570">
                  <c:v>-1.2441251443275085</c:v>
                </c:pt>
                <c:pt idx="571">
                  <c:v>-1.3767507096020994</c:v>
                </c:pt>
                <c:pt idx="572">
                  <c:v>-0.75945075171740029</c:v>
                </c:pt>
                <c:pt idx="573">
                  <c:v>-2.3979400086720375</c:v>
                </c:pt>
                <c:pt idx="574">
                  <c:v>-2.5228787452803374</c:v>
                </c:pt>
                <c:pt idx="575">
                  <c:v>-2.0969100130080562</c:v>
                </c:pt>
                <c:pt idx="576">
                  <c:v>-2.5228787452803374</c:v>
                </c:pt>
                <c:pt idx="577">
                  <c:v>-3</c:v>
                </c:pt>
                <c:pt idx="578">
                  <c:v>-2.6989700043360187</c:v>
                </c:pt>
                <c:pt idx="579">
                  <c:v>-2.5228787452803374</c:v>
                </c:pt>
                <c:pt idx="580">
                  <c:v>-2.5228787452803374</c:v>
                </c:pt>
                <c:pt idx="581">
                  <c:v>-2.3010299956639813</c:v>
                </c:pt>
                <c:pt idx="582">
                  <c:v>-2.3979400086720375</c:v>
                </c:pt>
                <c:pt idx="583">
                  <c:v>-2.6989700043360187</c:v>
                </c:pt>
                <c:pt idx="584">
                  <c:v>-2.6989700043360187</c:v>
                </c:pt>
                <c:pt idx="585">
                  <c:v>-2.6989700043360187</c:v>
                </c:pt>
                <c:pt idx="586">
                  <c:v>-2.5228787452803374</c:v>
                </c:pt>
                <c:pt idx="587">
                  <c:v>-2.6989700043360187</c:v>
                </c:pt>
                <c:pt idx="588">
                  <c:v>-2.5228787452803374</c:v>
                </c:pt>
                <c:pt idx="589">
                  <c:v>-2.3979400086720375</c:v>
                </c:pt>
                <c:pt idx="590">
                  <c:v>-1.8860566476931633</c:v>
                </c:pt>
                <c:pt idx="591">
                  <c:v>-2.0969100130080562</c:v>
                </c:pt>
                <c:pt idx="592">
                  <c:v>-1.5686362358410126</c:v>
                </c:pt>
                <c:pt idx="593">
                  <c:v>-2.0457574905606752</c:v>
                </c:pt>
                <c:pt idx="594">
                  <c:v>-2.2218487496163561</c:v>
                </c:pt>
                <c:pt idx="595">
                  <c:v>-1.744727494896694</c:v>
                </c:pt>
                <c:pt idx="596">
                  <c:v>-1.744727494896694</c:v>
                </c:pt>
                <c:pt idx="597">
                  <c:v>-1.853871964321762</c:v>
                </c:pt>
                <c:pt idx="598">
                  <c:v>-2.0969100130080562</c:v>
                </c:pt>
                <c:pt idx="599">
                  <c:v>-2.2218487496163561</c:v>
                </c:pt>
                <c:pt idx="600">
                  <c:v>-1.9208187539523751</c:v>
                </c:pt>
                <c:pt idx="601">
                  <c:v>-2</c:v>
                </c:pt>
                <c:pt idx="602">
                  <c:v>-2.0457574905606752</c:v>
                </c:pt>
                <c:pt idx="603">
                  <c:v>-1.8860566476931633</c:v>
                </c:pt>
                <c:pt idx="604">
                  <c:v>-1.1739251972991736</c:v>
                </c:pt>
                <c:pt idx="605">
                  <c:v>-1.3767507096020994</c:v>
                </c:pt>
                <c:pt idx="606">
                  <c:v>-1.1549019599857431</c:v>
                </c:pt>
                <c:pt idx="607">
                  <c:v>-1.6020599913279623</c:v>
                </c:pt>
                <c:pt idx="608">
                  <c:v>-1.6382721639824072</c:v>
                </c:pt>
                <c:pt idx="609">
                  <c:v>-1.2006594505464183</c:v>
                </c:pt>
                <c:pt idx="610">
                  <c:v>-0.86646109162978246</c:v>
                </c:pt>
                <c:pt idx="611">
                  <c:v>-1.2596373105057561</c:v>
                </c:pt>
                <c:pt idx="612">
                  <c:v>-1.3979400086720375</c:v>
                </c:pt>
                <c:pt idx="613">
                  <c:v>-1.0409586076789064</c:v>
                </c:pt>
                <c:pt idx="614">
                  <c:v>-1.494850021680094</c:v>
                </c:pt>
                <c:pt idx="615">
                  <c:v>-1.4814860601221125</c:v>
                </c:pt>
                <c:pt idx="616">
                  <c:v>-0.40893539297350079</c:v>
                </c:pt>
                <c:pt idx="617">
                  <c:v>-1.0655015487564323</c:v>
                </c:pt>
                <c:pt idx="618">
                  <c:v>-0.75202673363819339</c:v>
                </c:pt>
                <c:pt idx="619">
                  <c:v>-0.80134291304557737</c:v>
                </c:pt>
                <c:pt idx="620">
                  <c:v>-1.1191864077192086</c:v>
                </c:pt>
                <c:pt idx="621">
                  <c:v>-0.57348873863542471</c:v>
                </c:pt>
                <c:pt idx="622">
                  <c:v>-1.6575773191777938</c:v>
                </c:pt>
                <c:pt idx="623">
                  <c:v>-1.8860566476931633</c:v>
                </c:pt>
                <c:pt idx="624">
                  <c:v>-1.8860566476931633</c:v>
                </c:pt>
                <c:pt idx="625">
                  <c:v>-1.7695510786217261</c:v>
                </c:pt>
                <c:pt idx="626">
                  <c:v>-1.0915149811213503</c:v>
                </c:pt>
                <c:pt idx="627">
                  <c:v>-1.2596373105057561</c:v>
                </c:pt>
                <c:pt idx="628">
                  <c:v>-1.3565473235138126</c:v>
                </c:pt>
                <c:pt idx="629">
                  <c:v>-0.69036983257410123</c:v>
                </c:pt>
                <c:pt idx="630">
                  <c:v>-1.3010299956639813</c:v>
                </c:pt>
                <c:pt idx="631">
                  <c:v>-1.1135092748275182</c:v>
                </c:pt>
                <c:pt idx="632">
                  <c:v>-1.3372421683184259</c:v>
                </c:pt>
                <c:pt idx="633">
                  <c:v>-0.43770713554352531</c:v>
                </c:pt>
                <c:pt idx="634">
                  <c:v>-0.70774392864352398</c:v>
                </c:pt>
                <c:pt idx="635">
                  <c:v>-2.0969100130080562</c:v>
                </c:pt>
                <c:pt idx="636">
                  <c:v>-2.3010299956639813</c:v>
                </c:pt>
                <c:pt idx="637">
                  <c:v>-1.7695510786217261</c:v>
                </c:pt>
                <c:pt idx="638">
                  <c:v>-2</c:v>
                </c:pt>
                <c:pt idx="639">
                  <c:v>-2.2218487496163561</c:v>
                </c:pt>
                <c:pt idx="640">
                  <c:v>-1.853871964321762</c:v>
                </c:pt>
                <c:pt idx="641">
                  <c:v>-1.6020599913279623</c:v>
                </c:pt>
                <c:pt idx="642">
                  <c:v>-1.853871964321762</c:v>
                </c:pt>
                <c:pt idx="643">
                  <c:v>-2</c:v>
                </c:pt>
                <c:pt idx="644">
                  <c:v>-2.1549019599857431</c:v>
                </c:pt>
                <c:pt idx="645">
                  <c:v>-2.1549019599857431</c:v>
                </c:pt>
                <c:pt idx="646">
                  <c:v>-2</c:v>
                </c:pt>
                <c:pt idx="647">
                  <c:v>-1.9586073148417751</c:v>
                </c:pt>
                <c:pt idx="648">
                  <c:v>-2.0457574905606752</c:v>
                </c:pt>
                <c:pt idx="649">
                  <c:v>-1.9208187539523751</c:v>
                </c:pt>
                <c:pt idx="650">
                  <c:v>-1.9208187539523751</c:v>
                </c:pt>
                <c:pt idx="651">
                  <c:v>-1.0409586076789064</c:v>
                </c:pt>
                <c:pt idx="652">
                  <c:v>-1.1938200260161129</c:v>
                </c:pt>
                <c:pt idx="653">
                  <c:v>-0.86012091359876341</c:v>
                </c:pt>
                <c:pt idx="654">
                  <c:v>-1.0705810742857071</c:v>
                </c:pt>
                <c:pt idx="655">
                  <c:v>-1.1739251972991736</c:v>
                </c:pt>
                <c:pt idx="656">
                  <c:v>-1.0705810742857071</c:v>
                </c:pt>
                <c:pt idx="657">
                  <c:v>-0.86327943284359321</c:v>
                </c:pt>
                <c:pt idx="658">
                  <c:v>-0.74957999769110606</c:v>
                </c:pt>
                <c:pt idx="659">
                  <c:v>-1.1079053973095196</c:v>
                </c:pt>
                <c:pt idx="660">
                  <c:v>-1.4089353929735009</c:v>
                </c:pt>
                <c:pt idx="661">
                  <c:v>-1.1023729087095586</c:v>
                </c:pt>
                <c:pt idx="662">
                  <c:v>-1.2757241303992111</c:v>
                </c:pt>
                <c:pt idx="663">
                  <c:v>-1.5086383061657274</c:v>
                </c:pt>
                <c:pt idx="664">
                  <c:v>-0.72353819582675583</c:v>
                </c:pt>
                <c:pt idx="665">
                  <c:v>-0.88272870434423567</c:v>
                </c:pt>
                <c:pt idx="666">
                  <c:v>-0.85387196432176193</c:v>
                </c:pt>
                <c:pt idx="667">
                  <c:v>-0.59176003468815042</c:v>
                </c:pt>
                <c:pt idx="668">
                  <c:v>-1.1079053973095196</c:v>
                </c:pt>
                <c:pt idx="669">
                  <c:v>-0.94309514866352739</c:v>
                </c:pt>
                <c:pt idx="670">
                  <c:v>-1.1804560644581312</c:v>
                </c:pt>
                <c:pt idx="671">
                  <c:v>-1.1135092748275182</c:v>
                </c:pt>
                <c:pt idx="672">
                  <c:v>-0.57839607313016894</c:v>
                </c:pt>
                <c:pt idx="673">
                  <c:v>-1.1135092748275182</c:v>
                </c:pt>
                <c:pt idx="674">
                  <c:v>-1.2365720064370627</c:v>
                </c:pt>
                <c:pt idx="675">
                  <c:v>-0.86012091359876341</c:v>
                </c:pt>
                <c:pt idx="676">
                  <c:v>-1.0555173278498313</c:v>
                </c:pt>
                <c:pt idx="677">
                  <c:v>-1.2924298239020637</c:v>
                </c:pt>
                <c:pt idx="678">
                  <c:v>-1.2291479883578558</c:v>
                </c:pt>
                <c:pt idx="679">
                  <c:v>-1.3187587626244128</c:v>
                </c:pt>
                <c:pt idx="680">
                  <c:v>-1.0757207139381184</c:v>
                </c:pt>
                <c:pt idx="681">
                  <c:v>-0.62708799702989348</c:v>
                </c:pt>
                <c:pt idx="682">
                  <c:v>-0.98296666070121963</c:v>
                </c:pt>
                <c:pt idx="683">
                  <c:v>-1.1249387366082999</c:v>
                </c:pt>
                <c:pt idx="684">
                  <c:v>-1.3665315444204136</c:v>
                </c:pt>
                <c:pt idx="685">
                  <c:v>-1.3279021420642825</c:v>
                </c:pt>
                <c:pt idx="686">
                  <c:v>-1.1674910872937636</c:v>
                </c:pt>
                <c:pt idx="687">
                  <c:v>-0.69680394257951106</c:v>
                </c:pt>
                <c:pt idx="688">
                  <c:v>-1.6020599913279623</c:v>
                </c:pt>
                <c:pt idx="689">
                  <c:v>-0.88272870434423567</c:v>
                </c:pt>
                <c:pt idx="690">
                  <c:v>-1.0655015487564323</c:v>
                </c:pt>
                <c:pt idx="691">
                  <c:v>-0.44977164694490596</c:v>
                </c:pt>
                <c:pt idx="692">
                  <c:v>-0.54515513999148979</c:v>
                </c:pt>
                <c:pt idx="693">
                  <c:v>-0.60554831917378371</c:v>
                </c:pt>
                <c:pt idx="694">
                  <c:v>-0.96657624451305035</c:v>
                </c:pt>
                <c:pt idx="695">
                  <c:v>-0.70333480973846885</c:v>
                </c:pt>
                <c:pt idx="696">
                  <c:v>-1.1249387366082999</c:v>
                </c:pt>
                <c:pt idx="697">
                  <c:v>-0.9507819773298184</c:v>
                </c:pt>
                <c:pt idx="698">
                  <c:v>-0.60730304674033431</c:v>
                </c:pt>
                <c:pt idx="699">
                  <c:v>-0.55909091793478227</c:v>
                </c:pt>
                <c:pt idx="700">
                  <c:v>-0.74232142513081545</c:v>
                </c:pt>
                <c:pt idx="701">
                  <c:v>-0.75945075171740029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0-3D4B-94BA-692EA945F59A}"/>
            </c:ext>
          </c:extLst>
        </c:ser>
        <c:ser>
          <c:idx val="1"/>
          <c:order val="1"/>
          <c:tx>
            <c:strRef>
              <c:f>graphtime!$B$1</c:f>
              <c:strCache>
                <c:ptCount val="1"/>
                <c:pt idx="0">
                  <c:v>time_bneck</c:v>
                </c:pt>
              </c:strCache>
            </c:strRef>
          </c:tx>
          <c:spPr>
            <a:solidFill>
              <a:srgbClr val="FFF2CC">
                <a:alpha val="30000"/>
              </a:srgbClr>
            </a:solidFill>
            <a:ln cmpd="sng">
              <a:solidFill>
                <a:srgbClr val="FFF2CC">
                  <a:alpha val="100000"/>
                </a:srgbClr>
              </a:solidFill>
            </a:ln>
          </c:spPr>
          <c:val>
            <c:numRef>
              <c:f>graphtime!$B$2:$B$1000</c:f>
              <c:numCache>
                <c:formatCode>General</c:formatCode>
                <c:ptCount val="999"/>
                <c:pt idx="0">
                  <c:v>0.40560744962457329</c:v>
                </c:pt>
                <c:pt idx="1">
                  <c:v>0.40782324260413316</c:v>
                </c:pt>
                <c:pt idx="2">
                  <c:v>1.0381033103058979</c:v>
                </c:pt>
                <c:pt idx="3">
                  <c:v>1.0598662204109395</c:v>
                </c:pt>
                <c:pt idx="4">
                  <c:v>1.1632210267155783</c:v>
                </c:pt>
                <c:pt idx="5">
                  <c:v>2.4380151799196357</c:v>
                </c:pt>
                <c:pt idx="6">
                  <c:v>2.2071278888965264</c:v>
                </c:pt>
                <c:pt idx="7">
                  <c:v>2.1080675326002871</c:v>
                </c:pt>
                <c:pt idx="8">
                  <c:v>2.1859923638380168</c:v>
                </c:pt>
                <c:pt idx="9">
                  <c:v>3.1377742747296851</c:v>
                </c:pt>
                <c:pt idx="10">
                  <c:v>2.8402755115670049</c:v>
                </c:pt>
                <c:pt idx="11">
                  <c:v>2.8636529174603815</c:v>
                </c:pt>
                <c:pt idx="12">
                  <c:v>2.9624214289393089</c:v>
                </c:pt>
                <c:pt idx="13">
                  <c:v>2.9425710299555434</c:v>
                </c:pt>
                <c:pt idx="14">
                  <c:v>2.203726224833225</c:v>
                </c:pt>
                <c:pt idx="15">
                  <c:v>3.706555296798562</c:v>
                </c:pt>
                <c:pt idx="16">
                  <c:v>1.4559319556497243</c:v>
                </c:pt>
                <c:pt idx="17">
                  <c:v>1.0555173278498313</c:v>
                </c:pt>
                <c:pt idx="18">
                  <c:v>0.73282827159698616</c:v>
                </c:pt>
                <c:pt idx="19">
                  <c:v>0.69250396208678711</c:v>
                </c:pt>
                <c:pt idx="20">
                  <c:v>1.585026652029182</c:v>
                </c:pt>
                <c:pt idx="21">
                  <c:v>1.3767507096020994</c:v>
                </c:pt>
                <c:pt idx="22">
                  <c:v>1.2839966563652008</c:v>
                </c:pt>
                <c:pt idx="23">
                  <c:v>0.69680394257951106</c:v>
                </c:pt>
                <c:pt idx="24">
                  <c:v>1</c:v>
                </c:pt>
                <c:pt idx="25">
                  <c:v>1.2676062401770316</c:v>
                </c:pt>
                <c:pt idx="26">
                  <c:v>1.3872161432802645</c:v>
                </c:pt>
                <c:pt idx="27">
                  <c:v>1.3767507096020994</c:v>
                </c:pt>
                <c:pt idx="28">
                  <c:v>1.5376020021010439</c:v>
                </c:pt>
                <c:pt idx="29">
                  <c:v>0.78251605578609373</c:v>
                </c:pt>
                <c:pt idx="30">
                  <c:v>1.494850021680094</c:v>
                </c:pt>
                <c:pt idx="31">
                  <c:v>1.3979400086720375</c:v>
                </c:pt>
                <c:pt idx="32">
                  <c:v>1.494850021680094</c:v>
                </c:pt>
                <c:pt idx="33">
                  <c:v>1.3010299956639813</c:v>
                </c:pt>
                <c:pt idx="34">
                  <c:v>0.4212747912103465</c:v>
                </c:pt>
                <c:pt idx="35">
                  <c:v>4.218159451576628E-2</c:v>
                </c:pt>
                <c:pt idx="36">
                  <c:v>1.2535076184826865</c:v>
                </c:pt>
                <c:pt idx="37">
                  <c:v>0.70440792738684088</c:v>
                </c:pt>
                <c:pt idx="38">
                  <c:v>0.20655604409902956</c:v>
                </c:pt>
                <c:pt idx="39">
                  <c:v>0.44263652578223173</c:v>
                </c:pt>
                <c:pt idx="40">
                  <c:v>0.24870873560091777</c:v>
                </c:pt>
                <c:pt idx="41">
                  <c:v>0.69460519893356876</c:v>
                </c:pt>
                <c:pt idx="42">
                  <c:v>0.65118106244468787</c:v>
                </c:pt>
                <c:pt idx="43">
                  <c:v>0.57345182203548528</c:v>
                </c:pt>
                <c:pt idx="44">
                  <c:v>0.33785842904109437</c:v>
                </c:pt>
                <c:pt idx="45">
                  <c:v>0.5113485154902131</c:v>
                </c:pt>
                <c:pt idx="46">
                  <c:v>0.47436197603263075</c:v>
                </c:pt>
                <c:pt idx="47">
                  <c:v>0.56300618706179384</c:v>
                </c:pt>
                <c:pt idx="48">
                  <c:v>0.47567118832442967</c:v>
                </c:pt>
                <c:pt idx="49">
                  <c:v>0.46434048462766725</c:v>
                </c:pt>
                <c:pt idx="50">
                  <c:v>0.56549362986886242</c:v>
                </c:pt>
                <c:pt idx="51">
                  <c:v>1.7561566746679804</c:v>
                </c:pt>
                <c:pt idx="52">
                  <c:v>1.2440048280914533</c:v>
                </c:pt>
                <c:pt idx="53">
                  <c:v>2.118486282135108</c:v>
                </c:pt>
                <c:pt idx="54">
                  <c:v>1.2288364875279341</c:v>
                </c:pt>
                <c:pt idx="55">
                  <c:v>1.5566401540717196</c:v>
                </c:pt>
                <c:pt idx="56">
                  <c:v>1.5260030860928138</c:v>
                </c:pt>
                <c:pt idx="57">
                  <c:v>1.9024598029992956</c:v>
                </c:pt>
                <c:pt idx="58">
                  <c:v>1.6815216286951955</c:v>
                </c:pt>
                <c:pt idx="59">
                  <c:v>1.410389146513233</c:v>
                </c:pt>
                <c:pt idx="60">
                  <c:v>1.5493711523331772</c:v>
                </c:pt>
                <c:pt idx="61">
                  <c:v>1.4890580369990618</c:v>
                </c:pt>
                <c:pt idx="62">
                  <c:v>1.3377187620574487</c:v>
                </c:pt>
                <c:pt idx="63">
                  <c:v>1.7423480031398293</c:v>
                </c:pt>
                <c:pt idx="64">
                  <c:v>1.6054989805181508</c:v>
                </c:pt>
                <c:pt idx="65">
                  <c:v>1.6201152250026798</c:v>
                </c:pt>
                <c:pt idx="66">
                  <c:v>1.665927912802659</c:v>
                </c:pt>
                <c:pt idx="67">
                  <c:v>2.4959285112565857</c:v>
                </c:pt>
                <c:pt idx="68">
                  <c:v>2.401310915212481</c:v>
                </c:pt>
                <c:pt idx="69">
                  <c:v>2.227673359663743</c:v>
                </c:pt>
                <c:pt idx="70">
                  <c:v>1.9012184941202099</c:v>
                </c:pt>
                <c:pt idx="71">
                  <c:v>2.4285089687091985</c:v>
                </c:pt>
                <c:pt idx="72">
                  <c:v>2.6958457708116383</c:v>
                </c:pt>
                <c:pt idx="73">
                  <c:v>2.8182186333111701</c:v>
                </c:pt>
                <c:pt idx="74">
                  <c:v>2.6748161480698354</c:v>
                </c:pt>
                <c:pt idx="75">
                  <c:v>1.9906495883188544</c:v>
                </c:pt>
                <c:pt idx="76">
                  <c:v>2.6321332220404803</c:v>
                </c:pt>
                <c:pt idx="77">
                  <c:v>2.2764411229912169</c:v>
                </c:pt>
                <c:pt idx="78">
                  <c:v>2.2133503819197697</c:v>
                </c:pt>
                <c:pt idx="79">
                  <c:v>2.6409711085910312</c:v>
                </c:pt>
                <c:pt idx="80">
                  <c:v>2.5741435907072252</c:v>
                </c:pt>
                <c:pt idx="81">
                  <c:v>3.2514442652667164</c:v>
                </c:pt>
                <c:pt idx="82">
                  <c:v>3.2227632788087384</c:v>
                </c:pt>
                <c:pt idx="83">
                  <c:v>2.7948023258725296</c:v>
                </c:pt>
                <c:pt idx="84">
                  <c:v>2.6203609550240743</c:v>
                </c:pt>
                <c:pt idx="85">
                  <c:v>3.1823401711074397</c:v>
                </c:pt>
                <c:pt idx="86">
                  <c:v>3.1083874137415575</c:v>
                </c:pt>
                <c:pt idx="87">
                  <c:v>1.3016158978195196</c:v>
                </c:pt>
                <c:pt idx="88">
                  <c:v>1.1738852403687914</c:v>
                </c:pt>
                <c:pt idx="89">
                  <c:v>1.0603200286882852</c:v>
                </c:pt>
                <c:pt idx="90">
                  <c:v>2.3458224983301741</c:v>
                </c:pt>
                <c:pt idx="91">
                  <c:v>2.0102108832079471</c:v>
                </c:pt>
                <c:pt idx="92">
                  <c:v>2.4693786621640794</c:v>
                </c:pt>
                <c:pt idx="93">
                  <c:v>2.1933945565155528</c:v>
                </c:pt>
                <c:pt idx="94">
                  <c:v>1.8401813991094742</c:v>
                </c:pt>
                <c:pt idx="95">
                  <c:v>2.1091869316985101</c:v>
                </c:pt>
                <c:pt idx="96">
                  <c:v>3.1267020790559528</c:v>
                </c:pt>
                <c:pt idx="97">
                  <c:v>2.9697694481513337</c:v>
                </c:pt>
                <c:pt idx="98">
                  <c:v>3.1244080303437625</c:v>
                </c:pt>
                <c:pt idx="99">
                  <c:v>2.9393494951651769</c:v>
                </c:pt>
                <c:pt idx="100">
                  <c:v>2.4431972514272307</c:v>
                </c:pt>
                <c:pt idx="101">
                  <c:v>2.8790964532044256</c:v>
                </c:pt>
                <c:pt idx="102">
                  <c:v>2.9394823110571036</c:v>
                </c:pt>
                <c:pt idx="103">
                  <c:v>2.5492988251862894</c:v>
                </c:pt>
                <c:pt idx="104">
                  <c:v>3.7051487609892613</c:v>
                </c:pt>
                <c:pt idx="105">
                  <c:v>0.94718856552609354</c:v>
                </c:pt>
                <c:pt idx="106">
                  <c:v>0.45788189673399232</c:v>
                </c:pt>
                <c:pt idx="107">
                  <c:v>1.0754739645889464</c:v>
                </c:pt>
                <c:pt idx="108">
                  <c:v>0.39863432453839209</c:v>
                </c:pt>
                <c:pt idx="109">
                  <c:v>0.23426412437878932</c:v>
                </c:pt>
                <c:pt idx="110">
                  <c:v>0.31576049066573458</c:v>
                </c:pt>
                <c:pt idx="111">
                  <c:v>0.54924855685405594</c:v>
                </c:pt>
                <c:pt idx="112">
                  <c:v>0.48244479191826517</c:v>
                </c:pt>
                <c:pt idx="113">
                  <c:v>0.72024201828705703</c:v>
                </c:pt>
                <c:pt idx="114">
                  <c:v>0.75921443123424392</c:v>
                </c:pt>
                <c:pt idx="115">
                  <c:v>0.57368369309379796</c:v>
                </c:pt>
                <c:pt idx="116">
                  <c:v>0.21537315278342195</c:v>
                </c:pt>
                <c:pt idx="117">
                  <c:v>0.47377883464672477</c:v>
                </c:pt>
                <c:pt idx="118">
                  <c:v>0.3178544893314692</c:v>
                </c:pt>
                <c:pt idx="119">
                  <c:v>0.56122067893394378</c:v>
                </c:pt>
                <c:pt idx="120">
                  <c:v>0.51719589794997434</c:v>
                </c:pt>
                <c:pt idx="121">
                  <c:v>0.87279703998959846</c:v>
                </c:pt>
                <c:pt idx="122">
                  <c:v>2.0775677437893219</c:v>
                </c:pt>
                <c:pt idx="123">
                  <c:v>1.5263651274825216</c:v>
                </c:pt>
                <c:pt idx="124">
                  <c:v>2.1404797595532723</c:v>
                </c:pt>
                <c:pt idx="125">
                  <c:v>1.6051433679800673</c:v>
                </c:pt>
                <c:pt idx="126">
                  <c:v>1.5606119300929948</c:v>
                </c:pt>
                <c:pt idx="127">
                  <c:v>2.0382027526349802</c:v>
                </c:pt>
                <c:pt idx="128">
                  <c:v>2.0122422977743675</c:v>
                </c:pt>
                <c:pt idx="129">
                  <c:v>1.7180613584988715</c:v>
                </c:pt>
                <c:pt idx="130">
                  <c:v>1.5706830122849513</c:v>
                </c:pt>
                <c:pt idx="131">
                  <c:v>1.4269664626300749</c:v>
                </c:pt>
                <c:pt idx="132">
                  <c:v>1.2387233753953977</c:v>
                </c:pt>
                <c:pt idx="133">
                  <c:v>1.731556534344622</c:v>
                </c:pt>
                <c:pt idx="134">
                  <c:v>1.711866255347714</c:v>
                </c:pt>
                <c:pt idx="135">
                  <c:v>1.9238085453425331</c:v>
                </c:pt>
                <c:pt idx="136">
                  <c:v>2.784258441421207</c:v>
                </c:pt>
                <c:pt idx="137">
                  <c:v>2.5212061004048523</c:v>
                </c:pt>
                <c:pt idx="138">
                  <c:v>2.4818337473598922</c:v>
                </c:pt>
                <c:pt idx="139">
                  <c:v>2.3135804069953916</c:v>
                </c:pt>
                <c:pt idx="140">
                  <c:v>2.5106361488676101</c:v>
                </c:pt>
                <c:pt idx="141">
                  <c:v>2.9467474259834341</c:v>
                </c:pt>
                <c:pt idx="142">
                  <c:v>2.9213248463237269</c:v>
                </c:pt>
                <c:pt idx="143">
                  <c:v>2.7162221061324479</c:v>
                </c:pt>
                <c:pt idx="144">
                  <c:v>2.2067989003815476</c:v>
                </c:pt>
                <c:pt idx="145">
                  <c:v>2.1754074309848992</c:v>
                </c:pt>
                <c:pt idx="146">
                  <c:v>2.7059432116740929</c:v>
                </c:pt>
                <c:pt idx="147">
                  <c:v>2.8335569791672173</c:v>
                </c:pt>
                <c:pt idx="148">
                  <c:v>3.5743417641208963</c:v>
                </c:pt>
                <c:pt idx="149">
                  <c:v>3.3739818824503756</c:v>
                </c:pt>
                <c:pt idx="150">
                  <c:v>3.0300558050921249</c:v>
                </c:pt>
                <c:pt idx="151">
                  <c:v>2.9661145004474703</c:v>
                </c:pt>
                <c:pt idx="152">
                  <c:v>3.3216000872842413</c:v>
                </c:pt>
                <c:pt idx="153">
                  <c:v>3.3882928956517868</c:v>
                </c:pt>
                <c:pt idx="154">
                  <c:v>2.2710000719407666</c:v>
                </c:pt>
                <c:pt idx="155">
                  <c:v>1.9096095104901689</c:v>
                </c:pt>
                <c:pt idx="156">
                  <c:v>1.9218996695391406</c:v>
                </c:pt>
                <c:pt idx="157">
                  <c:v>1.5931530993768499</c:v>
                </c:pt>
                <c:pt idx="158">
                  <c:v>3.1353877443381104</c:v>
                </c:pt>
                <c:pt idx="159">
                  <c:v>2.9811092995079851</c:v>
                </c:pt>
                <c:pt idx="160">
                  <c:v>2.8484563876486502</c:v>
                </c:pt>
                <c:pt idx="161">
                  <c:v>2.4124521470686053</c:v>
                </c:pt>
                <c:pt idx="162">
                  <c:v>2.7908668837239077</c:v>
                </c:pt>
                <c:pt idx="163">
                  <c:v>3.0327440355303077</c:v>
                </c:pt>
                <c:pt idx="164">
                  <c:v>2.578281543260899</c:v>
                </c:pt>
                <c:pt idx="165">
                  <c:v>3.733037164768906</c:v>
                </c:pt>
                <c:pt idx="166">
                  <c:v>3.7323256345863087</c:v>
                </c:pt>
                <c:pt idx="167">
                  <c:v>1.7434078425120929</c:v>
                </c:pt>
                <c:pt idx="168">
                  <c:v>1.2231323624715884</c:v>
                </c:pt>
                <c:pt idx="169">
                  <c:v>1.648447836938991</c:v>
                </c:pt>
                <c:pt idx="170">
                  <c:v>1.4459931817876466</c:v>
                </c:pt>
                <c:pt idx="171">
                  <c:v>1.59035133323545</c:v>
                </c:pt>
                <c:pt idx="172">
                  <c:v>1.9310712070353309</c:v>
                </c:pt>
                <c:pt idx="173">
                  <c:v>2.1261411519802245</c:v>
                </c:pt>
                <c:pt idx="174">
                  <c:v>1.9894186683798361</c:v>
                </c:pt>
                <c:pt idx="175">
                  <c:v>1.7016111533360587</c:v>
                </c:pt>
                <c:pt idx="176">
                  <c:v>1.30941722577814</c:v>
                </c:pt>
                <c:pt idx="177">
                  <c:v>1.4863454536676377</c:v>
                </c:pt>
                <c:pt idx="178">
                  <c:v>0.9885589568786155</c:v>
                </c:pt>
                <c:pt idx="179">
                  <c:v>1.9111576087399766</c:v>
                </c:pt>
                <c:pt idx="180">
                  <c:v>1.7359659788256978</c:v>
                </c:pt>
                <c:pt idx="181">
                  <c:v>1.9126364850446191</c:v>
                </c:pt>
                <c:pt idx="182">
                  <c:v>1.8949471036323169</c:v>
                </c:pt>
                <c:pt idx="183">
                  <c:v>2.5856310297940492</c:v>
                </c:pt>
                <c:pt idx="184">
                  <c:v>2.2572128383277024</c:v>
                </c:pt>
                <c:pt idx="185">
                  <c:v>2.5899161068864274</c:v>
                </c:pt>
                <c:pt idx="186">
                  <c:v>2.2907578329816141</c:v>
                </c:pt>
                <c:pt idx="187">
                  <c:v>2.5165155426447674</c:v>
                </c:pt>
                <c:pt idx="188">
                  <c:v>2.8692047222078449</c:v>
                </c:pt>
                <c:pt idx="189">
                  <c:v>2.8440352007451146</c:v>
                </c:pt>
                <c:pt idx="190">
                  <c:v>2.9703845382512331</c:v>
                </c:pt>
                <c:pt idx="191">
                  <c:v>2.7532666056714739</c:v>
                </c:pt>
                <c:pt idx="192">
                  <c:v>2.3030663979235104</c:v>
                </c:pt>
                <c:pt idx="193">
                  <c:v>2.1177384910037165</c:v>
                </c:pt>
                <c:pt idx="194">
                  <c:v>3.0868308914191749</c:v>
                </c:pt>
                <c:pt idx="195">
                  <c:v>2.782096215875117</c:v>
                </c:pt>
                <c:pt idx="196">
                  <c:v>3.54116671792098</c:v>
                </c:pt>
                <c:pt idx="197">
                  <c:v>3.2712815398376685</c:v>
                </c:pt>
                <c:pt idx="198">
                  <c:v>3.04712877964992</c:v>
                </c:pt>
                <c:pt idx="199">
                  <c:v>3.4172863103762259</c:v>
                </c:pt>
                <c:pt idx="200">
                  <c:v>2.7660490475181017</c:v>
                </c:pt>
                <c:pt idx="201">
                  <c:v>2.7753839588093729</c:v>
                </c:pt>
                <c:pt idx="202">
                  <c:v>2.779302052352608</c:v>
                </c:pt>
                <c:pt idx="203">
                  <c:v>2.442321387326412</c:v>
                </c:pt>
                <c:pt idx="204">
                  <c:v>3.711973746939413</c:v>
                </c:pt>
                <c:pt idx="205">
                  <c:v>2.5714537690107062</c:v>
                </c:pt>
                <c:pt idx="206">
                  <c:v>2.2601715982263153</c:v>
                </c:pt>
                <c:pt idx="207">
                  <c:v>2.3610494293884763</c:v>
                </c:pt>
                <c:pt idx="208">
                  <c:v>2.4270119565263255</c:v>
                </c:pt>
                <c:pt idx="209">
                  <c:v>1.8975501208910066</c:v>
                </c:pt>
                <c:pt idx="210">
                  <c:v>2.5707623665975521</c:v>
                </c:pt>
                <c:pt idx="211">
                  <c:v>2.7717542590864621</c:v>
                </c:pt>
                <c:pt idx="212">
                  <c:v>2.6782998111029879</c:v>
                </c:pt>
                <c:pt idx="213">
                  <c:v>2.3930519801119647</c:v>
                </c:pt>
                <c:pt idx="214">
                  <c:v>2.8068885171408491</c:v>
                </c:pt>
                <c:pt idx="215">
                  <c:v>2.5241870391617978</c:v>
                </c:pt>
                <c:pt idx="216">
                  <c:v>1.6089857572325401</c:v>
                </c:pt>
                <c:pt idx="217">
                  <c:v>2.5779568662552923</c:v>
                </c:pt>
                <c:pt idx="218">
                  <c:v>1.7865881762218765</c:v>
                </c:pt>
                <c:pt idx="219">
                  <c:v>3.1505225023808801</c:v>
                </c:pt>
                <c:pt idx="220">
                  <c:v>2.6052500823193125</c:v>
                </c:pt>
                <c:pt idx="221">
                  <c:v>3.5542445051750322</c:v>
                </c:pt>
                <c:pt idx="222">
                  <c:v>3.2628787659402914</c:v>
                </c:pt>
                <c:pt idx="223">
                  <c:v>3.1131043540627741</c:v>
                </c:pt>
                <c:pt idx="224">
                  <c:v>3.3431674491144889</c:v>
                </c:pt>
                <c:pt idx="225">
                  <c:v>3.2347222342887973</c:v>
                </c:pt>
                <c:pt idx="226">
                  <c:v>3.5121281004651923</c:v>
                </c:pt>
                <c:pt idx="227">
                  <c:v>3.3807707591030485</c:v>
                </c:pt>
                <c:pt idx="228">
                  <c:v>3.1209350350865863</c:v>
                </c:pt>
                <c:pt idx="229">
                  <c:v>2.612812455658589</c:v>
                </c:pt>
                <c:pt idx="230">
                  <c:v>3.2440932181666833</c:v>
                </c:pt>
                <c:pt idx="231">
                  <c:v>3.0484775400875037</c:v>
                </c:pt>
                <c:pt idx="232">
                  <c:v>3.4473732639785655</c:v>
                </c:pt>
                <c:pt idx="233">
                  <c:v>3.6976281349599507</c:v>
                </c:pt>
                <c:pt idx="234">
                  <c:v>0.41830129131974547</c:v>
                </c:pt>
                <c:pt idx="235">
                  <c:v>0.5113485154902131</c:v>
                </c:pt>
                <c:pt idx="236">
                  <c:v>2.162860008469869</c:v>
                </c:pt>
                <c:pt idx="237">
                  <c:v>1.8443031745772649</c:v>
                </c:pt>
                <c:pt idx="238">
                  <c:v>2.23225641828697</c:v>
                </c:pt>
                <c:pt idx="239">
                  <c:v>3.3721940879309673</c:v>
                </c:pt>
                <c:pt idx="240">
                  <c:v>3.2858713276285787</c:v>
                </c:pt>
                <c:pt idx="241">
                  <c:v>2.8987054404825603</c:v>
                </c:pt>
                <c:pt idx="242">
                  <c:v>3.2448975576692893</c:v>
                </c:pt>
                <c:pt idx="243">
                  <c:v>4.0825022328936029</c:v>
                </c:pt>
                <c:pt idx="244">
                  <c:v>4.0694375711216795</c:v>
                </c:pt>
                <c:pt idx="245">
                  <c:v>3.7521787934678859</c:v>
                </c:pt>
                <c:pt idx="246">
                  <c:v>4.0424755305162128</c:v>
                </c:pt>
                <c:pt idx="247">
                  <c:v>3.939688694245929</c:v>
                </c:pt>
                <c:pt idx="248">
                  <c:v>3.6327733313995503</c:v>
                </c:pt>
                <c:pt idx="249">
                  <c:v>4.6966624104392647</c:v>
                </c:pt>
                <c:pt idx="250">
                  <c:v>0.26280735729526272</c:v>
                </c:pt>
                <c:pt idx="251">
                  <c:v>0.19044028536473223</c:v>
                </c:pt>
                <c:pt idx="252">
                  <c:v>0.18582535961296218</c:v>
                </c:pt>
                <c:pt idx="253">
                  <c:v>0.21005084987513725</c:v>
                </c:pt>
                <c:pt idx="254">
                  <c:v>0.46724562100750222</c:v>
                </c:pt>
                <c:pt idx="255">
                  <c:v>0.19586056766464957</c:v>
                </c:pt>
                <c:pt idx="256">
                  <c:v>0.23062267392386154</c:v>
                </c:pt>
                <c:pt idx="257">
                  <c:v>0.20736503746907187</c:v>
                </c:pt>
                <c:pt idx="258">
                  <c:v>9.0443970758824668E-2</c:v>
                </c:pt>
                <c:pt idx="259">
                  <c:v>0.18575240426807979</c:v>
                </c:pt>
                <c:pt idx="260">
                  <c:v>0.21324857785443882</c:v>
                </c:pt>
                <c:pt idx="261">
                  <c:v>0.17134010346468015</c:v>
                </c:pt>
                <c:pt idx="262">
                  <c:v>0.25649023527157022</c:v>
                </c:pt>
                <c:pt idx="263">
                  <c:v>0.4158077276355433</c:v>
                </c:pt>
                <c:pt idx="264">
                  <c:v>0.24641694110709345</c:v>
                </c:pt>
                <c:pt idx="265">
                  <c:v>0.34969247686806354</c:v>
                </c:pt>
                <c:pt idx="266">
                  <c:v>0.23732143627256383</c:v>
                </c:pt>
                <c:pt idx="267">
                  <c:v>0.22112552799726048</c:v>
                </c:pt>
                <c:pt idx="268">
                  <c:v>1.5681782480551023</c:v>
                </c:pt>
                <c:pt idx="269">
                  <c:v>1.4894240669254091</c:v>
                </c:pt>
                <c:pt idx="270">
                  <c:v>2.2191416239280906</c:v>
                </c:pt>
                <c:pt idx="271">
                  <c:v>1.7583137583249862</c:v>
                </c:pt>
                <c:pt idx="272">
                  <c:v>1.3749681862992342</c:v>
                </c:pt>
                <c:pt idx="273">
                  <c:v>1.4655761587039249</c:v>
                </c:pt>
                <c:pt idx="274">
                  <c:v>1.6373295914273986</c:v>
                </c:pt>
                <c:pt idx="275">
                  <c:v>1.9154420489061117</c:v>
                </c:pt>
                <c:pt idx="276">
                  <c:v>1.6795732428256251</c:v>
                </c:pt>
                <c:pt idx="277">
                  <c:v>1.5675556708947844</c:v>
                </c:pt>
                <c:pt idx="278">
                  <c:v>1.6525364185930254</c:v>
                </c:pt>
                <c:pt idx="279">
                  <c:v>1.6008095963872482</c:v>
                </c:pt>
                <c:pt idx="280">
                  <c:v>2.030300105202151</c:v>
                </c:pt>
                <c:pt idx="281">
                  <c:v>1.7327474853099945</c:v>
                </c:pt>
                <c:pt idx="282">
                  <c:v>1.6954729204647956</c:v>
                </c:pt>
                <c:pt idx="283">
                  <c:v>1.6023638911127749</c:v>
                </c:pt>
                <c:pt idx="284">
                  <c:v>1.641275757231913</c:v>
                </c:pt>
                <c:pt idx="285">
                  <c:v>2.7678805699957114</c:v>
                </c:pt>
                <c:pt idx="286">
                  <c:v>2.6195753804289894</c:v>
                </c:pt>
                <c:pt idx="287">
                  <c:v>3.2073483335139206</c:v>
                </c:pt>
                <c:pt idx="288">
                  <c:v>2.7252384441780455</c:v>
                </c:pt>
                <c:pt idx="289">
                  <c:v>2.6565418568837043</c:v>
                </c:pt>
                <c:pt idx="290">
                  <c:v>2.7592575258674121</c:v>
                </c:pt>
                <c:pt idx="291">
                  <c:v>3.0539442471890554</c:v>
                </c:pt>
                <c:pt idx="292">
                  <c:v>2.959939119343753</c:v>
                </c:pt>
                <c:pt idx="293">
                  <c:v>2.9756546432086592</c:v>
                </c:pt>
                <c:pt idx="294">
                  <c:v>2.770025329736423</c:v>
                </c:pt>
                <c:pt idx="295">
                  <c:v>2.6997388931234991</c:v>
                </c:pt>
                <c:pt idx="296">
                  <c:v>3.1267633865242632</c:v>
                </c:pt>
                <c:pt idx="297">
                  <c:v>2.9171571991271028</c:v>
                </c:pt>
                <c:pt idx="298">
                  <c:v>2.7994756422790461</c:v>
                </c:pt>
                <c:pt idx="299">
                  <c:v>2.7167743667002271</c:v>
                </c:pt>
                <c:pt idx="300">
                  <c:v>2.789880243839173</c:v>
                </c:pt>
                <c:pt idx="301">
                  <c:v>3.6413926974468516</c:v>
                </c:pt>
                <c:pt idx="302">
                  <c:v>3.6093004407133114</c:v>
                </c:pt>
                <c:pt idx="303">
                  <c:v>3.9523478020097964</c:v>
                </c:pt>
                <c:pt idx="304">
                  <c:v>3.5527682018185169</c:v>
                </c:pt>
                <c:pt idx="305">
                  <c:v>3.5413926319486202</c:v>
                </c:pt>
                <c:pt idx="306">
                  <c:v>3.899537462437507</c:v>
                </c:pt>
                <c:pt idx="307">
                  <c:v>4.0588248682940975</c:v>
                </c:pt>
                <c:pt idx="308">
                  <c:v>3.9562375565842731</c:v>
                </c:pt>
                <c:pt idx="309">
                  <c:v>3.7680379608729209</c:v>
                </c:pt>
                <c:pt idx="310">
                  <c:v>3.736461283025462</c:v>
                </c:pt>
                <c:pt idx="311">
                  <c:v>3.5353591960309885</c:v>
                </c:pt>
                <c:pt idx="312">
                  <c:v>3.975472984108142</c:v>
                </c:pt>
                <c:pt idx="313">
                  <c:v>3.7020414790971499</c:v>
                </c:pt>
                <c:pt idx="314">
                  <c:v>3.6427509216443861</c:v>
                </c:pt>
                <c:pt idx="315">
                  <c:v>4.3719882005737007</c:v>
                </c:pt>
                <c:pt idx="316">
                  <c:v>4.4245930451467297</c:v>
                </c:pt>
                <c:pt idx="317">
                  <c:v>4.6220492189231788</c:v>
                </c:pt>
                <c:pt idx="318">
                  <c:v>4.28684673272081</c:v>
                </c:pt>
                <c:pt idx="319">
                  <c:v>4.3365397207238887</c:v>
                </c:pt>
                <c:pt idx="320">
                  <c:v>4.5113139953332535</c:v>
                </c:pt>
                <c:pt idx="321">
                  <c:v>2.2338511584160479</c:v>
                </c:pt>
                <c:pt idx="322">
                  <c:v>1.9577987749299979</c:v>
                </c:pt>
                <c:pt idx="323">
                  <c:v>2.0523283498626101</c:v>
                </c:pt>
                <c:pt idx="324">
                  <c:v>3.2897218067123557</c:v>
                </c:pt>
                <c:pt idx="325">
                  <c:v>3.0228212443720062</c:v>
                </c:pt>
                <c:pt idx="326">
                  <c:v>3.3640828682277237</c:v>
                </c:pt>
                <c:pt idx="327">
                  <c:v>3.005907304363983</c:v>
                </c:pt>
                <c:pt idx="328">
                  <c:v>3.2287913556861167</c:v>
                </c:pt>
                <c:pt idx="329">
                  <c:v>3.0645729123010828</c:v>
                </c:pt>
                <c:pt idx="330">
                  <c:v>4.089435607855826</c:v>
                </c:pt>
                <c:pt idx="331">
                  <c:v>3.9904172249921959</c:v>
                </c:pt>
                <c:pt idx="332">
                  <c:v>4.1715049215984239</c:v>
                </c:pt>
                <c:pt idx="333">
                  <c:v>3.8660437704474586</c:v>
                </c:pt>
                <c:pt idx="334">
                  <c:v>3.9682672420996488</c:v>
                </c:pt>
                <c:pt idx="335">
                  <c:v>4.0369202299774427</c:v>
                </c:pt>
                <c:pt idx="336">
                  <c:v>3.9438867865798972</c:v>
                </c:pt>
                <c:pt idx="337">
                  <c:v>3.8778049054780159</c:v>
                </c:pt>
                <c:pt idx="338">
                  <c:v>4.7340384113434304</c:v>
                </c:pt>
                <c:pt idx="339">
                  <c:v>1.9705653634531151</c:v>
                </c:pt>
                <c:pt idx="340">
                  <c:v>1.56551725144467</c:v>
                </c:pt>
                <c:pt idx="341">
                  <c:v>2.1262613188638815</c:v>
                </c:pt>
                <c:pt idx="342">
                  <c:v>1.5300971977348454</c:v>
                </c:pt>
                <c:pt idx="343">
                  <c:v>1.3693643087812357</c:v>
                </c:pt>
                <c:pt idx="344">
                  <c:v>1.4259415880188955</c:v>
                </c:pt>
                <c:pt idx="345">
                  <c:v>1.6773057617934444</c:v>
                </c:pt>
                <c:pt idx="346">
                  <c:v>1.6716818448830852</c:v>
                </c:pt>
                <c:pt idx="347">
                  <c:v>1.9707512234843696</c:v>
                </c:pt>
                <c:pt idx="348">
                  <c:v>1.7168627299393731</c:v>
                </c:pt>
                <c:pt idx="349">
                  <c:v>1.5651746127823976</c:v>
                </c:pt>
                <c:pt idx="350">
                  <c:v>1.5923100242557793</c:v>
                </c:pt>
                <c:pt idx="351">
                  <c:v>1.5952315963587274</c:v>
                </c:pt>
                <c:pt idx="352">
                  <c:v>1.8304603500309671</c:v>
                </c:pt>
                <c:pt idx="353">
                  <c:v>1.7344237581412605</c:v>
                </c:pt>
                <c:pt idx="354">
                  <c:v>1.696190328917941</c:v>
                </c:pt>
                <c:pt idx="355">
                  <c:v>1.7933363026721532</c:v>
                </c:pt>
                <c:pt idx="356">
                  <c:v>3.0735368982946021</c:v>
                </c:pt>
                <c:pt idx="357">
                  <c:v>2.734648640002614</c:v>
                </c:pt>
                <c:pt idx="358">
                  <c:v>3.2223556228066381</c:v>
                </c:pt>
                <c:pt idx="359">
                  <c:v>2.8282718221942531</c:v>
                </c:pt>
                <c:pt idx="360">
                  <c:v>2.6902776133793673</c:v>
                </c:pt>
                <c:pt idx="361">
                  <c:v>3.0343745427022988</c:v>
                </c:pt>
                <c:pt idx="362">
                  <c:v>3.1218873290692253</c:v>
                </c:pt>
                <c:pt idx="363">
                  <c:v>2.9769077372516675</c:v>
                </c:pt>
                <c:pt idx="364">
                  <c:v>2.8801307562658991</c:v>
                </c:pt>
                <c:pt idx="365">
                  <c:v>2.7032096714711993</c:v>
                </c:pt>
                <c:pt idx="366">
                  <c:v>2.9506140639985139</c:v>
                </c:pt>
                <c:pt idx="367">
                  <c:v>2.9122114249584201</c:v>
                </c:pt>
                <c:pt idx="368">
                  <c:v>2.796922461742902</c:v>
                </c:pt>
                <c:pt idx="369">
                  <c:v>2.9244901778835088</c:v>
                </c:pt>
                <c:pt idx="370">
                  <c:v>3.924782259274826</c:v>
                </c:pt>
                <c:pt idx="371">
                  <c:v>3.6506345296362328</c:v>
                </c:pt>
                <c:pt idx="372">
                  <c:v>4.0138253635084622</c:v>
                </c:pt>
                <c:pt idx="373">
                  <c:v>3.6473291690424019</c:v>
                </c:pt>
                <c:pt idx="374">
                  <c:v>3.631272655752789</c:v>
                </c:pt>
                <c:pt idx="375">
                  <c:v>4.0979352309145245</c:v>
                </c:pt>
                <c:pt idx="376">
                  <c:v>4.0214814602812998</c:v>
                </c:pt>
                <c:pt idx="377">
                  <c:v>4.0210607702475905</c:v>
                </c:pt>
                <c:pt idx="378">
                  <c:v>3.5541567399937586</c:v>
                </c:pt>
                <c:pt idx="379">
                  <c:v>3.9428030516930321</c:v>
                </c:pt>
                <c:pt idx="380">
                  <c:v>3.7147426462177582</c:v>
                </c:pt>
                <c:pt idx="381">
                  <c:v>3.7929394655623785</c:v>
                </c:pt>
                <c:pt idx="382">
                  <c:v>4.67405449577703</c:v>
                </c:pt>
                <c:pt idx="383">
                  <c:v>4.4734767220536993</c:v>
                </c:pt>
                <c:pt idx="384">
                  <c:v>4.7064544808317921</c:v>
                </c:pt>
                <c:pt idx="385">
                  <c:v>4.3816774753830972</c:v>
                </c:pt>
                <c:pt idx="386">
                  <c:v>4.4100930730894454</c:v>
                </c:pt>
                <c:pt idx="387">
                  <c:v>4.6505695461363299</c:v>
                </c:pt>
                <c:pt idx="388">
                  <c:v>3.24013822124477</c:v>
                </c:pt>
                <c:pt idx="389">
                  <c:v>3.0234380757075456</c:v>
                </c:pt>
                <c:pt idx="390">
                  <c:v>2.8041782921124012</c:v>
                </c:pt>
                <c:pt idx="391">
                  <c:v>3.2151712991276198</c:v>
                </c:pt>
                <c:pt idx="392">
                  <c:v>4.1014604962356085</c:v>
                </c:pt>
                <c:pt idx="393">
                  <c:v>4.011379007367764</c:v>
                </c:pt>
                <c:pt idx="394">
                  <c:v>3.7921241657745237</c:v>
                </c:pt>
                <c:pt idx="395">
                  <c:v>4.0146740687375724</c:v>
                </c:pt>
                <c:pt idx="396">
                  <c:v>4.0230133466114575</c:v>
                </c:pt>
                <c:pt idx="397">
                  <c:v>4.0737537887958899</c:v>
                </c:pt>
                <c:pt idx="398">
                  <c:v>3.869407925376148</c:v>
                </c:pt>
                <c:pt idx="399">
                  <c:v>4.7448030538260824</c:v>
                </c:pt>
                <c:pt idx="400">
                  <c:v>4.7462925207536317</c:v>
                </c:pt>
                <c:pt idx="401">
                  <c:v>2.7761866979395675</c:v>
                </c:pt>
                <c:pt idx="402">
                  <c:v>2.5563977938232103</c:v>
                </c:pt>
                <c:pt idx="403">
                  <c:v>2.9292645960217061</c:v>
                </c:pt>
                <c:pt idx="404">
                  <c:v>2.8853255928510024</c:v>
                </c:pt>
                <c:pt idx="405">
                  <c:v>2.6651690132188612</c:v>
                </c:pt>
                <c:pt idx="406">
                  <c:v>2.9361954448393641</c:v>
                </c:pt>
                <c:pt idx="407">
                  <c:v>3.1863332493475292</c:v>
                </c:pt>
                <c:pt idx="408">
                  <c:v>3.0027706281011937</c:v>
                </c:pt>
                <c:pt idx="409">
                  <c:v>2.8405063144407006</c:v>
                </c:pt>
                <c:pt idx="410">
                  <c:v>2.8371488714412476</c:v>
                </c:pt>
                <c:pt idx="411">
                  <c:v>2.7138398542302968</c:v>
                </c:pt>
                <c:pt idx="412">
                  <c:v>2.801024823537285</c:v>
                </c:pt>
                <c:pt idx="413">
                  <c:v>3.1379883131227011</c:v>
                </c:pt>
                <c:pt idx="414">
                  <c:v>2.781409955263757</c:v>
                </c:pt>
                <c:pt idx="415">
                  <c:v>2.9817760360735068</c:v>
                </c:pt>
                <c:pt idx="416">
                  <c:v>2.9370683200788217</c:v>
                </c:pt>
                <c:pt idx="417">
                  <c:v>3.7013844719802975</c:v>
                </c:pt>
                <c:pt idx="418">
                  <c:v>3.5370422093839742</c:v>
                </c:pt>
                <c:pt idx="419">
                  <c:v>4.112433159840597</c:v>
                </c:pt>
                <c:pt idx="420">
                  <c:v>3.7592914693309205</c:v>
                </c:pt>
                <c:pt idx="421">
                  <c:v>3.6280014687715556</c:v>
                </c:pt>
                <c:pt idx="422">
                  <c:v>3.981556049111536</c:v>
                </c:pt>
                <c:pt idx="423">
                  <c:v>4.0181362566470336</c:v>
                </c:pt>
                <c:pt idx="424">
                  <c:v>4.0155162995753573</c:v>
                </c:pt>
                <c:pt idx="425">
                  <c:v>3.9502181334880695</c:v>
                </c:pt>
                <c:pt idx="426">
                  <c:v>3.5546306309495139</c:v>
                </c:pt>
                <c:pt idx="427">
                  <c:v>3.841834118883928</c:v>
                </c:pt>
                <c:pt idx="428">
                  <c:v>4.0161640061144439</c:v>
                </c:pt>
                <c:pt idx="429">
                  <c:v>3.806980712236876</c:v>
                </c:pt>
                <c:pt idx="430">
                  <c:v>4.5952625658686959</c:v>
                </c:pt>
                <c:pt idx="431">
                  <c:v>4.4109530069542693</c:v>
                </c:pt>
                <c:pt idx="432">
                  <c:v>4.5340786753642872</c:v>
                </c:pt>
                <c:pt idx="433">
                  <c:v>4.4561700249078138</c:v>
                </c:pt>
                <c:pt idx="434">
                  <c:v>3.68461972115223</c:v>
                </c:pt>
                <c:pt idx="435">
                  <c:v>3.9522709767234021</c:v>
                </c:pt>
                <c:pt idx="436">
                  <c:v>3.8340307445925803</c:v>
                </c:pt>
                <c:pt idx="437">
                  <c:v>3.8491230464620574</c:v>
                </c:pt>
                <c:pt idx="438">
                  <c:v>4.7466359968196157</c:v>
                </c:pt>
                <c:pt idx="439">
                  <c:v>3.6747214645990436</c:v>
                </c:pt>
                <c:pt idx="440">
                  <c:v>3.5182174656229663</c:v>
                </c:pt>
                <c:pt idx="441">
                  <c:v>4.0818300209978533</c:v>
                </c:pt>
                <c:pt idx="442">
                  <c:v>3.7519511242048829</c:v>
                </c:pt>
                <c:pt idx="443">
                  <c:v>3.6677177450864051</c:v>
                </c:pt>
                <c:pt idx="444">
                  <c:v>3.6340149186864741</c:v>
                </c:pt>
                <c:pt idx="445">
                  <c:v>3.8901910669165063</c:v>
                </c:pt>
                <c:pt idx="446">
                  <c:v>3.8510009376764014</c:v>
                </c:pt>
                <c:pt idx="447">
                  <c:v>3.6718850014854945</c:v>
                </c:pt>
                <c:pt idx="448">
                  <c:v>3.9596516005631708</c:v>
                </c:pt>
                <c:pt idx="449">
                  <c:v>3.876947673362571</c:v>
                </c:pt>
                <c:pt idx="450">
                  <c:v>3.7542704156795925</c:v>
                </c:pt>
                <c:pt idx="451">
                  <c:v>3.718728990424208</c:v>
                </c:pt>
                <c:pt idx="452">
                  <c:v>3.750138817346429</c:v>
                </c:pt>
                <c:pt idx="453">
                  <c:v>4.0431244710859486</c:v>
                </c:pt>
                <c:pt idx="454">
                  <c:v>3.6134605109293174</c:v>
                </c:pt>
                <c:pt idx="455">
                  <c:v>4.5675145376330182</c:v>
                </c:pt>
                <c:pt idx="456">
                  <c:v>4.4169171529829514</c:v>
                </c:pt>
                <c:pt idx="457">
                  <c:v>4.8036237885544519</c:v>
                </c:pt>
                <c:pt idx="458">
                  <c:v>4.5746070151917433</c:v>
                </c:pt>
                <c:pt idx="459">
                  <c:v>4.7848702222444697</c:v>
                </c:pt>
                <c:pt idx="460">
                  <c:v>4.5376941639422759</c:v>
                </c:pt>
                <c:pt idx="461">
                  <c:v>4.5130269349159393</c:v>
                </c:pt>
                <c:pt idx="462">
                  <c:v>4.3141195438291229</c:v>
                </c:pt>
                <c:pt idx="463">
                  <c:v>4.4557396204987114</c:v>
                </c:pt>
                <c:pt idx="464">
                  <c:v>4.5415398311819963</c:v>
                </c:pt>
                <c:pt idx="465">
                  <c:v>4.7305007971632484</c:v>
                </c:pt>
                <c:pt idx="466">
                  <c:v>4.485194020473303</c:v>
                </c:pt>
                <c:pt idx="467">
                  <c:v>4.750589915767784</c:v>
                </c:pt>
                <c:pt idx="468">
                  <c:v>0.36957212497497616</c:v>
                </c:pt>
                <c:pt idx="469">
                  <c:v>0.348721986001856</c:v>
                </c:pt>
                <c:pt idx="470">
                  <c:v>1.4696158612003916</c:v>
                </c:pt>
                <c:pt idx="471">
                  <c:v>1.1409791634769708</c:v>
                </c:pt>
                <c:pt idx="472">
                  <c:v>1.4515408285719487</c:v>
                </c:pt>
                <c:pt idx="473">
                  <c:v>2.5540067465537577</c:v>
                </c:pt>
                <c:pt idx="474">
                  <c:v>2.6303556561209085</c:v>
                </c:pt>
                <c:pt idx="475">
                  <c:v>2.1942006485772887</c:v>
                </c:pt>
                <c:pt idx="476">
                  <c:v>2.4695643072117894</c:v>
                </c:pt>
                <c:pt idx="477">
                  <c:v>3.2550217482991988</c:v>
                </c:pt>
                <c:pt idx="478">
                  <c:v>3.2607552210701289</c:v>
                </c:pt>
                <c:pt idx="479">
                  <c:v>3.0578212356993348</c:v>
                </c:pt>
                <c:pt idx="480">
                  <c:v>3.3009227116768334</c:v>
                </c:pt>
                <c:pt idx="481">
                  <c:v>3.1428685527423186</c:v>
                </c:pt>
                <c:pt idx="482">
                  <c:v>2.7935047176998178</c:v>
                </c:pt>
                <c:pt idx="483">
                  <c:v>3.8706865144327343</c:v>
                </c:pt>
                <c:pt idx="484">
                  <c:v>1.0757207139381184</c:v>
                </c:pt>
                <c:pt idx="485">
                  <c:v>0.94309514866352739</c:v>
                </c:pt>
                <c:pt idx="486">
                  <c:v>0.60032627851896181</c:v>
                </c:pt>
                <c:pt idx="487">
                  <c:v>0.61261017366127057</c:v>
                </c:pt>
                <c:pt idx="488">
                  <c:v>1.585026652029182</c:v>
                </c:pt>
                <c:pt idx="489">
                  <c:v>1.3372421683184259</c:v>
                </c:pt>
                <c:pt idx="490">
                  <c:v>1.1674910872937636</c:v>
                </c:pt>
                <c:pt idx="491">
                  <c:v>0.54668165995296236</c:v>
                </c:pt>
                <c:pt idx="492">
                  <c:v>0.91721462968354994</c:v>
                </c:pt>
                <c:pt idx="493">
                  <c:v>1.2006594505464183</c:v>
                </c:pt>
                <c:pt idx="494">
                  <c:v>1.2146701649892331</c:v>
                </c:pt>
                <c:pt idx="495">
                  <c:v>1.1870866433571443</c:v>
                </c:pt>
                <c:pt idx="496">
                  <c:v>1.5228787452803376</c:v>
                </c:pt>
                <c:pt idx="497">
                  <c:v>0.36351210364663455</c:v>
                </c:pt>
                <c:pt idx="498">
                  <c:v>1.1804560644581312</c:v>
                </c:pt>
                <c:pt idx="499">
                  <c:v>1.2924298239020637</c:v>
                </c:pt>
                <c:pt idx="500">
                  <c:v>1.3665315444204136</c:v>
                </c:pt>
                <c:pt idx="501">
                  <c:v>1.2218487496163564</c:v>
                </c:pt>
                <c:pt idx="502">
                  <c:v>0.78418920538096082</c:v>
                </c:pt>
                <c:pt idx="503">
                  <c:v>0.45224657452043721</c:v>
                </c:pt>
                <c:pt idx="504">
                  <c:v>1.5416541158512407</c:v>
                </c:pt>
                <c:pt idx="505">
                  <c:v>0.86658267706354897</c:v>
                </c:pt>
                <c:pt idx="506">
                  <c:v>0.35545152012651737</c:v>
                </c:pt>
                <c:pt idx="507">
                  <c:v>0.49982449583957972</c:v>
                </c:pt>
                <c:pt idx="508">
                  <c:v>0.75579865697383053</c:v>
                </c:pt>
                <c:pt idx="509">
                  <c:v>1.087603973687808</c:v>
                </c:pt>
                <c:pt idx="510">
                  <c:v>0.80297885533526181</c:v>
                </c:pt>
                <c:pt idx="511">
                  <c:v>0.65369479531508179</c:v>
                </c:pt>
                <c:pt idx="512">
                  <c:v>0.74702317745162783</c:v>
                </c:pt>
                <c:pt idx="513">
                  <c:v>0.62283547952152019</c:v>
                </c:pt>
                <c:pt idx="514">
                  <c:v>1.0645702922440257</c:v>
                </c:pt>
                <c:pt idx="515">
                  <c:v>0.76745271809777316</c:v>
                </c:pt>
                <c:pt idx="516">
                  <c:v>0.79539333493128939</c:v>
                </c:pt>
                <c:pt idx="517">
                  <c:v>0.70432214082223543</c:v>
                </c:pt>
                <c:pt idx="518">
                  <c:v>0.73423960443545511</c:v>
                </c:pt>
                <c:pt idx="519">
                  <c:v>2.02812371512884</c:v>
                </c:pt>
                <c:pt idx="520">
                  <c:v>1.538410339987667</c:v>
                </c:pt>
                <c:pt idx="521">
                  <c:v>2.5520680616255489</c:v>
                </c:pt>
                <c:pt idx="522">
                  <c:v>1.8394969020075409</c:v>
                </c:pt>
                <c:pt idx="523">
                  <c:v>1.6823256186678071</c:v>
                </c:pt>
                <c:pt idx="524">
                  <c:v>1.901948465073084</c:v>
                </c:pt>
                <c:pt idx="525">
                  <c:v>2.2512097972759277</c:v>
                </c:pt>
                <c:pt idx="526">
                  <c:v>2.0564016926830102</c:v>
                </c:pt>
                <c:pt idx="527">
                  <c:v>2.1765976406193928</c:v>
                </c:pt>
                <c:pt idx="528">
                  <c:v>1.839754499992019</c:v>
                </c:pt>
                <c:pt idx="529">
                  <c:v>1.7482112921588484</c:v>
                </c:pt>
                <c:pt idx="530">
                  <c:v>2.2224927648862733</c:v>
                </c:pt>
                <c:pt idx="531">
                  <c:v>2.006889433374877</c:v>
                </c:pt>
                <c:pt idx="532">
                  <c:v>1.8809050130751304</c:v>
                </c:pt>
                <c:pt idx="533">
                  <c:v>1.8696188908263527</c:v>
                </c:pt>
                <c:pt idx="534">
                  <c:v>1.8491859254377954</c:v>
                </c:pt>
                <c:pt idx="535">
                  <c:v>2.9325057267630954</c:v>
                </c:pt>
                <c:pt idx="536">
                  <c:v>2.6228478995864934</c:v>
                </c:pt>
                <c:pt idx="537">
                  <c:v>3.3244135471622966</c:v>
                </c:pt>
                <c:pt idx="538">
                  <c:v>2.6054677413868745</c:v>
                </c:pt>
                <c:pt idx="539">
                  <c:v>2.5727299108356796</c:v>
                </c:pt>
                <c:pt idx="540">
                  <c:v>3.0363050496263249</c:v>
                </c:pt>
                <c:pt idx="541">
                  <c:v>3.2663902346404696</c:v>
                </c:pt>
                <c:pt idx="542">
                  <c:v>3.0813098545920985</c:v>
                </c:pt>
                <c:pt idx="543">
                  <c:v>2.9283753661847789</c:v>
                </c:pt>
                <c:pt idx="544">
                  <c:v>2.8895890823313692</c:v>
                </c:pt>
                <c:pt idx="545">
                  <c:v>2.6395542179888904</c:v>
                </c:pt>
                <c:pt idx="546">
                  <c:v>3.0987547941062923</c:v>
                </c:pt>
                <c:pt idx="547">
                  <c:v>2.8774859522345841</c:v>
                </c:pt>
                <c:pt idx="548">
                  <c:v>2.7268762939228215</c:v>
                </c:pt>
                <c:pt idx="549">
                  <c:v>3.6869813337025987</c:v>
                </c:pt>
                <c:pt idx="550">
                  <c:v>3.4678266035742755</c:v>
                </c:pt>
                <c:pt idx="551">
                  <c:v>3.9811234516614609</c:v>
                </c:pt>
                <c:pt idx="552">
                  <c:v>3.4097326594636854</c:v>
                </c:pt>
                <c:pt idx="553">
                  <c:v>3.4300602131392015</c:v>
                </c:pt>
                <c:pt idx="554">
                  <c:v>3.6873901788342884</c:v>
                </c:pt>
                <c:pt idx="555">
                  <c:v>1.4882262845356424</c:v>
                </c:pt>
                <c:pt idx="556">
                  <c:v>1.2403495267422193</c:v>
                </c:pt>
                <c:pt idx="557">
                  <c:v>1.244499778833843</c:v>
                </c:pt>
                <c:pt idx="558">
                  <c:v>2.4662951009324696</c:v>
                </c:pt>
                <c:pt idx="559">
                  <c:v>2.1932136752662501</c:v>
                </c:pt>
                <c:pt idx="560">
                  <c:v>2.6987406362910797</c:v>
                </c:pt>
                <c:pt idx="561">
                  <c:v>2.2877950139842484</c:v>
                </c:pt>
                <c:pt idx="562">
                  <c:v>2.407283804955533</c:v>
                </c:pt>
                <c:pt idx="563">
                  <c:v>2.2978698913999018</c:v>
                </c:pt>
                <c:pt idx="564">
                  <c:v>3.2630826118819889</c:v>
                </c:pt>
                <c:pt idx="565">
                  <c:v>3.1493629296366827</c:v>
                </c:pt>
                <c:pt idx="566">
                  <c:v>3.3653116105461187</c:v>
                </c:pt>
                <c:pt idx="567">
                  <c:v>3.1440620920756022</c:v>
                </c:pt>
                <c:pt idx="568">
                  <c:v>3.1398907303725538</c:v>
                </c:pt>
                <c:pt idx="569">
                  <c:v>3.1373981083643518</c:v>
                </c:pt>
                <c:pt idx="570">
                  <c:v>3.1409565613689985</c:v>
                </c:pt>
                <c:pt idx="571">
                  <c:v>3.0965742604809487</c:v>
                </c:pt>
                <c:pt idx="572">
                  <c:v>3.9145619419858395</c:v>
                </c:pt>
                <c:pt idx="573">
                  <c:v>1.2208922492195191</c:v>
                </c:pt>
                <c:pt idx="574">
                  <c:v>0.60927417240458759</c:v>
                </c:pt>
                <c:pt idx="575">
                  <c:v>1.4107603672445874</c:v>
                </c:pt>
                <c:pt idx="576">
                  <c:v>0.61405310598721929</c:v>
                </c:pt>
                <c:pt idx="577">
                  <c:v>0.42242567637120454</c:v>
                </c:pt>
                <c:pt idx="578">
                  <c:v>0.36567514045591776</c:v>
                </c:pt>
                <c:pt idx="579">
                  <c:v>0.84217222938561576</c:v>
                </c:pt>
                <c:pt idx="580">
                  <c:v>0.76996780132944243</c:v>
                </c:pt>
                <c:pt idx="581">
                  <c:v>1.188675422969832</c:v>
                </c:pt>
                <c:pt idx="582">
                  <c:v>0.87616008482562813</c:v>
                </c:pt>
                <c:pt idx="583">
                  <c:v>0.64991871873541918</c:v>
                </c:pt>
                <c:pt idx="584">
                  <c:v>0.66950283410434308</c:v>
                </c:pt>
                <c:pt idx="585">
                  <c:v>0.59725628292514177</c:v>
                </c:pt>
                <c:pt idx="586">
                  <c:v>0.9169274661129927</c:v>
                </c:pt>
                <c:pt idx="587">
                  <c:v>0.72402997293559768</c:v>
                </c:pt>
                <c:pt idx="588">
                  <c:v>0.81862172637588904</c:v>
                </c:pt>
                <c:pt idx="589">
                  <c:v>0.92267356785855426</c:v>
                </c:pt>
                <c:pt idx="590">
                  <c:v>2.3127864652098964</c:v>
                </c:pt>
                <c:pt idx="591">
                  <c:v>1.6939378909573755</c:v>
                </c:pt>
                <c:pt idx="592">
                  <c:v>2.5532225912189568</c:v>
                </c:pt>
                <c:pt idx="593">
                  <c:v>1.9951919003264258</c:v>
                </c:pt>
                <c:pt idx="594">
                  <c:v>1.7001496816919146</c:v>
                </c:pt>
                <c:pt idx="595">
                  <c:v>2.2824136377452588</c:v>
                </c:pt>
                <c:pt idx="596">
                  <c:v>2.3788700983989748</c:v>
                </c:pt>
                <c:pt idx="597">
                  <c:v>2.0726248249514585</c:v>
                </c:pt>
                <c:pt idx="598">
                  <c:v>1.8927177577370946</c:v>
                </c:pt>
                <c:pt idx="599">
                  <c:v>1.7137676639043045</c:v>
                </c:pt>
                <c:pt idx="600">
                  <c:v>1.9766113025354246</c:v>
                </c:pt>
                <c:pt idx="601">
                  <c:v>1.98380213401977</c:v>
                </c:pt>
                <c:pt idx="602">
                  <c:v>1.9088173146567056</c:v>
                </c:pt>
                <c:pt idx="603">
                  <c:v>2.0384572212886738</c:v>
                </c:pt>
                <c:pt idx="604">
                  <c:v>3.1974600294232922</c:v>
                </c:pt>
                <c:pt idx="605">
                  <c:v>2.6727967865512001</c:v>
                </c:pt>
                <c:pt idx="606">
                  <c:v>3.3728034157756657</c:v>
                </c:pt>
                <c:pt idx="607">
                  <c:v>2.7805196476683114</c:v>
                </c:pt>
                <c:pt idx="608">
                  <c:v>2.6658182404663306</c:v>
                </c:pt>
                <c:pt idx="609">
                  <c:v>3.312158096364636</c:v>
                </c:pt>
                <c:pt idx="610">
                  <c:v>3.3087385232738762</c:v>
                </c:pt>
                <c:pt idx="611">
                  <c:v>3.1516961381068098</c:v>
                </c:pt>
                <c:pt idx="612">
                  <c:v>2.6132126431836378</c:v>
                </c:pt>
                <c:pt idx="613">
                  <c:v>2.9945793222669366</c:v>
                </c:pt>
                <c:pt idx="614">
                  <c:v>2.9069698545386204</c:v>
                </c:pt>
                <c:pt idx="615">
                  <c:v>2.942565081592023</c:v>
                </c:pt>
                <c:pt idx="616">
                  <c:v>3.9811115675123299</c:v>
                </c:pt>
                <c:pt idx="617">
                  <c:v>3.5476109221130256</c:v>
                </c:pt>
                <c:pt idx="618">
                  <c:v>4.0753637526699018</c:v>
                </c:pt>
                <c:pt idx="619">
                  <c:v>3.5771135232011115</c:v>
                </c:pt>
                <c:pt idx="620">
                  <c:v>3.5135865935775223</c:v>
                </c:pt>
                <c:pt idx="621">
                  <c:v>3.8455064569787636</c:v>
                </c:pt>
                <c:pt idx="622">
                  <c:v>2.3897878324151485</c:v>
                </c:pt>
                <c:pt idx="623">
                  <c:v>2.2056103099025215</c:v>
                </c:pt>
                <c:pt idx="624">
                  <c:v>2.0720108043656973</c:v>
                </c:pt>
                <c:pt idx="625">
                  <c:v>2.3663613110535482</c:v>
                </c:pt>
                <c:pt idx="626">
                  <c:v>3.2559253860353619</c:v>
                </c:pt>
                <c:pt idx="627">
                  <c:v>3.225947845349697</c:v>
                </c:pt>
                <c:pt idx="628">
                  <c:v>3.0887450918829931</c:v>
                </c:pt>
                <c:pt idx="629">
                  <c:v>3.1749762980124179</c:v>
                </c:pt>
                <c:pt idx="630">
                  <c:v>3.1031469954459499</c:v>
                </c:pt>
                <c:pt idx="631">
                  <c:v>3.2139242363482246</c:v>
                </c:pt>
                <c:pt idx="632">
                  <c:v>3.1110591005794901</c:v>
                </c:pt>
                <c:pt idx="633">
                  <c:v>3.9280932259105676</c:v>
                </c:pt>
                <c:pt idx="634">
                  <c:v>3.9655370557680762</c:v>
                </c:pt>
                <c:pt idx="635">
                  <c:v>2.0147262968714394</c:v>
                </c:pt>
                <c:pt idx="636">
                  <c:v>1.4834303806341569</c:v>
                </c:pt>
                <c:pt idx="637">
                  <c:v>2.2977276916362745</c:v>
                </c:pt>
                <c:pt idx="638">
                  <c:v>2.0378327119174209</c:v>
                </c:pt>
                <c:pt idx="639">
                  <c:v>1.6956567599361902</c:v>
                </c:pt>
                <c:pt idx="640">
                  <c:v>2.1885572774520008</c:v>
                </c:pt>
                <c:pt idx="641">
                  <c:v>2.5127204080871204</c:v>
                </c:pt>
                <c:pt idx="642">
                  <c:v>2.2760318926839744</c:v>
                </c:pt>
                <c:pt idx="643">
                  <c:v>1.917605275543061</c:v>
                </c:pt>
                <c:pt idx="644">
                  <c:v>1.7970458347538432</c:v>
                </c:pt>
                <c:pt idx="645">
                  <c:v>1.7745023673493519</c:v>
                </c:pt>
                <c:pt idx="646">
                  <c:v>1.8210154090566848</c:v>
                </c:pt>
                <c:pt idx="647">
                  <c:v>2.1424551685270643</c:v>
                </c:pt>
                <c:pt idx="648">
                  <c:v>1.9266613609946424</c:v>
                </c:pt>
                <c:pt idx="649">
                  <c:v>2.1660599028568348</c:v>
                </c:pt>
                <c:pt idx="650">
                  <c:v>2.0141549727591088</c:v>
                </c:pt>
                <c:pt idx="651">
                  <c:v>2.9713639978595565</c:v>
                </c:pt>
                <c:pt idx="652">
                  <c:v>2.4739028177234186</c:v>
                </c:pt>
                <c:pt idx="653">
                  <c:v>3.4382744116677304</c:v>
                </c:pt>
                <c:pt idx="654">
                  <c:v>2.8720950591450856</c:v>
                </c:pt>
                <c:pt idx="655">
                  <c:v>2.6613203954496929</c:v>
                </c:pt>
                <c:pt idx="656">
                  <c:v>3.214082901636047</c:v>
                </c:pt>
                <c:pt idx="657">
                  <c:v>3.1898952230986248</c:v>
                </c:pt>
                <c:pt idx="658">
                  <c:v>3.3032193920194879</c:v>
                </c:pt>
                <c:pt idx="659">
                  <c:v>3.0353532796149159</c:v>
                </c:pt>
                <c:pt idx="660">
                  <c:v>2.612234815809531</c:v>
                </c:pt>
                <c:pt idx="661">
                  <c:v>2.8909148387429378</c:v>
                </c:pt>
                <c:pt idx="662">
                  <c:v>3.2485703173902594</c:v>
                </c:pt>
                <c:pt idx="663">
                  <c:v>2.9165392198218298</c:v>
                </c:pt>
                <c:pt idx="664">
                  <c:v>3.9147355375873718</c:v>
                </c:pt>
                <c:pt idx="665">
                  <c:v>3.4506459521918784</c:v>
                </c:pt>
                <c:pt idx="666">
                  <c:v>3.6713749417086978</c:v>
                </c:pt>
                <c:pt idx="667">
                  <c:v>3.588543966153432</c:v>
                </c:pt>
                <c:pt idx="668">
                  <c:v>2.9769750597535456</c:v>
                </c:pt>
                <c:pt idx="669">
                  <c:v>3.049585466442553</c:v>
                </c:pt>
                <c:pt idx="670">
                  <c:v>3.012192050316072</c:v>
                </c:pt>
                <c:pt idx="671">
                  <c:v>3.0679471197680059</c:v>
                </c:pt>
                <c:pt idx="672">
                  <c:v>3.9842289203060908</c:v>
                </c:pt>
                <c:pt idx="673">
                  <c:v>2.9672666232670144</c:v>
                </c:pt>
                <c:pt idx="674">
                  <c:v>2.5057751835727906</c:v>
                </c:pt>
                <c:pt idx="675">
                  <c:v>3.3909206303793691</c:v>
                </c:pt>
                <c:pt idx="676">
                  <c:v>2.860815767129679</c:v>
                </c:pt>
                <c:pt idx="677">
                  <c:v>2.7441403663569512</c:v>
                </c:pt>
                <c:pt idx="678">
                  <c:v>2.6706595349171227</c:v>
                </c:pt>
                <c:pt idx="679">
                  <c:v>3.065252096551955</c:v>
                </c:pt>
                <c:pt idx="680">
                  <c:v>3.0581157575419344</c:v>
                </c:pt>
                <c:pt idx="681">
                  <c:v>2.8235303056180614</c:v>
                </c:pt>
                <c:pt idx="682">
                  <c:v>3.2289856969339779</c:v>
                </c:pt>
                <c:pt idx="683">
                  <c:v>2.9979033850642183</c:v>
                </c:pt>
                <c:pt idx="684">
                  <c:v>2.8774968929693503</c:v>
                </c:pt>
                <c:pt idx="685">
                  <c:v>2.8384826182054108</c:v>
                </c:pt>
                <c:pt idx="686">
                  <c:v>2.8333186275490516</c:v>
                </c:pt>
                <c:pt idx="687">
                  <c:v>3.3190750222881507</c:v>
                </c:pt>
                <c:pt idx="688">
                  <c:v>2.7323519368591289</c:v>
                </c:pt>
                <c:pt idx="689">
                  <c:v>3.8868407269755965</c:v>
                </c:pt>
                <c:pt idx="690">
                  <c:v>3.4711512762545951</c:v>
                </c:pt>
                <c:pt idx="691">
                  <c:v>4.1422083889023318</c:v>
                </c:pt>
                <c:pt idx="692">
                  <c:v>3.7416104789070088</c:v>
                </c:pt>
                <c:pt idx="693">
                  <c:v>3.9844088000380191</c:v>
                </c:pt>
                <c:pt idx="694">
                  <c:v>3.6859648280668469</c:v>
                </c:pt>
                <c:pt idx="695">
                  <c:v>3.829699990303717</c:v>
                </c:pt>
                <c:pt idx="696">
                  <c:v>3.3556813461057229</c:v>
                </c:pt>
                <c:pt idx="697">
                  <c:v>3.7858516003822622</c:v>
                </c:pt>
                <c:pt idx="698">
                  <c:v>3.6564731823140026</c:v>
                </c:pt>
                <c:pt idx="699">
                  <c:v>3.8960321746281394</c:v>
                </c:pt>
                <c:pt idx="700">
                  <c:v>3.633984656118459</c:v>
                </c:pt>
                <c:pt idx="701">
                  <c:v>3.9811057160369803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50-3D4B-94BA-692EA945F59A}"/>
            </c:ext>
          </c:extLst>
        </c:ser>
        <c:ser>
          <c:idx val="2"/>
          <c:order val="2"/>
          <c:tx>
            <c:strRef>
              <c:f>graphtime!$C$1</c:f>
              <c:strCache>
                <c:ptCount val="1"/>
                <c:pt idx="0">
                  <c:v>time_switch</c:v>
                </c:pt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val>
            <c:numRef>
              <c:f>graphtime!$C$2:$C$1000</c:f>
              <c:numCache>
                <c:formatCode>General</c:formatCode>
                <c:ptCount val="999"/>
                <c:pt idx="0">
                  <c:v>0.40450377817442584</c:v>
                </c:pt>
                <c:pt idx="1">
                  <c:v>0.44977164694490596</c:v>
                </c:pt>
                <c:pt idx="2">
                  <c:v>0.20303288701471064</c:v>
                </c:pt>
                <c:pt idx="3">
                  <c:v>0.43838410703471409</c:v>
                </c:pt>
                <c:pt idx="4">
                  <c:v>0.21058602490515654</c:v>
                </c:pt>
                <c:pt idx="5">
                  <c:v>0.97767788767399388</c:v>
                </c:pt>
                <c:pt idx="6">
                  <c:v>0.78653848049780239</c:v>
                </c:pt>
                <c:pt idx="7">
                  <c:v>0.98980565093682604</c:v>
                </c:pt>
                <c:pt idx="8">
                  <c:v>0.79961620448149895</c:v>
                </c:pt>
                <c:pt idx="9">
                  <c:v>1.3982352285563431</c:v>
                </c:pt>
                <c:pt idx="10">
                  <c:v>1.1689097791223608</c:v>
                </c:pt>
                <c:pt idx="11">
                  <c:v>1.3456089505405939</c:v>
                </c:pt>
                <c:pt idx="12">
                  <c:v>1.169762576902915</c:v>
                </c:pt>
                <c:pt idx="13">
                  <c:v>1.3004433020060284</c:v>
                </c:pt>
                <c:pt idx="14">
                  <c:v>1.0726909550128685</c:v>
                </c:pt>
                <c:pt idx="15">
                  <c:v>1.6681994841986618</c:v>
                </c:pt>
                <c:pt idx="16">
                  <c:v>0.47108329972234525</c:v>
                </c:pt>
                <c:pt idx="17">
                  <c:v>0.38510278396686543</c:v>
                </c:pt>
                <c:pt idx="18">
                  <c:v>0.43889861635094402</c:v>
                </c:pt>
                <c:pt idx="19">
                  <c:v>0.40782324260413316</c:v>
                </c:pt>
                <c:pt idx="20">
                  <c:v>0.29499204066666401</c:v>
                </c:pt>
                <c:pt idx="21">
                  <c:v>0.44611697335612566</c:v>
                </c:pt>
                <c:pt idx="22">
                  <c:v>0.39685562737981767</c:v>
                </c:pt>
                <c:pt idx="23">
                  <c:v>0.47237009912866135</c:v>
                </c:pt>
                <c:pt idx="24">
                  <c:v>0.42365864979420714</c:v>
                </c:pt>
                <c:pt idx="25">
                  <c:v>0.38933983691012009</c:v>
                </c:pt>
                <c:pt idx="26">
                  <c:v>0.51570016065321422</c:v>
                </c:pt>
                <c:pt idx="27">
                  <c:v>0.54060751224076919</c:v>
                </c:pt>
                <c:pt idx="28">
                  <c:v>0.41907502432438071</c:v>
                </c:pt>
                <c:pt idx="29">
                  <c:v>0.5767541260631921</c:v>
                </c:pt>
                <c:pt idx="30">
                  <c:v>0.54668165995296236</c:v>
                </c:pt>
                <c:pt idx="31">
                  <c:v>0.31069114087637978</c:v>
                </c:pt>
                <c:pt idx="32">
                  <c:v>0.43889861635094402</c:v>
                </c:pt>
                <c:pt idx="33">
                  <c:v>0.36855623098682799</c:v>
                </c:pt>
                <c:pt idx="34">
                  <c:v>0.31344537042641407</c:v>
                </c:pt>
                <c:pt idx="35">
                  <c:v>0.25863728272407649</c:v>
                </c:pt>
                <c:pt idx="36">
                  <c:v>0.29380435991933673</c:v>
                </c:pt>
                <c:pt idx="37">
                  <c:v>0.33765889102614233</c:v>
                </c:pt>
                <c:pt idx="38">
                  <c:v>0.43408963841789078</c:v>
                </c:pt>
                <c:pt idx="39">
                  <c:v>0.47928731647617012</c:v>
                </c:pt>
                <c:pt idx="40">
                  <c:v>0.21457895357049908</c:v>
                </c:pt>
                <c:pt idx="41">
                  <c:v>0.2380461031287954</c:v>
                </c:pt>
                <c:pt idx="42">
                  <c:v>0.34772021703403816</c:v>
                </c:pt>
                <c:pt idx="43">
                  <c:v>0.39093510710337914</c:v>
                </c:pt>
                <c:pt idx="44">
                  <c:v>0.18041263283832379</c:v>
                </c:pt>
                <c:pt idx="45">
                  <c:v>0.41178800454386888</c:v>
                </c:pt>
                <c:pt idx="46">
                  <c:v>7.9181246047624818E-2</c:v>
                </c:pt>
                <c:pt idx="47">
                  <c:v>0.29797924415936239</c:v>
                </c:pt>
                <c:pt idx="48">
                  <c:v>0.39304846641677821</c:v>
                </c:pt>
                <c:pt idx="49">
                  <c:v>0.32899085544942874</c:v>
                </c:pt>
                <c:pt idx="50">
                  <c:v>0.33785842904109437</c:v>
                </c:pt>
                <c:pt idx="51">
                  <c:v>0.87250589934592493</c:v>
                </c:pt>
                <c:pt idx="52">
                  <c:v>0.87034537108095966</c:v>
                </c:pt>
                <c:pt idx="53">
                  <c:v>0.77887447200273952</c:v>
                </c:pt>
                <c:pt idx="54">
                  <c:v>0.68618923424402367</c:v>
                </c:pt>
                <c:pt idx="55">
                  <c:v>0.96684542365491644</c:v>
                </c:pt>
                <c:pt idx="56">
                  <c:v>0.80597635071756268</c:v>
                </c:pt>
                <c:pt idx="57">
                  <c:v>0.81736701628759412</c:v>
                </c:pt>
                <c:pt idx="58">
                  <c:v>0.77995705124690606</c:v>
                </c:pt>
                <c:pt idx="59">
                  <c:v>0.51174971134498282</c:v>
                </c:pt>
                <c:pt idx="60">
                  <c:v>0.81710240425692315</c:v>
                </c:pt>
                <c:pt idx="61">
                  <c:v>0.82652830634065155</c:v>
                </c:pt>
                <c:pt idx="62">
                  <c:v>0.46627432178929207</c:v>
                </c:pt>
                <c:pt idx="63">
                  <c:v>0.8380931384455983</c:v>
                </c:pt>
                <c:pt idx="64">
                  <c:v>0.92572452693606266</c:v>
                </c:pt>
                <c:pt idx="65">
                  <c:v>0.85351569675692862</c:v>
                </c:pt>
                <c:pt idx="66">
                  <c:v>0.89259542282889814</c:v>
                </c:pt>
                <c:pt idx="67">
                  <c:v>1.1881688585866963</c:v>
                </c:pt>
                <c:pt idx="68">
                  <c:v>1.317833599243589</c:v>
                </c:pt>
                <c:pt idx="69">
                  <c:v>0.83752530944960124</c:v>
                </c:pt>
                <c:pt idx="70">
                  <c:v>1.0473527607539341</c:v>
                </c:pt>
                <c:pt idx="71">
                  <c:v>1.3564274416923547</c:v>
                </c:pt>
                <c:pt idx="72">
                  <c:v>1.2322589623427016</c:v>
                </c:pt>
                <c:pt idx="73">
                  <c:v>1.1546977935963878</c:v>
                </c:pt>
                <c:pt idx="74">
                  <c:v>1.1732154147148859</c:v>
                </c:pt>
                <c:pt idx="75">
                  <c:v>0.86958370771342375</c:v>
                </c:pt>
                <c:pt idx="76">
                  <c:v>1.2532652936901574</c:v>
                </c:pt>
                <c:pt idx="77">
                  <c:v>1.2116010441452396</c:v>
                </c:pt>
                <c:pt idx="78">
                  <c:v>0.8427340189482696</c:v>
                </c:pt>
                <c:pt idx="79">
                  <c:v>1.3318320444362486</c:v>
                </c:pt>
                <c:pt idx="80">
                  <c:v>1.3302107845715281</c:v>
                </c:pt>
                <c:pt idx="81">
                  <c:v>1.5250448070368452</c:v>
                </c:pt>
                <c:pt idx="82">
                  <c:v>1.6365179849980136</c:v>
                </c:pt>
                <c:pt idx="83">
                  <c:v>1.1114977488080302</c:v>
                </c:pt>
                <c:pt idx="84">
                  <c:v>1.3228186210073947</c:v>
                </c:pt>
                <c:pt idx="85">
                  <c:v>1.612052355179759</c:v>
                </c:pt>
                <c:pt idx="86">
                  <c:v>1.4231475319772444</c:v>
                </c:pt>
                <c:pt idx="87">
                  <c:v>0.33825723024625559</c:v>
                </c:pt>
                <c:pt idx="88">
                  <c:v>0.44247976906444858</c:v>
                </c:pt>
                <c:pt idx="89">
                  <c:v>0.37767043933432309</c:v>
                </c:pt>
                <c:pt idx="90">
                  <c:v>0.96717342295553954</c:v>
                </c:pt>
                <c:pt idx="91">
                  <c:v>0.93308216236979102</c:v>
                </c:pt>
                <c:pt idx="92">
                  <c:v>0.87198135384336939</c:v>
                </c:pt>
                <c:pt idx="93">
                  <c:v>1.0008243766056055</c:v>
                </c:pt>
                <c:pt idx="94">
                  <c:v>0.65810683550639293</c:v>
                </c:pt>
                <c:pt idx="95">
                  <c:v>0.92992956008458783</c:v>
                </c:pt>
                <c:pt idx="96">
                  <c:v>1.3824493197989152</c:v>
                </c:pt>
                <c:pt idx="97">
                  <c:v>1.3483048630481607</c:v>
                </c:pt>
                <c:pt idx="98">
                  <c:v>1.2633756505094427</c:v>
                </c:pt>
                <c:pt idx="99">
                  <c:v>1.344863649797128</c:v>
                </c:pt>
                <c:pt idx="100">
                  <c:v>1.0197392326747052</c:v>
                </c:pt>
                <c:pt idx="101">
                  <c:v>1.2733948539971365</c:v>
                </c:pt>
                <c:pt idx="102">
                  <c:v>1.3427778673872475</c:v>
                </c:pt>
                <c:pt idx="103">
                  <c:v>1.1028451642454182</c:v>
                </c:pt>
                <c:pt idx="104">
                  <c:v>1.6695957810243134</c:v>
                </c:pt>
                <c:pt idx="105">
                  <c:v>0.32118402730231416</c:v>
                </c:pt>
                <c:pt idx="106">
                  <c:v>0.40019248859257595</c:v>
                </c:pt>
                <c:pt idx="107">
                  <c:v>0.25959387888594865</c:v>
                </c:pt>
                <c:pt idx="108">
                  <c:v>0.31048089146267516</c:v>
                </c:pt>
                <c:pt idx="109">
                  <c:v>0.45757914699576252</c:v>
                </c:pt>
                <c:pt idx="110">
                  <c:v>0.48301642014413215</c:v>
                </c:pt>
                <c:pt idx="111">
                  <c:v>0.28600712207947454</c:v>
                </c:pt>
                <c:pt idx="112">
                  <c:v>0.30621050816776152</c:v>
                </c:pt>
                <c:pt idx="113">
                  <c:v>0.13830269816628146</c:v>
                </c:pt>
                <c:pt idx="114">
                  <c:v>0.37730625106819882</c:v>
                </c:pt>
                <c:pt idx="115">
                  <c:v>0.41830129131974547</c:v>
                </c:pt>
                <c:pt idx="116">
                  <c:v>0.11627558758054428</c:v>
                </c:pt>
                <c:pt idx="117">
                  <c:v>0.41060854256836787</c:v>
                </c:pt>
                <c:pt idx="118">
                  <c:v>8.4218686739238768E-2</c:v>
                </c:pt>
                <c:pt idx="119">
                  <c:v>0.33465476688324136</c:v>
                </c:pt>
                <c:pt idx="120">
                  <c:v>0.40140054078154408</c:v>
                </c:pt>
                <c:pt idx="121">
                  <c:v>0.41796964221473698</c:v>
                </c:pt>
                <c:pt idx="122">
                  <c:v>0.89304011195711797</c:v>
                </c:pt>
                <c:pt idx="123">
                  <c:v>0.9702073588068546</c:v>
                </c:pt>
                <c:pt idx="124">
                  <c:v>0.79351100579285783</c:v>
                </c:pt>
                <c:pt idx="125">
                  <c:v>0.80631566980811353</c:v>
                </c:pt>
                <c:pt idx="126">
                  <c:v>0.97831749674675117</c:v>
                </c:pt>
                <c:pt idx="127">
                  <c:v>0.8937062930647135</c:v>
                </c:pt>
                <c:pt idx="128">
                  <c:v>0.78816837114116767</c:v>
                </c:pt>
                <c:pt idx="129">
                  <c:v>0.81590965088677458</c:v>
                </c:pt>
                <c:pt idx="130">
                  <c:v>0.80126647048962019</c:v>
                </c:pt>
                <c:pt idx="131">
                  <c:v>0.85125834871907524</c:v>
                </c:pt>
                <c:pt idx="132">
                  <c:v>0.56513915196978948</c:v>
                </c:pt>
                <c:pt idx="133">
                  <c:v>0.88377496135525824</c:v>
                </c:pt>
                <c:pt idx="134">
                  <c:v>0.95712819767681312</c:v>
                </c:pt>
                <c:pt idx="135">
                  <c:v>0.96184805901832426</c:v>
                </c:pt>
                <c:pt idx="136">
                  <c:v>1.2275267849372016</c:v>
                </c:pt>
                <c:pt idx="137">
                  <c:v>1.3898922554420627</c:v>
                </c:pt>
                <c:pt idx="138">
                  <c:v>0.95515838692579358</c:v>
                </c:pt>
                <c:pt idx="139">
                  <c:v>1.1761202110560856</c:v>
                </c:pt>
                <c:pt idx="140">
                  <c:v>1.3897506588375064</c:v>
                </c:pt>
                <c:pt idx="141">
                  <c:v>1.2227424760266008</c:v>
                </c:pt>
                <c:pt idx="142">
                  <c:v>1.1828709639889086</c:v>
                </c:pt>
                <c:pt idx="143">
                  <c:v>1.1983546247369399</c:v>
                </c:pt>
                <c:pt idx="144">
                  <c:v>1.2312911464183494</c:v>
                </c:pt>
                <c:pt idx="145">
                  <c:v>0.93666451300007547</c:v>
                </c:pt>
                <c:pt idx="146">
                  <c:v>1.3677844122811538</c:v>
                </c:pt>
                <c:pt idx="147">
                  <c:v>1.3952040393618497</c:v>
                </c:pt>
                <c:pt idx="148">
                  <c:v>1.5651391519697895</c:v>
                </c:pt>
                <c:pt idx="149">
                  <c:v>1.7110391561194014</c:v>
                </c:pt>
                <c:pt idx="150">
                  <c:v>1.2216749970707688</c:v>
                </c:pt>
                <c:pt idx="151">
                  <c:v>1.4540212057026003</c:v>
                </c:pt>
                <c:pt idx="152">
                  <c:v>1.6682833887237569</c:v>
                </c:pt>
                <c:pt idx="153">
                  <c:v>1.5092025223311027</c:v>
                </c:pt>
                <c:pt idx="154">
                  <c:v>0.97464983443872211</c:v>
                </c:pt>
                <c:pt idx="155">
                  <c:v>0.84571801796665869</c:v>
                </c:pt>
                <c:pt idx="156">
                  <c:v>0.96213246929823548</c:v>
                </c:pt>
                <c:pt idx="157">
                  <c:v>0.55606115900953257</c:v>
                </c:pt>
                <c:pt idx="158">
                  <c:v>1.3981310562166969</c:v>
                </c:pt>
                <c:pt idx="159">
                  <c:v>1.3071964211494127</c:v>
                </c:pt>
                <c:pt idx="160">
                  <c:v>1.3235820798489948</c:v>
                </c:pt>
                <c:pt idx="161">
                  <c:v>0.99277436425535559</c:v>
                </c:pt>
                <c:pt idx="162">
                  <c:v>1.269139196792179</c:v>
                </c:pt>
                <c:pt idx="163">
                  <c:v>1.3435267530977173</c:v>
                </c:pt>
                <c:pt idx="164">
                  <c:v>1.0985052832013156</c:v>
                </c:pt>
                <c:pt idx="165">
                  <c:v>1.6739143942939891</c:v>
                </c:pt>
                <c:pt idx="166">
                  <c:v>1.6455990953524453</c:v>
                </c:pt>
                <c:pt idx="167">
                  <c:v>0.87903850523723703</c:v>
                </c:pt>
                <c:pt idx="168">
                  <c:v>0.88952579667119114</c:v>
                </c:pt>
                <c:pt idx="169">
                  <c:v>0.64962688684052949</c:v>
                </c:pt>
                <c:pt idx="170">
                  <c:v>0.67015304519218022</c:v>
                </c:pt>
                <c:pt idx="171">
                  <c:v>0.98806820339263524</c:v>
                </c:pt>
                <c:pt idx="172">
                  <c:v>0.87022827901179445</c:v>
                </c:pt>
                <c:pt idx="173">
                  <c:v>0.79865064544526898</c:v>
                </c:pt>
                <c:pt idx="174">
                  <c:v>0.84341966520491829</c:v>
                </c:pt>
                <c:pt idx="175">
                  <c:v>0.86899690248713546</c:v>
                </c:pt>
                <c:pt idx="176">
                  <c:v>0.75212530729789828</c:v>
                </c:pt>
                <c:pt idx="177">
                  <c:v>0.83803008298532011</c:v>
                </c:pt>
                <c:pt idx="178">
                  <c:v>0.54555450723406496</c:v>
                </c:pt>
                <c:pt idx="179">
                  <c:v>0.86445174715818296</c:v>
                </c:pt>
                <c:pt idx="180">
                  <c:v>0.94895061024554817</c:v>
                </c:pt>
                <c:pt idx="181">
                  <c:v>0.8552161947333633</c:v>
                </c:pt>
                <c:pt idx="182">
                  <c:v>0.95477298968971702</c:v>
                </c:pt>
                <c:pt idx="183">
                  <c:v>1.2522460504731183</c:v>
                </c:pt>
                <c:pt idx="184">
                  <c:v>1.3322970386888853</c:v>
                </c:pt>
                <c:pt idx="185">
                  <c:v>0.97977593272968555</c:v>
                </c:pt>
                <c:pt idx="186">
                  <c:v>1.1113633443251305</c:v>
                </c:pt>
                <c:pt idx="187">
                  <c:v>1.3924507246560325</c:v>
                </c:pt>
                <c:pt idx="188">
                  <c:v>1.2418700886856189</c:v>
                </c:pt>
                <c:pt idx="189">
                  <c:v>1.2234959409623944</c:v>
                </c:pt>
                <c:pt idx="190">
                  <c:v>1.2512244095718317</c:v>
                </c:pt>
                <c:pt idx="191">
                  <c:v>1.2643691350516164</c:v>
                </c:pt>
                <c:pt idx="192">
                  <c:v>1.2668664412211808</c:v>
                </c:pt>
                <c:pt idx="193">
                  <c:v>0.97317405268297219</c:v>
                </c:pt>
                <c:pt idx="194">
                  <c:v>1.3817827126351869</c:v>
                </c:pt>
                <c:pt idx="195">
                  <c:v>1.3798672890808785</c:v>
                </c:pt>
                <c:pt idx="196">
                  <c:v>1.6077980339793871</c:v>
                </c:pt>
                <c:pt idx="197">
                  <c:v>1.6960766724483849</c:v>
                </c:pt>
                <c:pt idx="198">
                  <c:v>1.4433725254048799</c:v>
                </c:pt>
                <c:pt idx="199">
                  <c:v>1.6972555042899145</c:v>
                </c:pt>
                <c:pt idx="200">
                  <c:v>1.3177918160530715</c:v>
                </c:pt>
                <c:pt idx="201">
                  <c:v>1.2451670688220791</c:v>
                </c:pt>
                <c:pt idx="202">
                  <c:v>1.2881597633238784</c:v>
                </c:pt>
                <c:pt idx="203">
                  <c:v>1.0447356974505071</c:v>
                </c:pt>
                <c:pt idx="204">
                  <c:v>1.6180794903592206</c:v>
                </c:pt>
                <c:pt idx="205">
                  <c:v>1.2073380952883563</c:v>
                </c:pt>
                <c:pt idx="206">
                  <c:v>1.2933183494610736</c:v>
                </c:pt>
                <c:pt idx="207">
                  <c:v>0.83435711271840507</c:v>
                </c:pt>
                <c:pt idx="208">
                  <c:v>1.1469028699281991</c:v>
                </c:pt>
                <c:pt idx="209">
                  <c:v>0.95133751879591766</c:v>
                </c:pt>
                <c:pt idx="210">
                  <c:v>1.3956233943558363</c:v>
                </c:pt>
                <c:pt idx="211">
                  <c:v>1.2542337826501464</c:v>
                </c:pt>
                <c:pt idx="212">
                  <c:v>1.2056373594794292</c:v>
                </c:pt>
                <c:pt idx="213">
                  <c:v>1.1329957006922653</c:v>
                </c:pt>
                <c:pt idx="214">
                  <c:v>1.1548802447187618</c:v>
                </c:pt>
                <c:pt idx="215">
                  <c:v>1.1517681028951787</c:v>
                </c:pt>
                <c:pt idx="216">
                  <c:v>0.77188132019009881</c:v>
                </c:pt>
                <c:pt idx="217">
                  <c:v>1.2404493989932983</c:v>
                </c:pt>
                <c:pt idx="218">
                  <c:v>0.7833317628874239</c:v>
                </c:pt>
                <c:pt idx="219">
                  <c:v>1.3788700983989748</c:v>
                </c:pt>
                <c:pt idx="220">
                  <c:v>1.3493746742040507</c:v>
                </c:pt>
                <c:pt idx="221">
                  <c:v>1.6169793602043556</c:v>
                </c:pt>
                <c:pt idx="222">
                  <c:v>1.6818650874084622</c:v>
                </c:pt>
                <c:pt idx="223">
                  <c:v>1.2252575769240988</c:v>
                </c:pt>
                <c:pt idx="224">
                  <c:v>1.5416541158512407</c:v>
                </c:pt>
                <c:pt idx="225">
                  <c:v>1.3725622182854997</c:v>
                </c:pt>
                <c:pt idx="226">
                  <c:v>1.6910726469314306</c:v>
                </c:pt>
                <c:pt idx="227">
                  <c:v>1.5394901128897587</c:v>
                </c:pt>
                <c:pt idx="228">
                  <c:v>1.6498506421647172</c:v>
                </c:pt>
                <c:pt idx="229">
                  <c:v>1.1550930075304022</c:v>
                </c:pt>
                <c:pt idx="230">
                  <c:v>1.4672232108340486</c:v>
                </c:pt>
                <c:pt idx="231">
                  <c:v>1.3029150795688613</c:v>
                </c:pt>
                <c:pt idx="232">
                  <c:v>1.6670324644124679</c:v>
                </c:pt>
                <c:pt idx="233">
                  <c:v>1.5764565324056201</c:v>
                </c:pt>
                <c:pt idx="234">
                  <c:v>0.23507701535011155</c:v>
                </c:pt>
                <c:pt idx="235">
                  <c:v>0.22988470521289839</c:v>
                </c:pt>
                <c:pt idx="236">
                  <c:v>0.5854607295085007</c:v>
                </c:pt>
                <c:pt idx="237">
                  <c:v>0.62065647981962091</c:v>
                </c:pt>
                <c:pt idx="238">
                  <c:v>0.62366270735620455</c:v>
                </c:pt>
                <c:pt idx="239">
                  <c:v>1.1821006598939492</c:v>
                </c:pt>
                <c:pt idx="240">
                  <c:v>1.1743215272640404</c:v>
                </c:pt>
                <c:pt idx="241">
                  <c:v>1.1695568824321849</c:v>
                </c:pt>
                <c:pt idx="242">
                  <c:v>1.1968943469112803</c:v>
                </c:pt>
                <c:pt idx="243">
                  <c:v>1.6111920608684343</c:v>
                </c:pt>
                <c:pt idx="244">
                  <c:v>1.6111920608684343</c:v>
                </c:pt>
                <c:pt idx="245">
                  <c:v>1.6092741724045876</c:v>
                </c:pt>
                <c:pt idx="246">
                  <c:v>1.6215190105698074</c:v>
                </c:pt>
                <c:pt idx="247">
                  <c:v>1.6168114763725852</c:v>
                </c:pt>
                <c:pt idx="248">
                  <c:v>1.6313219871321376</c:v>
                </c:pt>
                <c:pt idx="249">
                  <c:v>1.9551487561619105</c:v>
                </c:pt>
                <c:pt idx="250">
                  <c:v>0.14086170270546919</c:v>
                </c:pt>
                <c:pt idx="251">
                  <c:v>0.15304467498017607</c:v>
                </c:pt>
                <c:pt idx="252">
                  <c:v>7.2116589669293102E-2</c:v>
                </c:pt>
                <c:pt idx="253">
                  <c:v>5.4531414868180264E-2</c:v>
                </c:pt>
                <c:pt idx="254">
                  <c:v>3.8911662369104775E-3</c:v>
                </c:pt>
                <c:pt idx="255">
                  <c:v>0.13194363817695845</c:v>
                </c:pt>
                <c:pt idx="256">
                  <c:v>0.12493873660829995</c:v>
                </c:pt>
                <c:pt idx="257">
                  <c:v>0.22257317761068865</c:v>
                </c:pt>
                <c:pt idx="258">
                  <c:v>0.23507701535011155</c:v>
                </c:pt>
                <c:pt idx="259">
                  <c:v>0.20481541031757602</c:v>
                </c:pt>
                <c:pt idx="260">
                  <c:v>0.19178902707577791</c:v>
                </c:pt>
                <c:pt idx="261">
                  <c:v>0.22548303427145044</c:v>
                </c:pt>
                <c:pt idx="262">
                  <c:v>0.20830935097988201</c:v>
                </c:pt>
                <c:pt idx="263">
                  <c:v>0.20901152491118416</c:v>
                </c:pt>
                <c:pt idx="264">
                  <c:v>0.20481541031757602</c:v>
                </c:pt>
                <c:pt idx="265">
                  <c:v>5.1098239029786302E-2</c:v>
                </c:pt>
                <c:pt idx="266">
                  <c:v>6.1480274823508103E-2</c:v>
                </c:pt>
                <c:pt idx="267">
                  <c:v>0.18708664335714442</c:v>
                </c:pt>
                <c:pt idx="268">
                  <c:v>0.62345604806993382</c:v>
                </c:pt>
                <c:pt idx="269">
                  <c:v>0.62273196516471907</c:v>
                </c:pt>
                <c:pt idx="270">
                  <c:v>0.60336092434838051</c:v>
                </c:pt>
                <c:pt idx="271">
                  <c:v>0.62726341656822104</c:v>
                </c:pt>
                <c:pt idx="272">
                  <c:v>0.65762943138895202</c:v>
                </c:pt>
                <c:pt idx="273">
                  <c:v>0.61225390609643726</c:v>
                </c:pt>
                <c:pt idx="274">
                  <c:v>0.61647551388856547</c:v>
                </c:pt>
                <c:pt idx="275">
                  <c:v>0.60831204269732719</c:v>
                </c:pt>
                <c:pt idx="276">
                  <c:v>0.63778982936222905</c:v>
                </c:pt>
                <c:pt idx="277">
                  <c:v>0.64767631324087083</c:v>
                </c:pt>
                <c:pt idx="278">
                  <c:v>0.64581511829664184</c:v>
                </c:pt>
                <c:pt idx="279">
                  <c:v>0.60884682232641163</c:v>
                </c:pt>
                <c:pt idx="280">
                  <c:v>0.61193562504012255</c:v>
                </c:pt>
                <c:pt idx="281">
                  <c:v>0.6069185259482911</c:v>
                </c:pt>
                <c:pt idx="282">
                  <c:v>0.65350194696293284</c:v>
                </c:pt>
                <c:pt idx="283">
                  <c:v>0.64236558084497331</c:v>
                </c:pt>
                <c:pt idx="284">
                  <c:v>0.6065963091792852</c:v>
                </c:pt>
                <c:pt idx="285">
                  <c:v>1.1830134630819293</c:v>
                </c:pt>
                <c:pt idx="286">
                  <c:v>1.1695568824321849</c:v>
                </c:pt>
                <c:pt idx="287">
                  <c:v>1.182414652434554</c:v>
                </c:pt>
                <c:pt idx="288">
                  <c:v>1.2022157758011316</c:v>
                </c:pt>
                <c:pt idx="289">
                  <c:v>1.1853154580036565</c:v>
                </c:pt>
                <c:pt idx="290">
                  <c:v>1.1851453576756501</c:v>
                </c:pt>
                <c:pt idx="291">
                  <c:v>1.1854571574019259</c:v>
                </c:pt>
                <c:pt idx="292">
                  <c:v>1.1891813971807372</c:v>
                </c:pt>
                <c:pt idx="293">
                  <c:v>1.1802692776688746</c:v>
                </c:pt>
                <c:pt idx="294">
                  <c:v>1.1989043994567323</c:v>
                </c:pt>
                <c:pt idx="295">
                  <c:v>1.1767566672452585</c:v>
                </c:pt>
                <c:pt idx="296">
                  <c:v>1.1918700154447222</c:v>
                </c:pt>
                <c:pt idx="297">
                  <c:v>1.1905837959771786</c:v>
                </c:pt>
                <c:pt idx="298">
                  <c:v>1.2094077680963757</c:v>
                </c:pt>
                <c:pt idx="299">
                  <c:v>1.1842086131115026</c:v>
                </c:pt>
                <c:pt idx="300">
                  <c:v>1.1825002473791999</c:v>
                </c:pt>
                <c:pt idx="301">
                  <c:v>1.6122008754495794</c:v>
                </c:pt>
                <c:pt idx="302">
                  <c:v>1.5980569472807935</c:v>
                </c:pt>
                <c:pt idx="303">
                  <c:v>1.6150658413436993</c:v>
                </c:pt>
                <c:pt idx="304">
                  <c:v>1.6206356747952138</c:v>
                </c:pt>
                <c:pt idx="305">
                  <c:v>1.6119780759938638</c:v>
                </c:pt>
                <c:pt idx="306">
                  <c:v>1.6137784165935414</c:v>
                </c:pt>
                <c:pt idx="307">
                  <c:v>1.613122686057697</c:v>
                </c:pt>
                <c:pt idx="308">
                  <c:v>1.623993157805401</c:v>
                </c:pt>
                <c:pt idx="309">
                  <c:v>1.6142009437289793</c:v>
                </c:pt>
                <c:pt idx="310">
                  <c:v>1.6300106706264861</c:v>
                </c:pt>
                <c:pt idx="311">
                  <c:v>1.606488850442648</c:v>
                </c:pt>
                <c:pt idx="312">
                  <c:v>1.6187382332742828</c:v>
                </c:pt>
                <c:pt idx="313">
                  <c:v>1.6376598115537404</c:v>
                </c:pt>
                <c:pt idx="314">
                  <c:v>1.604992414039756</c:v>
                </c:pt>
                <c:pt idx="315">
                  <c:v>1.9554472105776954</c:v>
                </c:pt>
                <c:pt idx="316">
                  <c:v>1.9415412458775692</c:v>
                </c:pt>
                <c:pt idx="317">
                  <c:v>1.9594897726622924</c:v>
                </c:pt>
                <c:pt idx="318">
                  <c:v>1.9637122913018996</c:v>
                </c:pt>
                <c:pt idx="319">
                  <c:v>1.957540246353991</c:v>
                </c:pt>
                <c:pt idx="320">
                  <c:v>1.9561828426637211</c:v>
                </c:pt>
                <c:pt idx="321">
                  <c:v>0.59889988706388297</c:v>
                </c:pt>
                <c:pt idx="322">
                  <c:v>0.59846220047415055</c:v>
                </c:pt>
                <c:pt idx="323">
                  <c:v>0.63276088847943879</c:v>
                </c:pt>
                <c:pt idx="324">
                  <c:v>1.1808424146466823</c:v>
                </c:pt>
                <c:pt idx="325">
                  <c:v>1.1843506740469565</c:v>
                </c:pt>
                <c:pt idx="326">
                  <c:v>1.1598678470925667</c:v>
                </c:pt>
                <c:pt idx="327">
                  <c:v>1.1763517576030715</c:v>
                </c:pt>
                <c:pt idx="328">
                  <c:v>1.1714046348301292</c:v>
                </c:pt>
                <c:pt idx="329">
                  <c:v>1.1832128832942512</c:v>
                </c:pt>
                <c:pt idx="330">
                  <c:v>1.6051002436365716</c:v>
                </c:pt>
                <c:pt idx="331">
                  <c:v>1.6093595919813792</c:v>
                </c:pt>
                <c:pt idx="332">
                  <c:v>1.61014892761954</c:v>
                </c:pt>
                <c:pt idx="333">
                  <c:v>1.6103087533608289</c:v>
                </c:pt>
                <c:pt idx="334">
                  <c:v>1.6098930840292818</c:v>
                </c:pt>
                <c:pt idx="335">
                  <c:v>1.628777066916437</c:v>
                </c:pt>
                <c:pt idx="336">
                  <c:v>1.6140214199226428</c:v>
                </c:pt>
                <c:pt idx="337">
                  <c:v>1.6207812890403008</c:v>
                </c:pt>
                <c:pt idx="338">
                  <c:v>1.9547103303227165</c:v>
                </c:pt>
                <c:pt idx="339">
                  <c:v>0.62076048999420574</c:v>
                </c:pt>
                <c:pt idx="340">
                  <c:v>0.60991441008599778</c:v>
                </c:pt>
                <c:pt idx="341">
                  <c:v>0.60292771285918934</c:v>
                </c:pt>
                <c:pt idx="342">
                  <c:v>0.63668844795328272</c:v>
                </c:pt>
                <c:pt idx="343">
                  <c:v>0.64943222324161665</c:v>
                </c:pt>
                <c:pt idx="344">
                  <c:v>0.62044838471170882</c:v>
                </c:pt>
                <c:pt idx="345">
                  <c:v>0.6069185259482911</c:v>
                </c:pt>
                <c:pt idx="346">
                  <c:v>0.60086403630983953</c:v>
                </c:pt>
                <c:pt idx="347">
                  <c:v>0.62179922400266763</c:v>
                </c:pt>
                <c:pt idx="348">
                  <c:v>0.60702587843478595</c:v>
                </c:pt>
                <c:pt idx="349">
                  <c:v>0.61288976928748473</c:v>
                </c:pt>
                <c:pt idx="350">
                  <c:v>0.6136304349252405</c:v>
                </c:pt>
                <c:pt idx="351">
                  <c:v>0.61415870950917517</c:v>
                </c:pt>
                <c:pt idx="352">
                  <c:v>0.6202401898458314</c:v>
                </c:pt>
                <c:pt idx="353">
                  <c:v>0.61066016308987991</c:v>
                </c:pt>
                <c:pt idx="354">
                  <c:v>0.64777405026882995</c:v>
                </c:pt>
                <c:pt idx="355">
                  <c:v>0.60820500770432617</c:v>
                </c:pt>
                <c:pt idx="356">
                  <c:v>1.1798676312704066</c:v>
                </c:pt>
                <c:pt idx="357">
                  <c:v>1.1624150361064465</c:v>
                </c:pt>
                <c:pt idx="358">
                  <c:v>1.173186268412274</c:v>
                </c:pt>
                <c:pt idx="359">
                  <c:v>1.2021067113902359</c:v>
                </c:pt>
                <c:pt idx="360">
                  <c:v>1.1910316088486179</c:v>
                </c:pt>
                <c:pt idx="361">
                  <c:v>1.181986424480151</c:v>
                </c:pt>
                <c:pt idx="362">
                  <c:v>1.189827063120662</c:v>
                </c:pt>
                <c:pt idx="363">
                  <c:v>1.2032505239432958</c:v>
                </c:pt>
                <c:pt idx="364">
                  <c:v>1.1916745319592288</c:v>
                </c:pt>
                <c:pt idx="365">
                  <c:v>1.1821863167395448</c:v>
                </c:pt>
                <c:pt idx="366">
                  <c:v>1.1878871784095477</c:v>
                </c:pt>
                <c:pt idx="367">
                  <c:v>1.1872668381792943</c:v>
                </c:pt>
                <c:pt idx="368">
                  <c:v>1.2074997233073055</c:v>
                </c:pt>
                <c:pt idx="369">
                  <c:v>1.1786316753932531</c:v>
                </c:pt>
                <c:pt idx="370">
                  <c:v>1.6139474767803497</c:v>
                </c:pt>
                <c:pt idx="371">
                  <c:v>1.6052080464673648</c:v>
                </c:pt>
                <c:pt idx="372">
                  <c:v>1.6189889203649337</c:v>
                </c:pt>
                <c:pt idx="373">
                  <c:v>1.6119143980071067</c:v>
                </c:pt>
                <c:pt idx="374">
                  <c:v>1.6240344464380225</c:v>
                </c:pt>
                <c:pt idx="375">
                  <c:v>1.6111601653656302</c:v>
                </c:pt>
                <c:pt idx="376">
                  <c:v>1.6238589426335932</c:v>
                </c:pt>
                <c:pt idx="377">
                  <c:v>1.6225455771245139</c:v>
                </c:pt>
                <c:pt idx="378">
                  <c:v>1.6149815368725224</c:v>
                </c:pt>
                <c:pt idx="379">
                  <c:v>1.6151501294530184</c:v>
                </c:pt>
                <c:pt idx="380">
                  <c:v>1.6318798738738394</c:v>
                </c:pt>
                <c:pt idx="381">
                  <c:v>1.6041612281747442</c:v>
                </c:pt>
                <c:pt idx="382">
                  <c:v>1.949219183089016</c:v>
                </c:pt>
                <c:pt idx="383">
                  <c:v>1.9397687754533499</c:v>
                </c:pt>
                <c:pt idx="384">
                  <c:v>1.9580236653441574</c:v>
                </c:pt>
                <c:pt idx="385">
                  <c:v>1.9567205557512737</c:v>
                </c:pt>
                <c:pt idx="386">
                  <c:v>1.9570946416191857</c:v>
                </c:pt>
                <c:pt idx="387">
                  <c:v>1.9491557172226313</c:v>
                </c:pt>
                <c:pt idx="388">
                  <c:v>1.1728363601227105</c:v>
                </c:pt>
                <c:pt idx="389">
                  <c:v>1.1845778749320248</c:v>
                </c:pt>
                <c:pt idx="390">
                  <c:v>1.1811000797280484</c:v>
                </c:pt>
                <c:pt idx="391">
                  <c:v>1.178861887156875</c:v>
                </c:pt>
                <c:pt idx="392">
                  <c:v>1.6091673743020198</c:v>
                </c:pt>
                <c:pt idx="393">
                  <c:v>1.610915555324175</c:v>
                </c:pt>
                <c:pt idx="394">
                  <c:v>1.6091353297493112</c:v>
                </c:pt>
                <c:pt idx="395">
                  <c:v>1.60424765923765</c:v>
                </c:pt>
                <c:pt idx="396">
                  <c:v>1.6318089098947992</c:v>
                </c:pt>
                <c:pt idx="397">
                  <c:v>1.6135669987712846</c:v>
                </c:pt>
                <c:pt idx="398">
                  <c:v>1.6142959557093071</c:v>
                </c:pt>
                <c:pt idx="399">
                  <c:v>1.9537886759372307</c:v>
                </c:pt>
                <c:pt idx="400">
                  <c:v>1.9564997898648113</c:v>
                </c:pt>
                <c:pt idx="401">
                  <c:v>1.1911155223803065</c:v>
                </c:pt>
                <c:pt idx="402">
                  <c:v>1.1693804953119495</c:v>
                </c:pt>
                <c:pt idx="403">
                  <c:v>1.1771900804896094</c:v>
                </c:pt>
                <c:pt idx="404">
                  <c:v>1.1937088323953549</c:v>
                </c:pt>
                <c:pt idx="405">
                  <c:v>1.19122738187401</c:v>
                </c:pt>
                <c:pt idx="406">
                  <c:v>1.1818435879447726</c:v>
                </c:pt>
                <c:pt idx="407">
                  <c:v>1.1653630506973742</c:v>
                </c:pt>
                <c:pt idx="408">
                  <c:v>1.1975286555227711</c:v>
                </c:pt>
                <c:pt idx="409">
                  <c:v>1.1910595818273981</c:v>
                </c:pt>
                <c:pt idx="410">
                  <c:v>1.1946808126499449</c:v>
                </c:pt>
                <c:pt idx="411">
                  <c:v>1.183981218914592</c:v>
                </c:pt>
                <c:pt idx="412">
                  <c:v>1.1891533029618897</c:v>
                </c:pt>
                <c:pt idx="413">
                  <c:v>1.1850886427579197</c:v>
                </c:pt>
                <c:pt idx="414">
                  <c:v>1.2093273158780649</c:v>
                </c:pt>
                <c:pt idx="415">
                  <c:v>1.1870410400423286</c:v>
                </c:pt>
                <c:pt idx="416">
                  <c:v>1.1815291821065035</c:v>
                </c:pt>
                <c:pt idx="417">
                  <c:v>1.6166540263176019</c:v>
                </c:pt>
                <c:pt idx="418">
                  <c:v>1.5984950422735866</c:v>
                </c:pt>
                <c:pt idx="419">
                  <c:v>1.6110963673317424</c:v>
                </c:pt>
                <c:pt idx="420">
                  <c:v>1.6089750715099118</c:v>
                </c:pt>
                <c:pt idx="421">
                  <c:v>1.6111601653656302</c:v>
                </c:pt>
                <c:pt idx="422">
                  <c:v>1.6154344811094059</c:v>
                </c:pt>
                <c:pt idx="423">
                  <c:v>1.6074014033020252</c:v>
                </c:pt>
                <c:pt idx="424">
                  <c:v>1.6279697613891853</c:v>
                </c:pt>
                <c:pt idx="425">
                  <c:v>1.6202193648688725</c:v>
                </c:pt>
                <c:pt idx="426">
                  <c:v>1.6105217628959148</c:v>
                </c:pt>
                <c:pt idx="427">
                  <c:v>1.6195211504558644</c:v>
                </c:pt>
                <c:pt idx="428">
                  <c:v>1.6295115342004531</c:v>
                </c:pt>
                <c:pt idx="429">
                  <c:v>1.6033284484720063</c:v>
                </c:pt>
                <c:pt idx="430">
                  <c:v>1.9515949101532293</c:v>
                </c:pt>
                <c:pt idx="431">
                  <c:v>1.9447688174075457</c:v>
                </c:pt>
                <c:pt idx="432">
                  <c:v>1.9557166061310576</c:v>
                </c:pt>
                <c:pt idx="433">
                  <c:v>1.9567925203704948</c:v>
                </c:pt>
                <c:pt idx="434">
                  <c:v>1.6077123066830363</c:v>
                </c:pt>
                <c:pt idx="435">
                  <c:v>1.6343966511736978</c:v>
                </c:pt>
                <c:pt idx="436">
                  <c:v>1.6128368162322582</c:v>
                </c:pt>
                <c:pt idx="437">
                  <c:v>1.6145175695287359</c:v>
                </c:pt>
                <c:pt idx="438">
                  <c:v>1.9562837145928134</c:v>
                </c:pt>
                <c:pt idx="439">
                  <c:v>1.6050031982042874</c:v>
                </c:pt>
                <c:pt idx="440">
                  <c:v>1.6012993101943376</c:v>
                </c:pt>
                <c:pt idx="441">
                  <c:v>1.6086971503965486</c:v>
                </c:pt>
                <c:pt idx="442">
                  <c:v>1.6051757084277685</c:v>
                </c:pt>
                <c:pt idx="443">
                  <c:v>1.6100636631681218</c:v>
                </c:pt>
                <c:pt idx="444">
                  <c:v>1.6151079874431939</c:v>
                </c:pt>
                <c:pt idx="445">
                  <c:v>1.6085367303538822</c:v>
                </c:pt>
                <c:pt idx="446">
                  <c:v>1.615929019937377</c:v>
                </c:pt>
                <c:pt idx="447">
                  <c:v>1.6053481501540379</c:v>
                </c:pt>
                <c:pt idx="448">
                  <c:v>1.6184560372229269</c:v>
                </c:pt>
                <c:pt idx="449">
                  <c:v>1.61768166971834</c:v>
                </c:pt>
                <c:pt idx="450">
                  <c:v>1.6102235202850892</c:v>
                </c:pt>
                <c:pt idx="451">
                  <c:v>1.6164335002983321</c:v>
                </c:pt>
                <c:pt idx="452">
                  <c:v>1.6198026554894609</c:v>
                </c:pt>
                <c:pt idx="453">
                  <c:v>1.626709822507407</c:v>
                </c:pt>
                <c:pt idx="454">
                  <c:v>1.5990201735850516</c:v>
                </c:pt>
                <c:pt idx="455">
                  <c:v>1.95501390303805</c:v>
                </c:pt>
                <c:pt idx="456">
                  <c:v>1.9403570815606535</c:v>
                </c:pt>
                <c:pt idx="457">
                  <c:v>1.9538176582069966</c:v>
                </c:pt>
                <c:pt idx="458">
                  <c:v>1.9556877503135057</c:v>
                </c:pt>
                <c:pt idx="459">
                  <c:v>1.9540108239273466</c:v>
                </c:pt>
                <c:pt idx="460">
                  <c:v>1.954334184153514</c:v>
                </c:pt>
                <c:pt idx="461">
                  <c:v>1.954189425758579</c:v>
                </c:pt>
                <c:pt idx="462">
                  <c:v>1.9389298097006464</c:v>
                </c:pt>
                <c:pt idx="463">
                  <c:v>1.9603137752495607</c:v>
                </c:pt>
                <c:pt idx="464">
                  <c:v>1.9540687568937374</c:v>
                </c:pt>
                <c:pt idx="465">
                  <c:v>1.9565477919960697</c:v>
                </c:pt>
                <c:pt idx="466">
                  <c:v>1.9596899632847247</c:v>
                </c:pt>
                <c:pt idx="467">
                  <c:v>1.9500872456523561</c:v>
                </c:pt>
                <c:pt idx="468">
                  <c:v>0.36151074304536268</c:v>
                </c:pt>
                <c:pt idx="469">
                  <c:v>0.39040559077477999</c:v>
                </c:pt>
                <c:pt idx="470">
                  <c:v>0.46952747918701387</c:v>
                </c:pt>
                <c:pt idx="471">
                  <c:v>0.47741068790725155</c:v>
                </c:pt>
                <c:pt idx="472">
                  <c:v>0.45773054824599846</c:v>
                </c:pt>
                <c:pt idx="473">
                  <c:v>1.0583121211083863</c:v>
                </c:pt>
                <c:pt idx="474">
                  <c:v>1.0521550671995648</c:v>
                </c:pt>
                <c:pt idx="475">
                  <c:v>1.0567143295163943</c:v>
                </c:pt>
                <c:pt idx="476">
                  <c:v>1.0644205484335936</c:v>
                </c:pt>
                <c:pt idx="477">
                  <c:v>1.5006343500363071</c:v>
                </c:pt>
                <c:pt idx="478">
                  <c:v>1.471365065418019</c:v>
                </c:pt>
                <c:pt idx="479">
                  <c:v>1.5042533209548865</c:v>
                </c:pt>
                <c:pt idx="480">
                  <c:v>1.4934580509951885</c:v>
                </c:pt>
                <c:pt idx="481">
                  <c:v>1.4829164395022711</c:v>
                </c:pt>
                <c:pt idx="482">
                  <c:v>1.5071269403705478</c:v>
                </c:pt>
                <c:pt idx="483">
                  <c:v>1.8208776700125862</c:v>
                </c:pt>
                <c:pt idx="484">
                  <c:v>0.32513885926218844</c:v>
                </c:pt>
                <c:pt idx="485">
                  <c:v>0.33441900898204685</c:v>
                </c:pt>
                <c:pt idx="486">
                  <c:v>0.34294414714289606</c:v>
                </c:pt>
                <c:pt idx="487">
                  <c:v>0.35261702988538018</c:v>
                </c:pt>
                <c:pt idx="488">
                  <c:v>0.25103713874383854</c:v>
                </c:pt>
                <c:pt idx="489">
                  <c:v>0.38827669199265824</c:v>
                </c:pt>
                <c:pt idx="490">
                  <c:v>0.32697909287110383</c:v>
                </c:pt>
                <c:pt idx="491">
                  <c:v>0.35654732351381258</c:v>
                </c:pt>
                <c:pt idx="492">
                  <c:v>0.36251027048748929</c:v>
                </c:pt>
                <c:pt idx="493">
                  <c:v>0.35359627377693043</c:v>
                </c:pt>
                <c:pt idx="494">
                  <c:v>0.35852588949590047</c:v>
                </c:pt>
                <c:pt idx="495">
                  <c:v>0.37059040089728107</c:v>
                </c:pt>
                <c:pt idx="496">
                  <c:v>0.37571790416433171</c:v>
                </c:pt>
                <c:pt idx="497">
                  <c:v>0.35852588949590047</c:v>
                </c:pt>
                <c:pt idx="498">
                  <c:v>0.36855623098682799</c:v>
                </c:pt>
                <c:pt idx="499">
                  <c:v>0.27002571430044436</c:v>
                </c:pt>
                <c:pt idx="500">
                  <c:v>0.33535802444387447</c:v>
                </c:pt>
                <c:pt idx="501">
                  <c:v>0.31695296176115045</c:v>
                </c:pt>
                <c:pt idx="502">
                  <c:v>0.51653537389579962</c:v>
                </c:pt>
                <c:pt idx="503">
                  <c:v>0.5243961221038419</c:v>
                </c:pt>
                <c:pt idx="504">
                  <c:v>0.49094120535678676</c:v>
                </c:pt>
                <c:pt idx="505">
                  <c:v>0.47943133719773645</c:v>
                </c:pt>
                <c:pt idx="506">
                  <c:v>0.55205953418788434</c:v>
                </c:pt>
                <c:pt idx="507">
                  <c:v>0.53122337453302682</c:v>
                </c:pt>
                <c:pt idx="508">
                  <c:v>0.49498897368316808</c:v>
                </c:pt>
                <c:pt idx="509">
                  <c:v>0.50514997831990605</c:v>
                </c:pt>
                <c:pt idx="510">
                  <c:v>0.47290265180366409</c:v>
                </c:pt>
                <c:pt idx="511">
                  <c:v>0.49345805099518847</c:v>
                </c:pt>
                <c:pt idx="512">
                  <c:v>0.48869169831694065</c:v>
                </c:pt>
                <c:pt idx="513">
                  <c:v>0.48643047885443386</c:v>
                </c:pt>
                <c:pt idx="514">
                  <c:v>0.47275644931721239</c:v>
                </c:pt>
                <c:pt idx="515">
                  <c:v>0.46657107238635426</c:v>
                </c:pt>
                <c:pt idx="516">
                  <c:v>0.54900326202578786</c:v>
                </c:pt>
                <c:pt idx="517">
                  <c:v>0.51798720302507817</c:v>
                </c:pt>
                <c:pt idx="518">
                  <c:v>0.49331860823210144</c:v>
                </c:pt>
                <c:pt idx="519">
                  <c:v>1.0847192320112975</c:v>
                </c:pt>
                <c:pt idx="520">
                  <c:v>1.0963189705126097</c:v>
                </c:pt>
                <c:pt idx="521">
                  <c:v>1.0613016562060444</c:v>
                </c:pt>
                <c:pt idx="522">
                  <c:v>1.0862886290216822</c:v>
                </c:pt>
                <c:pt idx="523">
                  <c:v>1.0837175638989476</c:v>
                </c:pt>
                <c:pt idx="524">
                  <c:v>1.0776948658865861</c:v>
                </c:pt>
                <c:pt idx="525">
                  <c:v>1.0706657534537278</c:v>
                </c:pt>
                <c:pt idx="526">
                  <c:v>1.0517311960598497</c:v>
                </c:pt>
                <c:pt idx="527">
                  <c:v>1.0421421830649562</c:v>
                </c:pt>
                <c:pt idx="528">
                  <c:v>1.0680373596137853</c:v>
                </c:pt>
                <c:pt idx="529">
                  <c:v>1.0600553648248447</c:v>
                </c:pt>
                <c:pt idx="530">
                  <c:v>1.0542299098633972</c:v>
                </c:pt>
                <c:pt idx="531">
                  <c:v>1.0450490129889611</c:v>
                </c:pt>
                <c:pt idx="532">
                  <c:v>1.0863242313073851</c:v>
                </c:pt>
                <c:pt idx="533">
                  <c:v>1.0694830939346114</c:v>
                </c:pt>
                <c:pt idx="534">
                  <c:v>1.0674056584378244</c:v>
                </c:pt>
                <c:pt idx="535">
                  <c:v>1.5192765753322837</c:v>
                </c:pt>
                <c:pt idx="536">
                  <c:v>1.5089873386369181</c:v>
                </c:pt>
                <c:pt idx="537">
                  <c:v>1.4928720902830868</c:v>
                </c:pt>
                <c:pt idx="538">
                  <c:v>1.5185271001173364</c:v>
                </c:pt>
                <c:pt idx="539">
                  <c:v>1.5086912868607629</c:v>
                </c:pt>
                <c:pt idx="540">
                  <c:v>1.5149990780786806</c:v>
                </c:pt>
                <c:pt idx="541">
                  <c:v>1.4994121256722754</c:v>
                </c:pt>
                <c:pt idx="542">
                  <c:v>1.4882545056339631</c:v>
                </c:pt>
                <c:pt idx="543">
                  <c:v>1.500263926200883</c:v>
                </c:pt>
                <c:pt idx="544">
                  <c:v>1.5004971928592248</c:v>
                </c:pt>
                <c:pt idx="545">
                  <c:v>1.5118566343422368</c:v>
                </c:pt>
                <c:pt idx="546">
                  <c:v>1.4827307000799428</c:v>
                </c:pt>
                <c:pt idx="547">
                  <c:v>1.5182901547709442</c:v>
                </c:pt>
                <c:pt idx="548">
                  <c:v>1.5025500161269034</c:v>
                </c:pt>
                <c:pt idx="549">
                  <c:v>1.8534791845469023</c:v>
                </c:pt>
                <c:pt idx="550">
                  <c:v>1.8378850206738169</c:v>
                </c:pt>
                <c:pt idx="551">
                  <c:v>1.828898242037426</c:v>
                </c:pt>
                <c:pt idx="552">
                  <c:v>1.8508177139552593</c:v>
                </c:pt>
                <c:pt idx="553">
                  <c:v>1.8462690549556575</c:v>
                </c:pt>
                <c:pt idx="554">
                  <c:v>1.8406580255923264</c:v>
                </c:pt>
                <c:pt idx="555">
                  <c:v>0.48486903272040238</c:v>
                </c:pt>
                <c:pt idx="556">
                  <c:v>0.48301642014413215</c:v>
                </c:pt>
                <c:pt idx="557">
                  <c:v>0.51679970408162434</c:v>
                </c:pt>
                <c:pt idx="558">
                  <c:v>1.0605845313608648</c:v>
                </c:pt>
                <c:pt idx="559">
                  <c:v>1.0766768457056428</c:v>
                </c:pt>
                <c:pt idx="560">
                  <c:v>1.0388585015597658</c:v>
                </c:pt>
                <c:pt idx="561">
                  <c:v>1.0651687517057451</c:v>
                </c:pt>
                <c:pt idx="562">
                  <c:v>1.0395330876693898</c:v>
                </c:pt>
                <c:pt idx="563">
                  <c:v>1.0675543766935036</c:v>
                </c:pt>
                <c:pt idx="564">
                  <c:v>1.4878451201114355</c:v>
                </c:pt>
                <c:pt idx="565">
                  <c:v>1.5039812407042239</c:v>
                </c:pt>
                <c:pt idx="566">
                  <c:v>1.4705721819053825</c:v>
                </c:pt>
                <c:pt idx="567">
                  <c:v>1.5015932393273523</c:v>
                </c:pt>
                <c:pt idx="568">
                  <c:v>1.4894522102998093</c:v>
                </c:pt>
                <c:pt idx="569">
                  <c:v>1.4964175980535566</c:v>
                </c:pt>
                <c:pt idx="570">
                  <c:v>1.4881980616033539</c:v>
                </c:pt>
                <c:pt idx="571">
                  <c:v>1.493151217795686</c:v>
                </c:pt>
                <c:pt idx="572">
                  <c:v>1.8229457117178616</c:v>
                </c:pt>
                <c:pt idx="573">
                  <c:v>0.51693180886801282</c:v>
                </c:pt>
                <c:pt idx="574">
                  <c:v>0.5142820478603779</c:v>
                </c:pt>
                <c:pt idx="575">
                  <c:v>0.48586332959733464</c:v>
                </c:pt>
                <c:pt idx="576">
                  <c:v>0.47986311302309775</c:v>
                </c:pt>
                <c:pt idx="577">
                  <c:v>0.5542468081661106</c:v>
                </c:pt>
                <c:pt idx="578">
                  <c:v>0.530711837981657</c:v>
                </c:pt>
                <c:pt idx="579">
                  <c:v>0.49303958831765132</c:v>
                </c:pt>
                <c:pt idx="580">
                  <c:v>0.50188049375505872</c:v>
                </c:pt>
                <c:pt idx="581">
                  <c:v>0.46029632675747539</c:v>
                </c:pt>
                <c:pt idx="582">
                  <c:v>0.47755533219898111</c:v>
                </c:pt>
                <c:pt idx="583">
                  <c:v>0.49651451869774504</c:v>
                </c:pt>
                <c:pt idx="584">
                  <c:v>0.49331860823210144</c:v>
                </c:pt>
                <c:pt idx="585">
                  <c:v>0.48967729166369856</c:v>
                </c:pt>
                <c:pt idx="586">
                  <c:v>0.48628876096056634</c:v>
                </c:pt>
                <c:pt idx="587">
                  <c:v>0.47143840738929915</c:v>
                </c:pt>
                <c:pt idx="588">
                  <c:v>0.55666426212256848</c:v>
                </c:pt>
                <c:pt idx="589">
                  <c:v>0.5029730590656315</c:v>
                </c:pt>
                <c:pt idx="590">
                  <c:v>1.0840397806679536</c:v>
                </c:pt>
                <c:pt idx="591">
                  <c:v>1.0786018003553912</c:v>
                </c:pt>
                <c:pt idx="592">
                  <c:v>1.0556840649194132</c:v>
                </c:pt>
                <c:pt idx="593">
                  <c:v>1.0926855629374908</c:v>
                </c:pt>
                <c:pt idx="594">
                  <c:v>1.0804460946110488</c:v>
                </c:pt>
                <c:pt idx="595">
                  <c:v>1.0686681432858998</c:v>
                </c:pt>
                <c:pt idx="596">
                  <c:v>1.0604334067027401</c:v>
                </c:pt>
                <c:pt idx="597">
                  <c:v>1.0549575960124065</c:v>
                </c:pt>
                <c:pt idx="598">
                  <c:v>1.0649070271596361</c:v>
                </c:pt>
                <c:pt idx="599">
                  <c:v>1.063558518110981</c:v>
                </c:pt>
                <c:pt idx="600">
                  <c:v>1.0536545582907473</c:v>
                </c:pt>
                <c:pt idx="601">
                  <c:v>1.0430084098799515</c:v>
                </c:pt>
                <c:pt idx="602">
                  <c:v>1.090645957573315</c:v>
                </c:pt>
                <c:pt idx="603">
                  <c:v>1.0671452788853952</c:v>
                </c:pt>
                <c:pt idx="604">
                  <c:v>1.5267139532218916</c:v>
                </c:pt>
                <c:pt idx="605">
                  <c:v>1.5155294493748623</c:v>
                </c:pt>
                <c:pt idx="606">
                  <c:v>1.489888199550597</c:v>
                </c:pt>
                <c:pt idx="607">
                  <c:v>1.5127377460706677</c:v>
                </c:pt>
                <c:pt idx="608">
                  <c:v>1.5107192292163927</c:v>
                </c:pt>
                <c:pt idx="609">
                  <c:v>1.4972891061693567</c:v>
                </c:pt>
                <c:pt idx="610">
                  <c:v>1.4917817755841658</c:v>
                </c:pt>
                <c:pt idx="611">
                  <c:v>1.4898741422108783</c:v>
                </c:pt>
                <c:pt idx="612">
                  <c:v>1.5159532805588785</c:v>
                </c:pt>
                <c:pt idx="613">
                  <c:v>1.4825305841317409</c:v>
                </c:pt>
                <c:pt idx="614">
                  <c:v>1.516680775406827</c:v>
                </c:pt>
                <c:pt idx="615">
                  <c:v>1.5028639261383319</c:v>
                </c:pt>
                <c:pt idx="616">
                  <c:v>1.8512461148993897</c:v>
                </c:pt>
                <c:pt idx="617">
                  <c:v>1.8431766962800649</c:v>
                </c:pt>
                <c:pt idx="618">
                  <c:v>1.8268842987076119</c:v>
                </c:pt>
                <c:pt idx="619">
                  <c:v>1.8488785125380143</c:v>
                </c:pt>
                <c:pt idx="620">
                  <c:v>1.8455259194404723</c:v>
                </c:pt>
                <c:pt idx="621">
                  <c:v>1.8398424252970387</c:v>
                </c:pt>
                <c:pt idx="622">
                  <c:v>1.050689027758881</c:v>
                </c:pt>
                <c:pt idx="623">
                  <c:v>1.0725807326489498</c:v>
                </c:pt>
                <c:pt idx="624">
                  <c:v>1.0660275949488618</c:v>
                </c:pt>
                <c:pt idx="625">
                  <c:v>1.0521935804334748</c:v>
                </c:pt>
                <c:pt idx="626">
                  <c:v>1.4990957098297226</c:v>
                </c:pt>
                <c:pt idx="627">
                  <c:v>1.507289030873264</c:v>
                </c:pt>
                <c:pt idx="628">
                  <c:v>1.4972891061693567</c:v>
                </c:pt>
                <c:pt idx="629">
                  <c:v>1.4900568521459283</c:v>
                </c:pt>
                <c:pt idx="630">
                  <c:v>1.5015658718510116</c:v>
                </c:pt>
                <c:pt idx="631">
                  <c:v>1.4874070739392058</c:v>
                </c:pt>
                <c:pt idx="632">
                  <c:v>1.4900709035729911</c:v>
                </c:pt>
                <c:pt idx="633">
                  <c:v>1.8260034947679116</c:v>
                </c:pt>
                <c:pt idx="634">
                  <c:v>1.8398361455084125</c:v>
                </c:pt>
                <c:pt idx="635">
                  <c:v>1.0919481908785595</c:v>
                </c:pt>
                <c:pt idx="636">
                  <c:v>1.0824981385057795</c:v>
                </c:pt>
                <c:pt idx="637">
                  <c:v>1.0581222157829138</c:v>
                </c:pt>
                <c:pt idx="638">
                  <c:v>1.0870712059065355</c:v>
                </c:pt>
                <c:pt idx="639">
                  <c:v>1.0766768457056428</c:v>
                </c:pt>
                <c:pt idx="640">
                  <c:v>1.0710715499836498</c:v>
                </c:pt>
                <c:pt idx="641">
                  <c:v>1.0433229735745753</c:v>
                </c:pt>
                <c:pt idx="642">
                  <c:v>1.0622810699726439</c:v>
                </c:pt>
                <c:pt idx="643">
                  <c:v>1.0518853788898717</c:v>
                </c:pt>
                <c:pt idx="644">
                  <c:v>1.063558518110981</c:v>
                </c:pt>
                <c:pt idx="645">
                  <c:v>1.0629202637326634</c:v>
                </c:pt>
                <c:pt idx="646">
                  <c:v>1.0584639856022509</c:v>
                </c:pt>
                <c:pt idx="647">
                  <c:v>1.0385009430766743</c:v>
                </c:pt>
                <c:pt idx="648">
                  <c:v>1.0935617575652887</c:v>
                </c:pt>
                <c:pt idx="649">
                  <c:v>1.0762762554042176</c:v>
                </c:pt>
                <c:pt idx="650">
                  <c:v>1.0730948645157459</c:v>
                </c:pt>
                <c:pt idx="651">
                  <c:v>1.5225485559862602</c:v>
                </c:pt>
                <c:pt idx="652">
                  <c:v>1.5120971148810132</c:v>
                </c:pt>
                <c:pt idx="653">
                  <c:v>1.4866996155142045</c:v>
                </c:pt>
                <c:pt idx="654">
                  <c:v>1.5096057046115561</c:v>
                </c:pt>
                <c:pt idx="655">
                  <c:v>1.5027138235713362</c:v>
                </c:pt>
                <c:pt idx="656">
                  <c:v>1.5042125197822045</c:v>
                </c:pt>
                <c:pt idx="657">
                  <c:v>1.492676594226712</c:v>
                </c:pt>
                <c:pt idx="658">
                  <c:v>1.4994671309895427</c:v>
                </c:pt>
                <c:pt idx="659">
                  <c:v>1.4855936740223845</c:v>
                </c:pt>
                <c:pt idx="660">
                  <c:v>1.5088797067945079</c:v>
                </c:pt>
                <c:pt idx="661">
                  <c:v>1.5090814946225235</c:v>
                </c:pt>
                <c:pt idx="662">
                  <c:v>1.5148531123501594</c:v>
                </c:pt>
                <c:pt idx="663">
                  <c:v>1.5062478972590434</c:v>
                </c:pt>
                <c:pt idx="664">
                  <c:v>1.8548159624165357</c:v>
                </c:pt>
                <c:pt idx="665">
                  <c:v>1.8419535592588365</c:v>
                </c:pt>
                <c:pt idx="666">
                  <c:v>1.8484539250754641</c:v>
                </c:pt>
                <c:pt idx="667">
                  <c:v>1.8408272275743862</c:v>
                </c:pt>
                <c:pt idx="668">
                  <c:v>1.4994121256722754</c:v>
                </c:pt>
                <c:pt idx="669">
                  <c:v>1.5061531248676354</c:v>
                </c:pt>
                <c:pt idx="670">
                  <c:v>1.4854800847238252</c:v>
                </c:pt>
                <c:pt idx="671">
                  <c:v>1.493764667567145</c:v>
                </c:pt>
                <c:pt idx="672">
                  <c:v>1.8425093903212608</c:v>
                </c:pt>
                <c:pt idx="673">
                  <c:v>1.5149725425040592</c:v>
                </c:pt>
                <c:pt idx="674">
                  <c:v>1.5075050574806672</c:v>
                </c:pt>
                <c:pt idx="675">
                  <c:v>1.4887198891891653</c:v>
                </c:pt>
                <c:pt idx="676">
                  <c:v>1.4924251127760866</c:v>
                </c:pt>
                <c:pt idx="677">
                  <c:v>1.5161253438987214</c:v>
                </c:pt>
                <c:pt idx="678">
                  <c:v>1.5054213275832811</c:v>
                </c:pt>
                <c:pt idx="679">
                  <c:v>1.5070323596321069</c:v>
                </c:pt>
                <c:pt idx="680">
                  <c:v>1.5005794923633375</c:v>
                </c:pt>
                <c:pt idx="681">
                  <c:v>1.4826449473929424</c:v>
                </c:pt>
                <c:pt idx="682">
                  <c:v>1.4946415102820405</c:v>
                </c:pt>
                <c:pt idx="683">
                  <c:v>1.4842571197557646</c:v>
                </c:pt>
                <c:pt idx="684">
                  <c:v>1.5045524124865661</c:v>
                </c:pt>
                <c:pt idx="685">
                  <c:v>1.5169582250038989</c:v>
                </c:pt>
                <c:pt idx="686">
                  <c:v>1.4811128408415175</c:v>
                </c:pt>
                <c:pt idx="687">
                  <c:v>1.5209549088528092</c:v>
                </c:pt>
                <c:pt idx="688">
                  <c:v>1.5074240600948547</c:v>
                </c:pt>
                <c:pt idx="689">
                  <c:v>1.8549372838917229</c:v>
                </c:pt>
                <c:pt idx="690">
                  <c:v>1.8375631878223002</c:v>
                </c:pt>
                <c:pt idx="691">
                  <c:v>1.8275114295265333</c:v>
                </c:pt>
                <c:pt idx="692">
                  <c:v>1.8323556052450092</c:v>
                </c:pt>
                <c:pt idx="693">
                  <c:v>1.8509830043868534</c:v>
                </c:pt>
                <c:pt idx="694">
                  <c:v>1.8442783115755748</c:v>
                </c:pt>
                <c:pt idx="695">
                  <c:v>1.855494926568968</c:v>
                </c:pt>
                <c:pt idx="696">
                  <c:v>1.8395534609966904</c:v>
                </c:pt>
                <c:pt idx="697">
                  <c:v>1.830858014513242</c:v>
                </c:pt>
                <c:pt idx="698">
                  <c:v>1.8287436544560283</c:v>
                </c:pt>
                <c:pt idx="699">
                  <c:v>1.8517840772215968</c:v>
                </c:pt>
                <c:pt idx="700">
                  <c:v>1.848244555301612</c:v>
                </c:pt>
                <c:pt idx="701">
                  <c:v>1.8421847214965283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50-3D4B-94BA-692EA945F59A}"/>
            </c:ext>
          </c:extLst>
        </c:ser>
        <c:ser>
          <c:idx val="3"/>
          <c:order val="3"/>
          <c:tx>
            <c:strRef>
              <c:f>graphtime!$D$1</c:f>
              <c:strCache>
                <c:ptCount val="1"/>
                <c:pt idx="0">
                  <c:v>time_match_dist</c:v>
                </c:pt>
              </c:strCache>
            </c:strRef>
          </c:tx>
          <c:spPr>
            <a:solidFill>
              <a:srgbClr val="3C78D8">
                <a:alpha val="30000"/>
              </a:srgbClr>
            </a:solidFill>
            <a:ln cmpd="sng">
              <a:solidFill>
                <a:srgbClr val="3C78D8">
                  <a:alpha val="100000"/>
                </a:srgbClr>
              </a:solidFill>
            </a:ln>
          </c:spPr>
          <c:val>
            <c:numRef>
              <c:f>graphtime!$D$2:$D$1000</c:f>
              <c:numCache>
                <c:formatCode>General</c:formatCode>
                <c:ptCount val="999"/>
                <c:pt idx="0">
                  <c:v>0.3777859770337047</c:v>
                </c:pt>
                <c:pt idx="1">
                  <c:v>0.38299965887910109</c:v>
                </c:pt>
                <c:pt idx="2">
                  <c:v>1.0711821559900807</c:v>
                </c:pt>
                <c:pt idx="3">
                  <c:v>1.1176689405624427</c:v>
                </c:pt>
                <c:pt idx="4">
                  <c:v>1.1930132265159481</c:v>
                </c:pt>
                <c:pt idx="5">
                  <c:v>2.4603775800778203</c:v>
                </c:pt>
                <c:pt idx="6">
                  <c:v>2.2349346737244424</c:v>
                </c:pt>
                <c:pt idx="7">
                  <c:v>2.1646977746697349</c:v>
                </c:pt>
                <c:pt idx="8">
                  <c:v>2.2170889514791718</c:v>
                </c:pt>
                <c:pt idx="9">
                  <c:v>3.164787230428463</c:v>
                </c:pt>
                <c:pt idx="10">
                  <c:v>2.874423250676271</c:v>
                </c:pt>
                <c:pt idx="11">
                  <c:v>2.9137084437367857</c:v>
                </c:pt>
                <c:pt idx="12">
                  <c:v>2.9914285515252468</c:v>
                </c:pt>
                <c:pt idx="13">
                  <c:v>2.9788075305687722</c:v>
                </c:pt>
                <c:pt idx="14">
                  <c:v>2.2765766816985544</c:v>
                </c:pt>
                <c:pt idx="15">
                  <c:v>3.7352180065443781</c:v>
                </c:pt>
                <c:pt idx="16">
                  <c:v>1.3665315444204136</c:v>
                </c:pt>
                <c:pt idx="17">
                  <c:v>0.92811799269387463</c:v>
                </c:pt>
                <c:pt idx="18">
                  <c:v>0.68402965454308229</c:v>
                </c:pt>
                <c:pt idx="19">
                  <c:v>0.64589156085259902</c:v>
                </c:pt>
                <c:pt idx="20">
                  <c:v>1.5086383061657274</c:v>
                </c:pt>
                <c:pt idx="21">
                  <c:v>1.2596373105057561</c:v>
                </c:pt>
                <c:pt idx="22">
                  <c:v>1.1938200260161129</c:v>
                </c:pt>
                <c:pt idx="23">
                  <c:v>0.65560772631488928</c:v>
                </c:pt>
                <c:pt idx="24">
                  <c:v>0.91721462968354994</c:v>
                </c:pt>
                <c:pt idx="25">
                  <c:v>1.1426675035687315</c:v>
                </c:pt>
                <c:pt idx="26">
                  <c:v>1.2839966563652008</c:v>
                </c:pt>
                <c:pt idx="27">
                  <c:v>1.2757241303992111</c:v>
                </c:pt>
                <c:pt idx="28">
                  <c:v>1.3665315444204136</c:v>
                </c:pt>
                <c:pt idx="29">
                  <c:v>0.75202673363819339</c:v>
                </c:pt>
                <c:pt idx="30">
                  <c:v>1.3665315444204136</c:v>
                </c:pt>
                <c:pt idx="31">
                  <c:v>1.2924298239020637</c:v>
                </c:pt>
                <c:pt idx="32">
                  <c:v>1.3665315444204136</c:v>
                </c:pt>
                <c:pt idx="33">
                  <c:v>1.2076083105017461</c:v>
                </c:pt>
                <c:pt idx="34">
                  <c:v>0.50528567414413239</c:v>
                </c:pt>
                <c:pt idx="35">
                  <c:v>0.10209052551183669</c:v>
                </c:pt>
                <c:pt idx="36">
                  <c:v>1.2793703181791083</c:v>
                </c:pt>
                <c:pt idx="37">
                  <c:v>0.76886000084295714</c:v>
                </c:pt>
                <c:pt idx="38">
                  <c:v>0.28194193344082474</c:v>
                </c:pt>
                <c:pt idx="39">
                  <c:v>0.54728230796330324</c:v>
                </c:pt>
                <c:pt idx="40">
                  <c:v>0.33162971762993226</c:v>
                </c:pt>
                <c:pt idx="41">
                  <c:v>0.74327452351193335</c:v>
                </c:pt>
                <c:pt idx="42">
                  <c:v>0.74225366990659369</c:v>
                </c:pt>
                <c:pt idx="43">
                  <c:v>0.66586230020315518</c:v>
                </c:pt>
                <c:pt idx="44">
                  <c:v>0.41813549842523218</c:v>
                </c:pt>
                <c:pt idx="45">
                  <c:v>0.61119206086843425</c:v>
                </c:pt>
                <c:pt idx="46">
                  <c:v>0.51574141666936524</c:v>
                </c:pt>
                <c:pt idx="47">
                  <c:v>0.63134228648393276</c:v>
                </c:pt>
                <c:pt idx="48">
                  <c:v>0.54332290064691213</c:v>
                </c:pt>
                <c:pt idx="49">
                  <c:v>0.55144999797287519</c:v>
                </c:pt>
                <c:pt idx="50">
                  <c:v>0.64028262969668082</c:v>
                </c:pt>
                <c:pt idx="51">
                  <c:v>1.8227302052602563</c:v>
                </c:pt>
                <c:pt idx="52">
                  <c:v>1.3030663979235104</c:v>
                </c:pt>
                <c:pt idx="53">
                  <c:v>2.151192050413322</c:v>
                </c:pt>
                <c:pt idx="54">
                  <c:v>1.2963580047413907</c:v>
                </c:pt>
                <c:pt idx="55">
                  <c:v>1.6535019469629328</c:v>
                </c:pt>
                <c:pt idx="56">
                  <c:v>1.6023096388882596</c:v>
                </c:pt>
                <c:pt idx="57">
                  <c:v>1.9477424219938062</c:v>
                </c:pt>
                <c:pt idx="58">
                  <c:v>1.7405679438293948</c:v>
                </c:pt>
                <c:pt idx="59">
                  <c:v>1.450172098924372</c:v>
                </c:pt>
                <c:pt idx="60">
                  <c:v>1.628777066916437</c:v>
                </c:pt>
                <c:pt idx="61">
                  <c:v>1.5826882062999785</c:v>
                </c:pt>
                <c:pt idx="62">
                  <c:v>1.368324081979958</c:v>
                </c:pt>
                <c:pt idx="63">
                  <c:v>1.8045891748293046</c:v>
                </c:pt>
                <c:pt idx="64">
                  <c:v>1.6817747298677934</c:v>
                </c:pt>
                <c:pt idx="65">
                  <c:v>1.7019735975855246</c:v>
                </c:pt>
                <c:pt idx="66">
                  <c:v>1.7339992865383869</c:v>
                </c:pt>
                <c:pt idx="67">
                  <c:v>2.5525514153364193</c:v>
                </c:pt>
                <c:pt idx="68">
                  <c:v>2.4543493293219556</c:v>
                </c:pt>
                <c:pt idx="69">
                  <c:v>2.2645415805297491</c:v>
                </c:pt>
                <c:pt idx="70">
                  <c:v>1.9477522184045686</c:v>
                </c:pt>
                <c:pt idx="71">
                  <c:v>2.5153584753811122</c:v>
                </c:pt>
                <c:pt idx="72">
                  <c:v>2.7360521176654693</c:v>
                </c:pt>
                <c:pt idx="73">
                  <c:v>2.8497552938962416</c:v>
                </c:pt>
                <c:pt idx="74">
                  <c:v>2.7156724856866736</c:v>
                </c:pt>
                <c:pt idx="75">
                  <c:v>2.0329972941792627</c:v>
                </c:pt>
                <c:pt idx="76">
                  <c:v>2.6884732155829147</c:v>
                </c:pt>
                <c:pt idx="77">
                  <c:v>2.352215330232664</c:v>
                </c:pt>
                <c:pt idx="78">
                  <c:v>2.2467496308798904</c:v>
                </c:pt>
                <c:pt idx="79">
                  <c:v>2.7043435890520793</c:v>
                </c:pt>
                <c:pt idx="80">
                  <c:v>2.6295594354325376</c:v>
                </c:pt>
                <c:pt idx="81">
                  <c:v>3.3040892232112902</c:v>
                </c:pt>
                <c:pt idx="82">
                  <c:v>3.2659636500576354</c:v>
                </c:pt>
                <c:pt idx="83">
                  <c:v>2.8207602293774623</c:v>
                </c:pt>
                <c:pt idx="84">
                  <c:v>2.6768398736598948</c:v>
                </c:pt>
                <c:pt idx="85">
                  <c:v>3.2480211097286591</c:v>
                </c:pt>
                <c:pt idx="86">
                  <c:v>3.1502282130928307</c:v>
                </c:pt>
                <c:pt idx="87">
                  <c:v>1.3293368500874239</c:v>
                </c:pt>
                <c:pt idx="88">
                  <c:v>1.2156639956484476</c:v>
                </c:pt>
                <c:pt idx="89">
                  <c:v>1.0886675525424045</c:v>
                </c:pt>
                <c:pt idx="90">
                  <c:v>2.3729009614446146</c:v>
                </c:pt>
                <c:pt idx="91">
                  <c:v>2.0513918010333634</c:v>
                </c:pt>
                <c:pt idx="92">
                  <c:v>2.492725476491596</c:v>
                </c:pt>
                <c:pt idx="93">
                  <c:v>2.2373476581817497</c:v>
                </c:pt>
                <c:pt idx="94">
                  <c:v>1.8659918001262754</c:v>
                </c:pt>
                <c:pt idx="95">
                  <c:v>2.1429866795571049</c:v>
                </c:pt>
                <c:pt idx="96">
                  <c:v>3.1523877313949193</c:v>
                </c:pt>
                <c:pt idx="97">
                  <c:v>3.0021072875811119</c:v>
                </c:pt>
                <c:pt idx="98">
                  <c:v>3.1506087853311771</c:v>
                </c:pt>
                <c:pt idx="99">
                  <c:v>2.9782512952334455</c:v>
                </c:pt>
                <c:pt idx="100">
                  <c:v>2.4707088372898869</c:v>
                </c:pt>
                <c:pt idx="101">
                  <c:v>2.912702863119057</c:v>
                </c:pt>
                <c:pt idx="102">
                  <c:v>2.9768431527997272</c:v>
                </c:pt>
                <c:pt idx="103">
                  <c:v>2.5877951224616518</c:v>
                </c:pt>
                <c:pt idx="104">
                  <c:v>3.7335150427452652</c:v>
                </c:pt>
                <c:pt idx="105">
                  <c:v>0.97950284878740124</c:v>
                </c:pt>
                <c:pt idx="106">
                  <c:v>0.53364497879876283</c:v>
                </c:pt>
                <c:pt idx="107">
                  <c:v>1.1058506743851435</c:v>
                </c:pt>
                <c:pt idx="108">
                  <c:v>0.50758603976301075</c:v>
                </c:pt>
                <c:pt idx="109">
                  <c:v>0.33984878303763705</c:v>
                </c:pt>
                <c:pt idx="110">
                  <c:v>0.40773072802633542</c:v>
                </c:pt>
                <c:pt idx="111">
                  <c:v>0.62324929039790045</c:v>
                </c:pt>
                <c:pt idx="112">
                  <c:v>0.57077636879474825</c:v>
                </c:pt>
                <c:pt idx="113">
                  <c:v>0.77334754198082301</c:v>
                </c:pt>
                <c:pt idx="114">
                  <c:v>0.83708315082318585</c:v>
                </c:pt>
                <c:pt idx="115">
                  <c:v>0.66717267247886847</c:v>
                </c:pt>
                <c:pt idx="116">
                  <c:v>0.30492116190089169</c:v>
                </c:pt>
                <c:pt idx="117">
                  <c:v>0.57007570532160423</c:v>
                </c:pt>
                <c:pt idx="118">
                  <c:v>0.37401474029191156</c:v>
                </c:pt>
                <c:pt idx="119">
                  <c:v>0.63113925025681106</c:v>
                </c:pt>
                <c:pt idx="120">
                  <c:v>0.58115289196628883</c:v>
                </c:pt>
                <c:pt idx="121">
                  <c:v>0.92695948838027575</c:v>
                </c:pt>
                <c:pt idx="122">
                  <c:v>2.1134218859861469</c:v>
                </c:pt>
                <c:pt idx="123">
                  <c:v>1.5959589287575484</c:v>
                </c:pt>
                <c:pt idx="124">
                  <c:v>2.1691363749738239</c:v>
                </c:pt>
                <c:pt idx="125">
                  <c:v>1.6637951222194076</c:v>
                </c:pt>
                <c:pt idx="126">
                  <c:v>1.6377298259796431</c:v>
                </c:pt>
                <c:pt idx="127">
                  <c:v>2.0769752273607351</c:v>
                </c:pt>
                <c:pt idx="128">
                  <c:v>2.0484689946613654</c:v>
                </c:pt>
                <c:pt idx="129">
                  <c:v>1.7696579019255465</c:v>
                </c:pt>
                <c:pt idx="130">
                  <c:v>1.6314742091483598</c:v>
                </c:pt>
                <c:pt idx="131">
                  <c:v>1.5016616504740847</c:v>
                </c:pt>
                <c:pt idx="132">
                  <c:v>1.3020710536500748</c:v>
                </c:pt>
                <c:pt idx="133">
                  <c:v>1.7975237474730381</c:v>
                </c:pt>
                <c:pt idx="134">
                  <c:v>1.7855362538163344</c:v>
                </c:pt>
                <c:pt idx="135">
                  <c:v>1.9749857958101829</c:v>
                </c:pt>
                <c:pt idx="136">
                  <c:v>2.8153080567146103</c:v>
                </c:pt>
                <c:pt idx="137">
                  <c:v>2.5692919595285866</c:v>
                </c:pt>
                <c:pt idx="138">
                  <c:v>2.5074362106657944</c:v>
                </c:pt>
                <c:pt idx="139">
                  <c:v>2.3669382010428244</c:v>
                </c:pt>
                <c:pt idx="140">
                  <c:v>2.5832520653219602</c:v>
                </c:pt>
                <c:pt idx="141">
                  <c:v>2.9726628172126319</c:v>
                </c:pt>
                <c:pt idx="142">
                  <c:v>2.9541117188530919</c:v>
                </c:pt>
                <c:pt idx="143">
                  <c:v>2.7515516075622508</c:v>
                </c:pt>
                <c:pt idx="144">
                  <c:v>2.2823864379572374</c:v>
                </c:pt>
                <c:pt idx="145">
                  <c:v>2.2129702275121526</c:v>
                </c:pt>
                <c:pt idx="146">
                  <c:v>2.7683413182850858</c:v>
                </c:pt>
                <c:pt idx="147">
                  <c:v>2.8758422907451955</c:v>
                </c:pt>
                <c:pt idx="148">
                  <c:v>3.6021097151995032</c:v>
                </c:pt>
                <c:pt idx="149">
                  <c:v>3.4128833796334703</c:v>
                </c:pt>
                <c:pt idx="150">
                  <c:v>3.0587626240573629</c:v>
                </c:pt>
                <c:pt idx="151">
                  <c:v>3.0125837420230561</c:v>
                </c:pt>
                <c:pt idx="152">
                  <c:v>3.3770381955489053</c:v>
                </c:pt>
                <c:pt idx="153">
                  <c:v>3.4240929867220999</c:v>
                </c:pt>
                <c:pt idx="154">
                  <c:v>2.3010430243030098</c:v>
                </c:pt>
                <c:pt idx="155">
                  <c:v>1.9484471993546977</c:v>
                </c:pt>
                <c:pt idx="156">
                  <c:v>1.9863461858886178</c:v>
                </c:pt>
                <c:pt idx="157">
                  <c:v>1.6247254481460953</c:v>
                </c:pt>
                <c:pt idx="158">
                  <c:v>3.1631115594975197</c:v>
                </c:pt>
                <c:pt idx="159">
                  <c:v>3.0086780823124921</c:v>
                </c:pt>
                <c:pt idx="160">
                  <c:v>2.8947346448651414</c:v>
                </c:pt>
                <c:pt idx="161">
                  <c:v>2.4379819135767824</c:v>
                </c:pt>
                <c:pt idx="162">
                  <c:v>2.8243829486769645</c:v>
                </c:pt>
                <c:pt idx="163">
                  <c:v>3.0628537562412195</c:v>
                </c:pt>
                <c:pt idx="164">
                  <c:v>2.620403631237139</c:v>
                </c:pt>
                <c:pt idx="165">
                  <c:v>3.7624025978104227</c:v>
                </c:pt>
                <c:pt idx="166">
                  <c:v>3.7596556087422939</c:v>
                </c:pt>
                <c:pt idx="167">
                  <c:v>1.8069731937518851</c:v>
                </c:pt>
                <c:pt idx="168">
                  <c:v>1.3219710555263013</c:v>
                </c:pt>
                <c:pt idx="169">
                  <c:v>1.6976303131466204</c:v>
                </c:pt>
                <c:pt idx="170">
                  <c:v>1.5026592279545694</c:v>
                </c:pt>
                <c:pt idx="171">
                  <c:v>1.6792097860449313</c:v>
                </c:pt>
                <c:pt idx="172">
                  <c:v>1.979434550962937</c:v>
                </c:pt>
                <c:pt idx="173">
                  <c:v>2.161601559901567</c:v>
                </c:pt>
                <c:pt idx="174">
                  <c:v>2.0361176598918211</c:v>
                </c:pt>
                <c:pt idx="175">
                  <c:v>1.7813316411548958</c:v>
                </c:pt>
                <c:pt idx="176">
                  <c:v>1.3672999996814041</c:v>
                </c:pt>
                <c:pt idx="177">
                  <c:v>1.5626734489758711</c:v>
                </c:pt>
                <c:pt idx="178">
                  <c:v>1.0762398197750254</c:v>
                </c:pt>
                <c:pt idx="179">
                  <c:v>1.9565573917856789</c:v>
                </c:pt>
                <c:pt idx="180">
                  <c:v>1.8062139019149932</c:v>
                </c:pt>
                <c:pt idx="181">
                  <c:v>1.9594659342974607</c:v>
                </c:pt>
                <c:pt idx="182">
                  <c:v>1.9510945568416631</c:v>
                </c:pt>
                <c:pt idx="183">
                  <c:v>2.6391088076408722</c:v>
                </c:pt>
                <c:pt idx="184">
                  <c:v>2.3257413721537965</c:v>
                </c:pt>
                <c:pt idx="185">
                  <c:v>2.614889837180709</c:v>
                </c:pt>
                <c:pt idx="186">
                  <c:v>2.3430282965746243</c:v>
                </c:pt>
                <c:pt idx="187">
                  <c:v>2.5845584909106742</c:v>
                </c:pt>
                <c:pt idx="188">
                  <c:v>2.9024244638952696</c:v>
                </c:pt>
                <c:pt idx="189">
                  <c:v>2.8811471851502439</c:v>
                </c:pt>
                <c:pt idx="190">
                  <c:v>3.0038390822096983</c:v>
                </c:pt>
                <c:pt idx="191">
                  <c:v>2.8012177400247356</c:v>
                </c:pt>
                <c:pt idx="192">
                  <c:v>2.3721310433371015</c:v>
                </c:pt>
                <c:pt idx="193">
                  <c:v>2.1694951550887063</c:v>
                </c:pt>
                <c:pt idx="194">
                  <c:v>3.1159681165645647</c:v>
                </c:pt>
                <c:pt idx="195">
                  <c:v>2.8280776549062496</c:v>
                </c:pt>
                <c:pt idx="196">
                  <c:v>3.5735801779633785</c:v>
                </c:pt>
                <c:pt idx="197">
                  <c:v>3.318327589557903</c:v>
                </c:pt>
                <c:pt idx="198">
                  <c:v>3.0886707393634372</c:v>
                </c:pt>
                <c:pt idx="199">
                  <c:v>3.4658622441968929</c:v>
                </c:pt>
                <c:pt idx="200">
                  <c:v>2.8242963928558296</c:v>
                </c:pt>
                <c:pt idx="201">
                  <c:v>2.8129106840532052</c:v>
                </c:pt>
                <c:pt idx="202">
                  <c:v>2.8260099777911005</c:v>
                </c:pt>
                <c:pt idx="203">
                  <c:v>2.4811616078374592</c:v>
                </c:pt>
                <c:pt idx="204">
                  <c:v>3.7385820690846714</c:v>
                </c:pt>
                <c:pt idx="205">
                  <c:v>2.6255737723216717</c:v>
                </c:pt>
                <c:pt idx="206">
                  <c:v>2.3182449490024992</c:v>
                </c:pt>
                <c:pt idx="207">
                  <c:v>2.3876691800548895</c:v>
                </c:pt>
                <c:pt idx="208">
                  <c:v>2.484084774738637</c:v>
                </c:pt>
                <c:pt idx="209">
                  <c:v>1.9576408035327213</c:v>
                </c:pt>
                <c:pt idx="210">
                  <c:v>2.6414770851136518</c:v>
                </c:pt>
                <c:pt idx="211">
                  <c:v>2.8106625657904947</c:v>
                </c:pt>
                <c:pt idx="212">
                  <c:v>2.7241578565767952</c:v>
                </c:pt>
                <c:pt idx="213">
                  <c:v>2.4747769870949754</c:v>
                </c:pt>
                <c:pt idx="214">
                  <c:v>2.8469182570525851</c:v>
                </c:pt>
                <c:pt idx="215">
                  <c:v>2.5708055385890236</c:v>
                </c:pt>
                <c:pt idx="216">
                  <c:v>1.6687585417509576</c:v>
                </c:pt>
                <c:pt idx="217">
                  <c:v>2.6195138497500077</c:v>
                </c:pt>
                <c:pt idx="218">
                  <c:v>1.8394466211661524</c:v>
                </c:pt>
                <c:pt idx="219">
                  <c:v>3.1745363102256601</c:v>
                </c:pt>
                <c:pt idx="220">
                  <c:v>2.6694349702895472</c:v>
                </c:pt>
                <c:pt idx="221">
                  <c:v>3.5919163247812604</c:v>
                </c:pt>
                <c:pt idx="222">
                  <c:v>3.3078781772470744</c:v>
                </c:pt>
                <c:pt idx="223">
                  <c:v>3.129928237701407</c:v>
                </c:pt>
                <c:pt idx="224">
                  <c:v>3.3859098161889958</c:v>
                </c:pt>
                <c:pt idx="225">
                  <c:v>3.2540259816713677</c:v>
                </c:pt>
                <c:pt idx="226">
                  <c:v>3.5525769681904573</c:v>
                </c:pt>
                <c:pt idx="227">
                  <c:v>3.4200478818040607</c:v>
                </c:pt>
                <c:pt idx="228">
                  <c:v>3.1759366226932175</c:v>
                </c:pt>
                <c:pt idx="229">
                  <c:v>2.6486751261106294</c:v>
                </c:pt>
                <c:pt idx="230">
                  <c:v>3.2876364875044701</c:v>
                </c:pt>
                <c:pt idx="231">
                  <c:v>3.0733421654101183</c:v>
                </c:pt>
                <c:pt idx="232">
                  <c:v>3.4888306615931222</c:v>
                </c:pt>
                <c:pt idx="233">
                  <c:v>3.7226267664862336</c:v>
                </c:pt>
                <c:pt idx="234">
                  <c:v>0.46284703583167375</c:v>
                </c:pt>
                <c:pt idx="235">
                  <c:v>0.54863505981475158</c:v>
                </c:pt>
                <c:pt idx="236">
                  <c:v>2.1975644801017937</c:v>
                </c:pt>
                <c:pt idx="237">
                  <c:v>1.9106777547427052</c:v>
                </c:pt>
                <c:pt idx="238">
                  <c:v>2.2651622895944348</c:v>
                </c:pt>
                <c:pt idx="239">
                  <c:v>3.3976075593231365</c:v>
                </c:pt>
                <c:pt idx="240">
                  <c:v>3.3183434480680623</c:v>
                </c:pt>
                <c:pt idx="241">
                  <c:v>2.965685601460732</c:v>
                </c:pt>
                <c:pt idx="242">
                  <c:v>3.2795877875782429</c:v>
                </c:pt>
                <c:pt idx="243">
                  <c:v>4.1153129929464072</c:v>
                </c:pt>
                <c:pt idx="244">
                  <c:v>4.1069790196614369</c:v>
                </c:pt>
                <c:pt idx="245">
                  <c:v>3.818113807414024</c:v>
                </c:pt>
                <c:pt idx="246">
                  <c:v>4.0779555676775736</c:v>
                </c:pt>
                <c:pt idx="247">
                  <c:v>3.9878298541114328</c:v>
                </c:pt>
                <c:pt idx="248">
                  <c:v>3.7206340379203588</c:v>
                </c:pt>
                <c:pt idx="249">
                  <c:v>4.7327304246687563</c:v>
                </c:pt>
                <c:pt idx="250">
                  <c:v>0.11238269966426384</c:v>
                </c:pt>
                <c:pt idx="251">
                  <c:v>6.9560405233299899E-2</c:v>
                </c:pt>
                <c:pt idx="252">
                  <c:v>0.26363606858810812</c:v>
                </c:pt>
                <c:pt idx="253">
                  <c:v>0.27114431794907828</c:v>
                </c:pt>
                <c:pt idx="254">
                  <c:v>0.29157909986528724</c:v>
                </c:pt>
                <c:pt idx="255">
                  <c:v>2.3191662661933767E-2</c:v>
                </c:pt>
                <c:pt idx="256">
                  <c:v>8.9909454405931857E-2</c:v>
                </c:pt>
                <c:pt idx="257">
                  <c:v>0.26834391395106466</c:v>
                </c:pt>
                <c:pt idx="258">
                  <c:v>2.5305865264770262E-2</c:v>
                </c:pt>
                <c:pt idx="259">
                  <c:v>1.8181392829336417E-2</c:v>
                </c:pt>
                <c:pt idx="260">
                  <c:v>6.2983892535185784E-2</c:v>
                </c:pt>
                <c:pt idx="261">
                  <c:v>2.9653123769906618E-2</c:v>
                </c:pt>
                <c:pt idx="262">
                  <c:v>6.7019178076801841E-2</c:v>
                </c:pt>
                <c:pt idx="263">
                  <c:v>0.46149852678301867</c:v>
                </c:pt>
                <c:pt idx="264">
                  <c:v>6.6006836168757702E-2</c:v>
                </c:pt>
                <c:pt idx="265">
                  <c:v>0.18508681872492605</c:v>
                </c:pt>
                <c:pt idx="266">
                  <c:v>7.779372256098363E-2</c:v>
                </c:pt>
                <c:pt idx="267">
                  <c:v>8.5656842880559247E-2</c:v>
                </c:pt>
                <c:pt idx="268">
                  <c:v>1.6845940442006759</c:v>
                </c:pt>
                <c:pt idx="269">
                  <c:v>1.5997957679258608</c:v>
                </c:pt>
                <c:pt idx="270">
                  <c:v>2.2499830482290704</c:v>
                </c:pt>
                <c:pt idx="271">
                  <c:v>1.8356588700082768</c:v>
                </c:pt>
                <c:pt idx="272">
                  <c:v>1.506031244253258</c:v>
                </c:pt>
                <c:pt idx="273">
                  <c:v>1.5918545268870341</c:v>
                </c:pt>
                <c:pt idx="274">
                  <c:v>1.7454417559382003</c:v>
                </c:pt>
                <c:pt idx="275">
                  <c:v>1.970305025709028</c:v>
                </c:pt>
                <c:pt idx="276">
                  <c:v>1.781044128867602</c:v>
                </c:pt>
                <c:pt idx="277">
                  <c:v>1.6752374274395996</c:v>
                </c:pt>
                <c:pt idx="278">
                  <c:v>1.7438075541320446</c:v>
                </c:pt>
                <c:pt idx="279">
                  <c:v>1.7153932326454897</c:v>
                </c:pt>
                <c:pt idx="280">
                  <c:v>2.078072380713837</c:v>
                </c:pt>
                <c:pt idx="281">
                  <c:v>1.821978361128711</c:v>
                </c:pt>
                <c:pt idx="282">
                  <c:v>1.783667796235318</c:v>
                </c:pt>
                <c:pt idx="283">
                  <c:v>1.7084633926235586</c:v>
                </c:pt>
                <c:pt idx="284">
                  <c:v>1.7387567825882035</c:v>
                </c:pt>
                <c:pt idx="285">
                  <c:v>2.8523396792156976</c:v>
                </c:pt>
                <c:pt idx="286">
                  <c:v>2.7233037655487564</c:v>
                </c:pt>
                <c:pt idx="287">
                  <c:v>3.2441249054654779</c:v>
                </c:pt>
                <c:pt idx="288">
                  <c:v>2.8201534939062833</c:v>
                </c:pt>
                <c:pt idx="289">
                  <c:v>2.7650662334289238</c:v>
                </c:pt>
                <c:pt idx="290">
                  <c:v>2.8475183689386658</c:v>
                </c:pt>
                <c:pt idx="291">
                  <c:v>3.1057233625162448</c:v>
                </c:pt>
                <c:pt idx="292">
                  <c:v>3.0249951926456728</c:v>
                </c:pt>
                <c:pt idx="293">
                  <c:v>3.0361028730383639</c:v>
                </c:pt>
                <c:pt idx="294">
                  <c:v>2.8563336778025219</c:v>
                </c:pt>
                <c:pt idx="295">
                  <c:v>2.7982306474405472</c:v>
                </c:pt>
                <c:pt idx="296">
                  <c:v>3.1709302488315472</c:v>
                </c:pt>
                <c:pt idx="297">
                  <c:v>2.9895993031521413</c:v>
                </c:pt>
                <c:pt idx="298">
                  <c:v>2.8826616918788135</c:v>
                </c:pt>
                <c:pt idx="299">
                  <c:v>2.8126787742796879</c:v>
                </c:pt>
                <c:pt idx="300">
                  <c:v>2.8712394982371423</c:v>
                </c:pt>
                <c:pt idx="301">
                  <c:v>3.714976695033311</c:v>
                </c:pt>
                <c:pt idx="302">
                  <c:v>3.6780436734602588</c:v>
                </c:pt>
                <c:pt idx="303">
                  <c:v>3.998860785893787</c:v>
                </c:pt>
                <c:pt idx="304">
                  <c:v>3.6545011303048032</c:v>
                </c:pt>
                <c:pt idx="305">
                  <c:v>3.64427853083094</c:v>
                </c:pt>
                <c:pt idx="306">
                  <c:v>3.9447694585558906</c:v>
                </c:pt>
                <c:pt idx="307">
                  <c:v>4.0944165501535172</c:v>
                </c:pt>
                <c:pt idx="308">
                  <c:v>4.0015695236528872</c:v>
                </c:pt>
                <c:pt idx="309">
                  <c:v>3.8302954690724857</c:v>
                </c:pt>
                <c:pt idx="310">
                  <c:v>3.8059005105902797</c:v>
                </c:pt>
                <c:pt idx="311">
                  <c:v>3.6232358477416087</c:v>
                </c:pt>
                <c:pt idx="312">
                  <c:v>4.0185311573661204</c:v>
                </c:pt>
                <c:pt idx="313">
                  <c:v>3.7759417396338115</c:v>
                </c:pt>
                <c:pt idx="314">
                  <c:v>3.7178525856354749</c:v>
                </c:pt>
                <c:pt idx="315">
                  <c:v>4.4421017684110558</c:v>
                </c:pt>
                <c:pt idx="316">
                  <c:v>4.4793253281837</c:v>
                </c:pt>
                <c:pt idx="317">
                  <c:v>4.6681102759107524</c:v>
                </c:pt>
                <c:pt idx="318">
                  <c:v>4.3699158248730505</c:v>
                </c:pt>
                <c:pt idx="319">
                  <c:v>4.4187609194573154</c:v>
                </c:pt>
                <c:pt idx="320">
                  <c:v>4.5639754961297712</c:v>
                </c:pt>
                <c:pt idx="321">
                  <c:v>2.2633993313340022</c:v>
                </c:pt>
                <c:pt idx="322">
                  <c:v>2.0093871492689561</c:v>
                </c:pt>
                <c:pt idx="323">
                  <c:v>2.090589556608069</c:v>
                </c:pt>
                <c:pt idx="324">
                  <c:v>3.3199151550181529</c:v>
                </c:pt>
                <c:pt idx="325">
                  <c:v>3.072292920422651</c:v>
                </c:pt>
                <c:pt idx="326">
                  <c:v>3.3910092486127796</c:v>
                </c:pt>
                <c:pt idx="327">
                  <c:v>3.0591061646838331</c:v>
                </c:pt>
                <c:pt idx="328">
                  <c:v>3.2630036921880783</c:v>
                </c:pt>
                <c:pt idx="329">
                  <c:v>3.1105469520710369</c:v>
                </c:pt>
                <c:pt idx="330">
                  <c:v>4.1220399943682358</c:v>
                </c:pt>
                <c:pt idx="331">
                  <c:v>4.0306226300921217</c:v>
                </c:pt>
                <c:pt idx="332">
                  <c:v>4.2030337033569545</c:v>
                </c:pt>
                <c:pt idx="333">
                  <c:v>3.9148424937474835</c:v>
                </c:pt>
                <c:pt idx="334">
                  <c:v>4.0112492344812294</c:v>
                </c:pt>
                <c:pt idx="335">
                  <c:v>4.0731884077776206</c:v>
                </c:pt>
                <c:pt idx="336">
                  <c:v>3.9945213594637776</c:v>
                </c:pt>
                <c:pt idx="337">
                  <c:v>3.9318705594306858</c:v>
                </c:pt>
                <c:pt idx="338">
                  <c:v>4.7723876895289088</c:v>
                </c:pt>
                <c:pt idx="339">
                  <c:v>2.0192700325692639</c:v>
                </c:pt>
                <c:pt idx="340">
                  <c:v>1.6571228093996468</c:v>
                </c:pt>
                <c:pt idx="341">
                  <c:v>2.161972598340534</c:v>
                </c:pt>
                <c:pt idx="342">
                  <c:v>1.6574956641393819</c:v>
                </c:pt>
                <c:pt idx="343">
                  <c:v>1.5043757014787995</c:v>
                </c:pt>
                <c:pt idx="344">
                  <c:v>1.5562421779000601</c:v>
                </c:pt>
                <c:pt idx="345">
                  <c:v>1.7688895788911809</c:v>
                </c:pt>
                <c:pt idx="346">
                  <c:v>1.7628285531890906</c:v>
                </c:pt>
                <c:pt idx="347">
                  <c:v>2.0274148489934776</c:v>
                </c:pt>
                <c:pt idx="348">
                  <c:v>1.8047185598630118</c:v>
                </c:pt>
                <c:pt idx="349">
                  <c:v>1.6732882248415502</c:v>
                </c:pt>
                <c:pt idx="350">
                  <c:v>1.6958842629440218</c:v>
                </c:pt>
                <c:pt idx="351">
                  <c:v>1.7057098011430463</c:v>
                </c:pt>
                <c:pt idx="352">
                  <c:v>1.9025522147553455</c:v>
                </c:pt>
                <c:pt idx="353">
                  <c:v>1.8243406491151131</c:v>
                </c:pt>
                <c:pt idx="354">
                  <c:v>1.7828451263014011</c:v>
                </c:pt>
                <c:pt idx="355">
                  <c:v>1.8650150921872439</c:v>
                </c:pt>
                <c:pt idx="356">
                  <c:v>3.1159328681421745</c:v>
                </c:pt>
                <c:pt idx="357">
                  <c:v>2.814703631859321</c:v>
                </c:pt>
                <c:pt idx="358">
                  <c:v>3.2584485845960796</c:v>
                </c:pt>
                <c:pt idx="359">
                  <c:v>2.9023858594338208</c:v>
                </c:pt>
                <c:pt idx="360">
                  <c:v>2.7898668574218024</c:v>
                </c:pt>
                <c:pt idx="361">
                  <c:v>3.0871703502030559</c:v>
                </c:pt>
                <c:pt idx="362">
                  <c:v>3.1667476514308261</c:v>
                </c:pt>
                <c:pt idx="363">
                  <c:v>3.037900377322742</c:v>
                </c:pt>
                <c:pt idx="364">
                  <c:v>2.9482319720348258</c:v>
                </c:pt>
                <c:pt idx="365">
                  <c:v>2.8006222378033758</c:v>
                </c:pt>
                <c:pt idx="366">
                  <c:v>3.013569847295257</c:v>
                </c:pt>
                <c:pt idx="367">
                  <c:v>2.9852791392801703</c:v>
                </c:pt>
                <c:pt idx="368">
                  <c:v>2.8790298984440281</c:v>
                </c:pt>
                <c:pt idx="369">
                  <c:v>2.9857847202835979</c:v>
                </c:pt>
                <c:pt idx="370">
                  <c:v>3.9652445166811372</c:v>
                </c:pt>
                <c:pt idx="371">
                  <c:v>3.7134596289628772</c:v>
                </c:pt>
                <c:pt idx="372">
                  <c:v>4.0565733276659692</c:v>
                </c:pt>
                <c:pt idx="373">
                  <c:v>3.7248831293523712</c:v>
                </c:pt>
                <c:pt idx="374">
                  <c:v>3.7183868306079129</c:v>
                </c:pt>
                <c:pt idx="375">
                  <c:v>4.131064633758184</c:v>
                </c:pt>
                <c:pt idx="376">
                  <c:v>4.0630129063460458</c:v>
                </c:pt>
                <c:pt idx="377">
                  <c:v>4.0612791036840363</c:v>
                </c:pt>
                <c:pt idx="378">
                  <c:v>3.6467913791140543</c:v>
                </c:pt>
                <c:pt idx="379">
                  <c:v>3.989999412952971</c:v>
                </c:pt>
                <c:pt idx="380">
                  <c:v>3.7890652457020018</c:v>
                </c:pt>
                <c:pt idx="381">
                  <c:v>3.8487476115660662</c:v>
                </c:pt>
                <c:pt idx="382">
                  <c:v>4.7131827906203307</c:v>
                </c:pt>
                <c:pt idx="383">
                  <c:v>4.5273738236125753</c:v>
                </c:pt>
                <c:pt idx="384">
                  <c:v>4.749134060300614</c:v>
                </c:pt>
                <c:pt idx="385">
                  <c:v>4.4544076025676382</c:v>
                </c:pt>
                <c:pt idx="386">
                  <c:v>4.4883263905965478</c:v>
                </c:pt>
                <c:pt idx="387">
                  <c:v>4.6994647052671246</c:v>
                </c:pt>
                <c:pt idx="388">
                  <c:v>3.2723503851417699</c:v>
                </c:pt>
                <c:pt idx="389">
                  <c:v>3.0721715630940207</c:v>
                </c:pt>
                <c:pt idx="390">
                  <c:v>2.8841578933400105</c:v>
                </c:pt>
                <c:pt idx="391">
                  <c:v>3.2515435655661373</c:v>
                </c:pt>
                <c:pt idx="392">
                  <c:v>4.1330518742958331</c:v>
                </c:pt>
                <c:pt idx="393">
                  <c:v>4.0488416132262426</c:v>
                </c:pt>
                <c:pt idx="394">
                  <c:v>3.8537764263998766</c:v>
                </c:pt>
                <c:pt idx="395">
                  <c:v>4.0534757756370849</c:v>
                </c:pt>
                <c:pt idx="396">
                  <c:v>4.0611552324996243</c:v>
                </c:pt>
                <c:pt idx="397">
                  <c:v>4.1113642516948401</c:v>
                </c:pt>
                <c:pt idx="398">
                  <c:v>3.9234469701858794</c:v>
                </c:pt>
                <c:pt idx="399">
                  <c:v>4.78184936590627</c:v>
                </c:pt>
                <c:pt idx="400">
                  <c:v>4.7830278578634697</c:v>
                </c:pt>
                <c:pt idx="401">
                  <c:v>2.8540265456434764</c:v>
                </c:pt>
                <c:pt idx="402">
                  <c:v>2.669329899905752</c:v>
                </c:pt>
                <c:pt idx="403">
                  <c:v>2.9981311241404591</c:v>
                </c:pt>
                <c:pt idx="404">
                  <c:v>2.9514366082450998</c:v>
                </c:pt>
                <c:pt idx="405">
                  <c:v>2.7710477680803405</c:v>
                </c:pt>
                <c:pt idx="406">
                  <c:v>3.0044318683211606</c:v>
                </c:pt>
                <c:pt idx="407">
                  <c:v>3.2259780453694904</c:v>
                </c:pt>
                <c:pt idx="408">
                  <c:v>3.0589495954304695</c:v>
                </c:pt>
                <c:pt idx="409">
                  <c:v>2.9225495253146847</c:v>
                </c:pt>
                <c:pt idx="410">
                  <c:v>2.9110446241914554</c:v>
                </c:pt>
                <c:pt idx="411">
                  <c:v>2.8043173407251731</c:v>
                </c:pt>
                <c:pt idx="412">
                  <c:v>2.8871929246167505</c:v>
                </c:pt>
                <c:pt idx="413">
                  <c:v>3.1826209075955769</c:v>
                </c:pt>
                <c:pt idx="414">
                  <c:v>2.865523254439247</c:v>
                </c:pt>
                <c:pt idx="415">
                  <c:v>3.0392467149789519</c:v>
                </c:pt>
                <c:pt idx="416">
                  <c:v>2.9961393853052534</c:v>
                </c:pt>
                <c:pt idx="417">
                  <c:v>3.7698779532658699</c:v>
                </c:pt>
                <c:pt idx="418">
                  <c:v>3.6200024133536668</c:v>
                </c:pt>
                <c:pt idx="419">
                  <c:v>4.1456037741011578</c:v>
                </c:pt>
                <c:pt idx="420">
                  <c:v>3.8204125764640575</c:v>
                </c:pt>
                <c:pt idx="421">
                  <c:v>3.7130431658354954</c:v>
                </c:pt>
                <c:pt idx="422">
                  <c:v>4.0234270891157111</c:v>
                </c:pt>
                <c:pt idx="423">
                  <c:v>4.0599568308641469</c:v>
                </c:pt>
                <c:pt idx="424">
                  <c:v>4.0558521648608981</c:v>
                </c:pt>
                <c:pt idx="425">
                  <c:v>3.9972535853300126</c:v>
                </c:pt>
                <c:pt idx="426">
                  <c:v>3.6431227835270974</c:v>
                </c:pt>
                <c:pt idx="427">
                  <c:v>3.8983474773037137</c:v>
                </c:pt>
                <c:pt idx="428">
                  <c:v>4.0546436532400456</c:v>
                </c:pt>
                <c:pt idx="429">
                  <c:v>3.8610233512952963</c:v>
                </c:pt>
                <c:pt idx="430">
                  <c:v>4.6422954092575672</c:v>
                </c:pt>
                <c:pt idx="431">
                  <c:v>4.4706293032088356</c:v>
                </c:pt>
                <c:pt idx="432">
                  <c:v>4.5882818832234777</c:v>
                </c:pt>
                <c:pt idx="433">
                  <c:v>4.5237615498310531</c:v>
                </c:pt>
                <c:pt idx="434">
                  <c:v>3.7561339835838408</c:v>
                </c:pt>
                <c:pt idx="435">
                  <c:v>3.9925016909934459</c:v>
                </c:pt>
                <c:pt idx="436">
                  <c:v>3.8933675011233571</c:v>
                </c:pt>
                <c:pt idx="437">
                  <c:v>3.9053035268558323</c:v>
                </c:pt>
                <c:pt idx="438">
                  <c:v>4.7831289661113647</c:v>
                </c:pt>
                <c:pt idx="439">
                  <c:v>3.7396886944703578</c:v>
                </c:pt>
                <c:pt idx="440">
                  <c:v>3.6018954711349629</c:v>
                </c:pt>
                <c:pt idx="441">
                  <c:v>4.1167013993886501</c:v>
                </c:pt>
                <c:pt idx="442">
                  <c:v>3.8141130235266454</c:v>
                </c:pt>
                <c:pt idx="443">
                  <c:v>3.7387066904404609</c:v>
                </c:pt>
                <c:pt idx="444">
                  <c:v>3.7145740864521755</c:v>
                </c:pt>
                <c:pt idx="445">
                  <c:v>3.936970064788416</c:v>
                </c:pt>
                <c:pt idx="446">
                  <c:v>3.9065610747418278</c:v>
                </c:pt>
                <c:pt idx="447">
                  <c:v>3.7618090298568023</c:v>
                </c:pt>
                <c:pt idx="448">
                  <c:v>4.0041027525426411</c:v>
                </c:pt>
                <c:pt idx="449">
                  <c:v>3.9281893596534858</c:v>
                </c:pt>
                <c:pt idx="450">
                  <c:v>3.8150569468597375</c:v>
                </c:pt>
                <c:pt idx="451">
                  <c:v>3.7795556569998454</c:v>
                </c:pt>
                <c:pt idx="452">
                  <c:v>3.8173219113359096</c:v>
                </c:pt>
                <c:pt idx="453">
                  <c:v>4.0770219310034888</c:v>
                </c:pt>
                <c:pt idx="454">
                  <c:v>3.6897316685019748</c:v>
                </c:pt>
                <c:pt idx="455">
                  <c:v>4.617126436056683</c:v>
                </c:pt>
                <c:pt idx="456">
                  <c:v>4.4774059427584083</c:v>
                </c:pt>
                <c:pt idx="457">
                  <c:v>4.8377862181176585</c:v>
                </c:pt>
                <c:pt idx="458">
                  <c:v>4.6281194612651984</c:v>
                </c:pt>
                <c:pt idx="459">
                  <c:v>4.8139982244645889</c:v>
                </c:pt>
                <c:pt idx="460">
                  <c:v>4.5930241151107989</c:v>
                </c:pt>
                <c:pt idx="461">
                  <c:v>4.5668172424527631</c:v>
                </c:pt>
                <c:pt idx="462">
                  <c:v>4.3869618889034303</c:v>
                </c:pt>
                <c:pt idx="463">
                  <c:v>4.5251992458051271</c:v>
                </c:pt>
                <c:pt idx="464">
                  <c:v>4.5943930808111109</c:v>
                </c:pt>
                <c:pt idx="465">
                  <c:v>4.7646667648849741</c:v>
                </c:pt>
                <c:pt idx="466">
                  <c:v>4.5439434335922462</c:v>
                </c:pt>
                <c:pt idx="467">
                  <c:v>4.7832983598369037</c:v>
                </c:pt>
                <c:pt idx="468">
                  <c:v>0.341035157335565</c:v>
                </c:pt>
                <c:pt idx="469">
                  <c:v>0.32422165832591499</c:v>
                </c:pt>
                <c:pt idx="470">
                  <c:v>1.4972476454159096</c:v>
                </c:pt>
                <c:pt idx="471">
                  <c:v>1.1990966563056158</c:v>
                </c:pt>
                <c:pt idx="472">
                  <c:v>1.4811128408415175</c:v>
                </c:pt>
                <c:pt idx="473">
                  <c:v>2.5726265166533175</c:v>
                </c:pt>
                <c:pt idx="474">
                  <c:v>2.6581831714879409</c:v>
                </c:pt>
                <c:pt idx="475">
                  <c:v>2.2482185611900749</c:v>
                </c:pt>
                <c:pt idx="476">
                  <c:v>2.4954791191013324</c:v>
                </c:pt>
                <c:pt idx="477">
                  <c:v>3.2758381785257935</c:v>
                </c:pt>
                <c:pt idx="478">
                  <c:v>3.288417364724483</c:v>
                </c:pt>
                <c:pt idx="479">
                  <c:v>3.1003508980180272</c:v>
                </c:pt>
                <c:pt idx="480">
                  <c:v>3.3302542321499824</c:v>
                </c:pt>
                <c:pt idx="481">
                  <c:v>3.1793871761497696</c:v>
                </c:pt>
                <c:pt idx="482">
                  <c:v>2.8522609612792493</c:v>
                </c:pt>
                <c:pt idx="483">
                  <c:v>3.8970387461803409</c:v>
                </c:pt>
                <c:pt idx="484">
                  <c:v>0.98296666070121963</c:v>
                </c:pt>
                <c:pt idx="485">
                  <c:v>0.87614835903291421</c:v>
                </c:pt>
                <c:pt idx="486">
                  <c:v>0.55129368009492008</c:v>
                </c:pt>
                <c:pt idx="487">
                  <c:v>0.543633966870957</c:v>
                </c:pt>
                <c:pt idx="488">
                  <c:v>1.494850021680094</c:v>
                </c:pt>
                <c:pt idx="489">
                  <c:v>1.2218487496163564</c:v>
                </c:pt>
                <c:pt idx="490">
                  <c:v>1.0705810742857071</c:v>
                </c:pt>
                <c:pt idx="491">
                  <c:v>0.48545224733971393</c:v>
                </c:pt>
                <c:pt idx="492">
                  <c:v>0.790484985457369</c:v>
                </c:pt>
                <c:pt idx="493">
                  <c:v>1.0757207139381184</c:v>
                </c:pt>
                <c:pt idx="494">
                  <c:v>1.0362121726544447</c:v>
                </c:pt>
                <c:pt idx="495">
                  <c:v>1.0087739243075051</c:v>
                </c:pt>
                <c:pt idx="496">
                  <c:v>1.3467874862246563</c:v>
                </c:pt>
                <c:pt idx="497">
                  <c:v>0.33348201944511913</c:v>
                </c:pt>
                <c:pt idx="498">
                  <c:v>1.0705810742857071</c:v>
                </c:pt>
                <c:pt idx="499">
                  <c:v>1.2006594505464183</c:v>
                </c:pt>
                <c:pt idx="500">
                  <c:v>1.2291479883578558</c:v>
                </c:pt>
                <c:pt idx="501">
                  <c:v>1.1307682802690238</c:v>
                </c:pt>
                <c:pt idx="502">
                  <c:v>0.85217490442030319</c:v>
                </c:pt>
                <c:pt idx="503">
                  <c:v>0.51930284923542869</c:v>
                </c:pt>
                <c:pt idx="504">
                  <c:v>1.5641095268659491</c:v>
                </c:pt>
                <c:pt idx="505">
                  <c:v>0.9224659452984133</c:v>
                </c:pt>
                <c:pt idx="506">
                  <c:v>0.42226145081360267</c:v>
                </c:pt>
                <c:pt idx="507">
                  <c:v>0.58081097266094628</c:v>
                </c:pt>
                <c:pt idx="508">
                  <c:v>0.84154716525655326</c:v>
                </c:pt>
                <c:pt idx="509">
                  <c:v>1.1337943006045126</c:v>
                </c:pt>
                <c:pt idx="510">
                  <c:v>0.87989832433000981</c:v>
                </c:pt>
                <c:pt idx="511">
                  <c:v>0.73917663191072991</c:v>
                </c:pt>
                <c:pt idx="512">
                  <c:v>0.83543689480185823</c:v>
                </c:pt>
                <c:pt idx="513">
                  <c:v>0.71982828625433481</c:v>
                </c:pt>
                <c:pt idx="514">
                  <c:v>1.109646031090973</c:v>
                </c:pt>
                <c:pt idx="515">
                  <c:v>0.82503644122135378</c:v>
                </c:pt>
                <c:pt idx="516">
                  <c:v>0.84348194303995772</c:v>
                </c:pt>
                <c:pt idx="517">
                  <c:v>0.76959884838744652</c:v>
                </c:pt>
                <c:pt idx="518">
                  <c:v>0.7912694809102685</c:v>
                </c:pt>
                <c:pt idx="519">
                  <c:v>2.0930888320305887</c:v>
                </c:pt>
                <c:pt idx="520">
                  <c:v>1.5958708321028718</c:v>
                </c:pt>
                <c:pt idx="521">
                  <c:v>2.5798807305718694</c:v>
                </c:pt>
                <c:pt idx="522">
                  <c:v>1.9181509573888782</c:v>
                </c:pt>
                <c:pt idx="523">
                  <c:v>1.7617775375081781</c:v>
                </c:pt>
                <c:pt idx="524">
                  <c:v>1.9636509085911917</c:v>
                </c:pt>
                <c:pt idx="525">
                  <c:v>2.2918393032694158</c:v>
                </c:pt>
                <c:pt idx="526">
                  <c:v>2.105748555526993</c:v>
                </c:pt>
                <c:pt idx="527">
                  <c:v>2.2132892606559507</c:v>
                </c:pt>
                <c:pt idx="528">
                  <c:v>1.8964986598587898</c:v>
                </c:pt>
                <c:pt idx="529">
                  <c:v>1.81813348070119</c:v>
                </c:pt>
                <c:pt idx="530">
                  <c:v>2.2551108209530693</c:v>
                </c:pt>
                <c:pt idx="531">
                  <c:v>2.0611734155618713</c:v>
                </c:pt>
                <c:pt idx="532">
                  <c:v>1.9545464092241374</c:v>
                </c:pt>
                <c:pt idx="533">
                  <c:v>1.9398186628213796</c:v>
                </c:pt>
                <c:pt idx="534">
                  <c:v>1.9070510909602922</c:v>
                </c:pt>
                <c:pt idx="535">
                  <c:v>2.9811954753477319</c:v>
                </c:pt>
                <c:pt idx="536">
                  <c:v>2.667472565746269</c:v>
                </c:pt>
                <c:pt idx="537">
                  <c:v>3.359443682034311</c:v>
                </c:pt>
                <c:pt idx="538">
                  <c:v>2.6535164135601561</c:v>
                </c:pt>
                <c:pt idx="539">
                  <c:v>2.635536019856549</c:v>
                </c:pt>
                <c:pt idx="540">
                  <c:v>3.0770025081359331</c:v>
                </c:pt>
                <c:pt idx="541">
                  <c:v>3.2949110949639171</c:v>
                </c:pt>
                <c:pt idx="542">
                  <c:v>3.1210425189543196</c:v>
                </c:pt>
                <c:pt idx="543">
                  <c:v>2.9762710925879361</c:v>
                </c:pt>
                <c:pt idx="544">
                  <c:v>2.9335950888327562</c:v>
                </c:pt>
                <c:pt idx="545">
                  <c:v>2.714494056305861</c:v>
                </c:pt>
                <c:pt idx="546">
                  <c:v>3.1298322710546373</c:v>
                </c:pt>
                <c:pt idx="547">
                  <c:v>2.9312279490582163</c:v>
                </c:pt>
                <c:pt idx="548">
                  <c:v>2.7669301227685823</c:v>
                </c:pt>
                <c:pt idx="549">
                  <c:v>3.7324773936698157</c:v>
                </c:pt>
                <c:pt idx="550">
                  <c:v>3.5007321166576415</c:v>
                </c:pt>
                <c:pt idx="551">
                  <c:v>4.0095125510397329</c:v>
                </c:pt>
                <c:pt idx="552">
                  <c:v>3.4647985406966515</c:v>
                </c:pt>
                <c:pt idx="553">
                  <c:v>3.4835931445727963</c:v>
                </c:pt>
                <c:pt idx="554">
                  <c:v>3.7289239163399519</c:v>
                </c:pt>
                <c:pt idx="555">
                  <c:v>1.5126443795257734</c:v>
                </c:pt>
                <c:pt idx="556">
                  <c:v>1.2832786086102137</c:v>
                </c:pt>
                <c:pt idx="557">
                  <c:v>1.2739961137592797</c:v>
                </c:pt>
                <c:pt idx="558">
                  <c:v>2.4868058077737998</c:v>
                </c:pt>
                <c:pt idx="559">
                  <c:v>2.2269863455252201</c:v>
                </c:pt>
                <c:pt idx="560">
                  <c:v>2.7208734405672148</c:v>
                </c:pt>
                <c:pt idx="561">
                  <c:v>2.3264055063459415</c:v>
                </c:pt>
                <c:pt idx="562">
                  <c:v>2.4354302515829653</c:v>
                </c:pt>
                <c:pt idx="563">
                  <c:v>2.3280267232808196</c:v>
                </c:pt>
                <c:pt idx="564">
                  <c:v>3.2864667992757259</c:v>
                </c:pt>
                <c:pt idx="565">
                  <c:v>3.1768075434695775</c:v>
                </c:pt>
                <c:pt idx="566">
                  <c:v>3.3898276577177353</c:v>
                </c:pt>
                <c:pt idx="567">
                  <c:v>3.1778019011599086</c:v>
                </c:pt>
                <c:pt idx="568">
                  <c:v>3.1649375696945832</c:v>
                </c:pt>
                <c:pt idx="569">
                  <c:v>3.1652487788825447</c:v>
                </c:pt>
                <c:pt idx="570">
                  <c:v>3.1715863454952919</c:v>
                </c:pt>
                <c:pt idx="571">
                  <c:v>3.1373927276762958</c:v>
                </c:pt>
                <c:pt idx="572">
                  <c:v>3.9389191124142418</c:v>
                </c:pt>
                <c:pt idx="573">
                  <c:v>1.2467939187751549</c:v>
                </c:pt>
                <c:pt idx="574">
                  <c:v>0.68331726192188269</c:v>
                </c:pt>
                <c:pt idx="575">
                  <c:v>1.4432003819400767</c:v>
                </c:pt>
                <c:pt idx="576">
                  <c:v>0.7134065321676909</c:v>
                </c:pt>
                <c:pt idx="577">
                  <c:v>0.49872397074790464</c:v>
                </c:pt>
                <c:pt idx="578">
                  <c:v>0.45545396877862815</c:v>
                </c:pt>
                <c:pt idx="579">
                  <c:v>0.91099771631064286</c:v>
                </c:pt>
                <c:pt idx="580">
                  <c:v>0.85284581801499681</c:v>
                </c:pt>
                <c:pt idx="581">
                  <c:v>1.2369652991029796</c:v>
                </c:pt>
                <c:pt idx="582">
                  <c:v>0.95525468282018</c:v>
                </c:pt>
                <c:pt idx="583">
                  <c:v>0.73973052856471755</c:v>
                </c:pt>
                <c:pt idx="584">
                  <c:v>0.76700736394980407</c:v>
                </c:pt>
                <c:pt idx="585">
                  <c:v>0.67486114073781156</c:v>
                </c:pt>
                <c:pt idx="586">
                  <c:v>0.96501345027224794</c:v>
                </c:pt>
                <c:pt idx="587">
                  <c:v>0.78447464376251641</c:v>
                </c:pt>
                <c:pt idx="588">
                  <c:v>0.86409557342424748</c:v>
                </c:pt>
                <c:pt idx="589">
                  <c:v>0.96312644108190471</c:v>
                </c:pt>
                <c:pt idx="590">
                  <c:v>2.3458851713259348</c:v>
                </c:pt>
                <c:pt idx="591">
                  <c:v>1.765676004000134</c:v>
                </c:pt>
                <c:pt idx="592">
                  <c:v>2.5789565071479639</c:v>
                </c:pt>
                <c:pt idx="593">
                  <c:v>2.0371833843713412</c:v>
                </c:pt>
                <c:pt idx="594">
                  <c:v>1.7592446735295735</c:v>
                </c:pt>
                <c:pt idx="595">
                  <c:v>2.3178377773415528</c:v>
                </c:pt>
                <c:pt idx="596">
                  <c:v>2.4089264898453644</c:v>
                </c:pt>
                <c:pt idx="597">
                  <c:v>2.1160096794247378</c:v>
                </c:pt>
                <c:pt idx="598">
                  <c:v>1.9422859125851524</c:v>
                </c:pt>
                <c:pt idx="599">
                  <c:v>1.7776225370647991</c:v>
                </c:pt>
                <c:pt idx="600">
                  <c:v>2.0416176703758926</c:v>
                </c:pt>
                <c:pt idx="601">
                  <c:v>2.0407012119373582</c:v>
                </c:pt>
                <c:pt idx="602">
                  <c:v>1.9760334294622262</c:v>
                </c:pt>
                <c:pt idx="603">
                  <c:v>2.0805110444751125</c:v>
                </c:pt>
                <c:pt idx="604">
                  <c:v>3.2257624693120936</c:v>
                </c:pt>
                <c:pt idx="605">
                  <c:v>2.7184834198814958</c:v>
                </c:pt>
                <c:pt idx="606">
                  <c:v>3.4006187969104982</c:v>
                </c:pt>
                <c:pt idx="607">
                  <c:v>2.8325159380013272</c:v>
                </c:pt>
                <c:pt idx="608">
                  <c:v>2.7227638624266173</c:v>
                </c:pt>
                <c:pt idx="609">
                  <c:v>3.3396255217293311</c:v>
                </c:pt>
                <c:pt idx="610">
                  <c:v>3.3406011463693099</c:v>
                </c:pt>
                <c:pt idx="611">
                  <c:v>3.1875393330582855</c:v>
                </c:pt>
                <c:pt idx="612">
                  <c:v>2.6670109618392996</c:v>
                </c:pt>
                <c:pt idx="613">
                  <c:v>3.0377761833202843</c:v>
                </c:pt>
                <c:pt idx="614">
                  <c:v>2.9639964274152035</c:v>
                </c:pt>
                <c:pt idx="615">
                  <c:v>2.9773989059575032</c:v>
                </c:pt>
                <c:pt idx="616">
                  <c:v>4.0107365762637679</c:v>
                </c:pt>
                <c:pt idx="617">
                  <c:v>3.5889750862678822</c:v>
                </c:pt>
                <c:pt idx="618">
                  <c:v>4.1040522919468456</c:v>
                </c:pt>
                <c:pt idx="619">
                  <c:v>3.6296567503881896</c:v>
                </c:pt>
                <c:pt idx="620">
                  <c:v>3.5579970407159589</c:v>
                </c:pt>
                <c:pt idx="621">
                  <c:v>3.8763907731746134</c:v>
                </c:pt>
                <c:pt idx="622">
                  <c:v>2.4203023851786898</c:v>
                </c:pt>
                <c:pt idx="623">
                  <c:v>2.2369426488609672</c:v>
                </c:pt>
                <c:pt idx="624">
                  <c:v>2.1279369385587019</c:v>
                </c:pt>
                <c:pt idx="625">
                  <c:v>2.3909721794402325</c:v>
                </c:pt>
                <c:pt idx="626">
                  <c:v>3.2794392447181857</c:v>
                </c:pt>
                <c:pt idx="627">
                  <c:v>3.2482901611536028</c:v>
                </c:pt>
                <c:pt idx="628">
                  <c:v>3.1241806658018079</c:v>
                </c:pt>
                <c:pt idx="629">
                  <c:v>3.199865930157233</c:v>
                </c:pt>
                <c:pt idx="630">
                  <c:v>3.1313318198140863</c:v>
                </c:pt>
                <c:pt idx="631">
                  <c:v>3.2386185926898503</c:v>
                </c:pt>
                <c:pt idx="632">
                  <c:v>3.1489017461447277</c:v>
                </c:pt>
                <c:pt idx="633">
                  <c:v>3.9506112417214134</c:v>
                </c:pt>
                <c:pt idx="634">
                  <c:v>3.9880832018946584</c:v>
                </c:pt>
                <c:pt idx="635">
                  <c:v>2.0773824420946516</c:v>
                </c:pt>
                <c:pt idx="636">
                  <c:v>1.5837540436397781</c:v>
                </c:pt>
                <c:pt idx="637">
                  <c:v>2.3437767509480132</c:v>
                </c:pt>
                <c:pt idx="638">
                  <c:v>2.0810086709940383</c:v>
                </c:pt>
                <c:pt idx="639">
                  <c:v>1.7649304466902818</c:v>
                </c:pt>
                <c:pt idx="640">
                  <c:v>2.2294079226605996</c:v>
                </c:pt>
                <c:pt idx="641">
                  <c:v>2.5447809427071051</c:v>
                </c:pt>
                <c:pt idx="642">
                  <c:v>2.3214948667395872</c:v>
                </c:pt>
                <c:pt idx="643">
                  <c:v>1.9809754662831962</c:v>
                </c:pt>
                <c:pt idx="644">
                  <c:v>1.8525714786244298</c:v>
                </c:pt>
                <c:pt idx="645">
                  <c:v>1.8454515359028623</c:v>
                </c:pt>
                <c:pt idx="646">
                  <c:v>1.9144436521315038</c:v>
                </c:pt>
                <c:pt idx="647">
                  <c:v>2.1803380940557404</c:v>
                </c:pt>
                <c:pt idx="648">
                  <c:v>1.9922706704370092</c:v>
                </c:pt>
                <c:pt idx="649">
                  <c:v>2.2099651606365809</c:v>
                </c:pt>
                <c:pt idx="650">
                  <c:v>2.0600024126919605</c:v>
                </c:pt>
                <c:pt idx="651">
                  <c:v>3.0174307039430541</c:v>
                </c:pt>
                <c:pt idx="652">
                  <c:v>2.5280832892249405</c:v>
                </c:pt>
                <c:pt idx="653">
                  <c:v>3.4618276494821538</c:v>
                </c:pt>
                <c:pt idx="654">
                  <c:v>2.9169390345248463</c:v>
                </c:pt>
                <c:pt idx="655">
                  <c:v>2.7177736564897965</c:v>
                </c:pt>
                <c:pt idx="656">
                  <c:v>3.2455980377699567</c:v>
                </c:pt>
                <c:pt idx="657">
                  <c:v>3.2228914539670779</c:v>
                </c:pt>
                <c:pt idx="658">
                  <c:v>3.334239365875717</c:v>
                </c:pt>
                <c:pt idx="659">
                  <c:v>3.0796023075132588</c:v>
                </c:pt>
                <c:pt idx="660">
                  <c:v>2.6867175801641916</c:v>
                </c:pt>
                <c:pt idx="661">
                  <c:v>2.9453952117256108</c:v>
                </c:pt>
                <c:pt idx="662">
                  <c:v>3.2753267907291743</c:v>
                </c:pt>
                <c:pt idx="663">
                  <c:v>2.9537509960948136</c:v>
                </c:pt>
                <c:pt idx="664">
                  <c:v>3.9476418490588219</c:v>
                </c:pt>
                <c:pt idx="665">
                  <c:v>3.4935879713538611</c:v>
                </c:pt>
                <c:pt idx="666">
                  <c:v>3.714872288837527</c:v>
                </c:pt>
                <c:pt idx="667">
                  <c:v>3.6254704971588505</c:v>
                </c:pt>
                <c:pt idx="668">
                  <c:v>3.0351963172340857</c:v>
                </c:pt>
                <c:pt idx="669">
                  <c:v>3.0864897436075078</c:v>
                </c:pt>
                <c:pt idx="670">
                  <c:v>3.0570667291942804</c:v>
                </c:pt>
                <c:pt idx="671">
                  <c:v>3.1072106482324662</c:v>
                </c:pt>
                <c:pt idx="672">
                  <c:v>4.0059148874587196</c:v>
                </c:pt>
                <c:pt idx="673">
                  <c:v>3.0089342796518799</c:v>
                </c:pt>
                <c:pt idx="674">
                  <c:v>2.5525501984963439</c:v>
                </c:pt>
                <c:pt idx="675">
                  <c:v>3.4178062119018446</c:v>
                </c:pt>
                <c:pt idx="676">
                  <c:v>2.9226673406257353</c:v>
                </c:pt>
                <c:pt idx="677">
                  <c:v>2.7924260114155723</c:v>
                </c:pt>
                <c:pt idx="678">
                  <c:v>2.741515591556086</c:v>
                </c:pt>
                <c:pt idx="679">
                  <c:v>3.1019586722326578</c:v>
                </c:pt>
                <c:pt idx="680">
                  <c:v>3.1008356115356297</c:v>
                </c:pt>
                <c:pt idx="681">
                  <c:v>2.8885035488185138</c:v>
                </c:pt>
                <c:pt idx="682">
                  <c:v>3.2635468337973661</c:v>
                </c:pt>
                <c:pt idx="683">
                  <c:v>3.0421051330398408</c:v>
                </c:pt>
                <c:pt idx="684">
                  <c:v>2.9301617001340703</c:v>
                </c:pt>
                <c:pt idx="685">
                  <c:v>2.8801456368323195</c:v>
                </c:pt>
                <c:pt idx="686">
                  <c:v>2.8871518158166092</c:v>
                </c:pt>
                <c:pt idx="687">
                  <c:v>3.3395961157797776</c:v>
                </c:pt>
                <c:pt idx="688">
                  <c:v>2.7926108828401301</c:v>
                </c:pt>
                <c:pt idx="689">
                  <c:v>3.9218859450739245</c:v>
                </c:pt>
                <c:pt idx="690">
                  <c:v>3.5140651122334883</c:v>
                </c:pt>
                <c:pt idx="691">
                  <c:v>4.1661291118676314</c:v>
                </c:pt>
                <c:pt idx="692">
                  <c:v>3.7759661834847722</c:v>
                </c:pt>
                <c:pt idx="693">
                  <c:v>4.0052174602946025</c:v>
                </c:pt>
                <c:pt idx="694">
                  <c:v>3.7261623404900988</c:v>
                </c:pt>
                <c:pt idx="695">
                  <c:v>3.8617052873500879</c:v>
                </c:pt>
                <c:pt idx="696">
                  <c:v>3.3955103830997464</c:v>
                </c:pt>
                <c:pt idx="697">
                  <c:v>3.829852888482244</c:v>
                </c:pt>
                <c:pt idx="698">
                  <c:v>3.7015434635619027</c:v>
                </c:pt>
                <c:pt idx="699">
                  <c:v>3.9172021852311731</c:v>
                </c:pt>
                <c:pt idx="700">
                  <c:v>3.6701450627881007</c:v>
                </c:pt>
                <c:pt idx="701">
                  <c:v>4.0043822567412812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50-3D4B-94BA-692EA945F59A}"/>
            </c:ext>
          </c:extLst>
        </c:ser>
        <c:ser>
          <c:idx val="4"/>
          <c:order val="4"/>
          <c:tx>
            <c:strRef>
              <c:f>graphtime!$E$1</c:f>
              <c:strCache>
                <c:ptCount val="1"/>
                <c:pt idx="0">
                  <c:v>total_exact_time</c:v>
                </c:pt>
              </c:strCache>
            </c:strRef>
          </c:tx>
          <c:spPr>
            <a:solidFill>
              <a:srgbClr val="1C4587">
                <a:alpha val="30000"/>
              </a:srgbClr>
            </a:solidFill>
            <a:ln cmpd="sng">
              <a:solidFill>
                <a:srgbClr val="1C4587">
                  <a:alpha val="100000"/>
                </a:srgbClr>
              </a:solidFill>
            </a:ln>
          </c:spPr>
          <c:val>
            <c:numRef>
              <c:f>graphtime!$E$2:$E$1000</c:f>
              <c:numCache>
                <c:formatCode>General</c:formatCode>
                <c:ptCount val="999"/>
                <c:pt idx="0">
                  <c:v>8.9909454405931857E-2</c:v>
                </c:pt>
                <c:pt idx="1">
                  <c:v>0.11407366019856895</c:v>
                </c:pt>
                <c:pt idx="2">
                  <c:v>1.1263587270692696</c:v>
                </c:pt>
                <c:pt idx="3">
                  <c:v>1.2001936371412001</c:v>
                </c:pt>
                <c:pt idx="4">
                  <c:v>1.236033147117636</c:v>
                </c:pt>
                <c:pt idx="5">
                  <c:v>2.4744406401659931</c:v>
                </c:pt>
                <c:pt idx="6">
                  <c:v>2.2501320037546395</c:v>
                </c:pt>
                <c:pt idx="7">
                  <c:v>2.1928015413061757</c:v>
                </c:pt>
                <c:pt idx="8">
                  <c:v>2.2333870533870006</c:v>
                </c:pt>
                <c:pt idx="9">
                  <c:v>3.1721584859934926</c:v>
                </c:pt>
                <c:pt idx="10">
                  <c:v>2.8828966309222972</c:v>
                </c:pt>
                <c:pt idx="11">
                  <c:v>2.9252930068810055</c:v>
                </c:pt>
                <c:pt idx="12">
                  <c:v>2.9979282589333422</c:v>
                </c:pt>
                <c:pt idx="13">
                  <c:v>2.9878217252464601</c:v>
                </c:pt>
                <c:pt idx="14">
                  <c:v>2.302919403682167</c:v>
                </c:pt>
                <c:pt idx="15">
                  <c:v>3.7389254048220928</c:v>
                </c:pt>
                <c:pt idx="16">
                  <c:v>0.41793663708829126</c:v>
                </c:pt>
                <c:pt idx="17">
                  <c:v>0.27572413039921095</c:v>
                </c:pt>
                <c:pt idx="18">
                  <c:v>0.24412514432750865</c:v>
                </c:pt>
                <c:pt idx="19">
                  <c:v>0.20971483596675833</c:v>
                </c:pt>
                <c:pt idx="20">
                  <c:v>0.2692177243336108</c:v>
                </c:pt>
                <c:pt idx="21">
                  <c:v>0.38404994834359901</c:v>
                </c:pt>
                <c:pt idx="22">
                  <c:v>0.33254704711004607</c:v>
                </c:pt>
                <c:pt idx="23">
                  <c:v>0.25258819211357664</c:v>
                </c:pt>
                <c:pt idx="24">
                  <c:v>0.30277065724028246</c:v>
                </c:pt>
                <c:pt idx="25">
                  <c:v>0.31875876262441277</c:v>
                </c:pt>
                <c:pt idx="26">
                  <c:v>0.44855000202712486</c:v>
                </c:pt>
                <c:pt idx="27">
                  <c:v>0.46597389394386496</c:v>
                </c:pt>
                <c:pt idx="28">
                  <c:v>0.37365963262495766</c:v>
                </c:pt>
                <c:pt idx="29">
                  <c:v>0.35457773065090809</c:v>
                </c:pt>
                <c:pt idx="30">
                  <c:v>0.48545224733971393</c:v>
                </c:pt>
                <c:pt idx="31">
                  <c:v>0.26760624017703144</c:v>
                </c:pt>
                <c:pt idx="32">
                  <c:v>0.39040559077477999</c:v>
                </c:pt>
                <c:pt idx="33">
                  <c:v>0.30980391997148632</c:v>
                </c:pt>
                <c:pt idx="34">
                  <c:v>0.72090317081345745</c:v>
                </c:pt>
                <c:pt idx="35">
                  <c:v>0.48840968890319814</c:v>
                </c:pt>
                <c:pt idx="36">
                  <c:v>1.3220951928665501</c:v>
                </c:pt>
                <c:pt idx="37">
                  <c:v>0.90574192739160142</c:v>
                </c:pt>
                <c:pt idx="38">
                  <c:v>0.66558099101795309</c:v>
                </c:pt>
                <c:pt idx="39">
                  <c:v>0.81564414913196537</c:v>
                </c:pt>
                <c:pt idx="40">
                  <c:v>0.57806588383609159</c:v>
                </c:pt>
                <c:pt idx="41">
                  <c:v>0.86129539352669593</c:v>
                </c:pt>
                <c:pt idx="42">
                  <c:v>0.88935773688893149</c:v>
                </c:pt>
                <c:pt idx="43">
                  <c:v>0.85089118413592402</c:v>
                </c:pt>
                <c:pt idx="44">
                  <c:v>0.61647551388856547</c:v>
                </c:pt>
                <c:pt idx="45">
                  <c:v>0.8238653093245113</c:v>
                </c:pt>
                <c:pt idx="46">
                  <c:v>0.651278013998144</c:v>
                </c:pt>
                <c:pt idx="47">
                  <c:v>0.79692107533016876</c:v>
                </c:pt>
                <c:pt idx="48">
                  <c:v>0.77568324902604391</c:v>
                </c:pt>
                <c:pt idx="49">
                  <c:v>0.75534118381154758</c:v>
                </c:pt>
                <c:pt idx="50">
                  <c:v>0.81597600097198553</c:v>
                </c:pt>
                <c:pt idx="51">
                  <c:v>1.8688970666998306</c:v>
                </c:pt>
                <c:pt idx="52">
                  <c:v>1.4395379481654138</c:v>
                </c:pt>
                <c:pt idx="53">
                  <c:v>2.1692393340175284</c:v>
                </c:pt>
                <c:pt idx="54">
                  <c:v>1.3916583287224751</c:v>
                </c:pt>
                <c:pt idx="55">
                  <c:v>1.7347678361834102</c:v>
                </c:pt>
                <c:pt idx="56">
                  <c:v>1.666705136119899</c:v>
                </c:pt>
                <c:pt idx="57">
                  <c:v>1.9787737843301225</c:v>
                </c:pt>
                <c:pt idx="58">
                  <c:v>1.7856856682809013</c:v>
                </c:pt>
                <c:pt idx="59">
                  <c:v>1.4975377876036771</c:v>
                </c:pt>
                <c:pt idx="60">
                  <c:v>1.6910903371343617</c:v>
                </c:pt>
                <c:pt idx="61">
                  <c:v>1.652845621280872</c:v>
                </c:pt>
                <c:pt idx="62">
                  <c:v>1.4195923082995843</c:v>
                </c:pt>
                <c:pt idx="63">
                  <c:v>1.8491367539942372</c:v>
                </c:pt>
                <c:pt idx="64">
                  <c:v>1.7519485101577668</c:v>
                </c:pt>
                <c:pt idx="65">
                  <c:v>1.759546980712811</c:v>
                </c:pt>
                <c:pt idx="66">
                  <c:v>1.7924617313469506</c:v>
                </c:pt>
                <c:pt idx="67">
                  <c:v>2.570924531050077</c:v>
                </c:pt>
                <c:pt idx="68">
                  <c:v>2.4849600344718348</c:v>
                </c:pt>
                <c:pt idx="69">
                  <c:v>2.2804895904096778</c:v>
                </c:pt>
                <c:pt idx="70">
                  <c:v>1.9992045130053129</c:v>
                </c:pt>
                <c:pt idx="71">
                  <c:v>2.5444798084244376</c:v>
                </c:pt>
                <c:pt idx="72">
                  <c:v>2.7494572574136193</c:v>
                </c:pt>
                <c:pt idx="73">
                  <c:v>2.8584319195273484</c:v>
                </c:pt>
                <c:pt idx="74">
                  <c:v>2.7279517721495732</c:v>
                </c:pt>
                <c:pt idx="75">
                  <c:v>2.0618293072946989</c:v>
                </c:pt>
                <c:pt idx="76">
                  <c:v>2.7041316340605226</c:v>
                </c:pt>
                <c:pt idx="77">
                  <c:v>2.3825483227587343</c:v>
                </c:pt>
                <c:pt idx="78">
                  <c:v>2.2635484908438404</c:v>
                </c:pt>
                <c:pt idx="79">
                  <c:v>2.7223829791824352</c:v>
                </c:pt>
                <c:pt idx="80">
                  <c:v>2.6508289463146486</c:v>
                </c:pt>
                <c:pt idx="81">
                  <c:v>3.3112561499006272</c:v>
                </c:pt>
                <c:pt idx="82">
                  <c:v>3.2760399430650313</c:v>
                </c:pt>
                <c:pt idx="83">
                  <c:v>2.8291692815691287</c:v>
                </c:pt>
                <c:pt idx="84">
                  <c:v>2.6956471321807411</c:v>
                </c:pt>
                <c:pt idx="85">
                  <c:v>3.2579486652236125</c:v>
                </c:pt>
                <c:pt idx="86">
                  <c:v>3.1583015659570357</c:v>
                </c:pt>
                <c:pt idx="87">
                  <c:v>1.3715665524837344</c:v>
                </c:pt>
                <c:pt idx="88">
                  <c:v>1.2833464653560465</c:v>
                </c:pt>
                <c:pt idx="89">
                  <c:v>1.1658672683529434</c:v>
                </c:pt>
                <c:pt idx="90">
                  <c:v>2.3896373483050133</c:v>
                </c:pt>
                <c:pt idx="91">
                  <c:v>2.083266058419039</c:v>
                </c:pt>
                <c:pt idx="92">
                  <c:v>2.503001701915422</c:v>
                </c:pt>
                <c:pt idx="93">
                  <c:v>2.2618359971396869</c:v>
                </c:pt>
                <c:pt idx="94">
                  <c:v>1.8921001705327622</c:v>
                </c:pt>
                <c:pt idx="95">
                  <c:v>2.1687949646735696</c:v>
                </c:pt>
                <c:pt idx="96">
                  <c:v>3.1597022125633334</c:v>
                </c:pt>
                <c:pt idx="97">
                  <c:v>3.0116397898570546</c:v>
                </c:pt>
                <c:pt idx="98">
                  <c:v>3.1562031528033807</c:v>
                </c:pt>
                <c:pt idx="99">
                  <c:v>2.9882373529012076</c:v>
                </c:pt>
                <c:pt idx="100">
                  <c:v>2.4858193445900882</c:v>
                </c:pt>
                <c:pt idx="101">
                  <c:v>2.9225552351635922</c:v>
                </c:pt>
                <c:pt idx="102">
                  <c:v>2.9868142661791808</c:v>
                </c:pt>
                <c:pt idx="103">
                  <c:v>2.6017852131603996</c:v>
                </c:pt>
                <c:pt idx="104">
                  <c:v>3.7372492722855837</c:v>
                </c:pt>
                <c:pt idx="105">
                  <c:v>1.065729059462349</c:v>
                </c:pt>
                <c:pt idx="106">
                  <c:v>0.77305469336426258</c:v>
                </c:pt>
                <c:pt idx="107">
                  <c:v>1.1636979458925691</c:v>
                </c:pt>
                <c:pt idx="108">
                  <c:v>0.72115084374968408</c:v>
                </c:pt>
                <c:pt idx="109">
                  <c:v>0.70372115992701989</c:v>
                </c:pt>
                <c:pt idx="110">
                  <c:v>0.74795530690672984</c:v>
                </c:pt>
                <c:pt idx="111">
                  <c:v>0.78760214618233748</c:v>
                </c:pt>
                <c:pt idx="112">
                  <c:v>0.75936562165592869</c:v>
                </c:pt>
                <c:pt idx="113">
                  <c:v>0.86385796188397301</c:v>
                </c:pt>
                <c:pt idx="114">
                  <c:v>0.96642334594369317</c:v>
                </c:pt>
                <c:pt idx="115">
                  <c:v>0.86135516019326008</c:v>
                </c:pt>
                <c:pt idx="116">
                  <c:v>0.52179164963912339</c:v>
                </c:pt>
                <c:pt idx="117">
                  <c:v>0.79858159472854773</c:v>
                </c:pt>
                <c:pt idx="118">
                  <c:v>0.55388302664387434</c:v>
                </c:pt>
                <c:pt idx="119">
                  <c:v>0.8087509723495947</c:v>
                </c:pt>
                <c:pt idx="120">
                  <c:v>0.80147231352147108</c:v>
                </c:pt>
                <c:pt idx="121">
                  <c:v>1.0441476208787228</c:v>
                </c:pt>
                <c:pt idx="122">
                  <c:v>2.1388140748403659</c:v>
                </c:pt>
                <c:pt idx="123">
                  <c:v>1.6882417959777118</c:v>
                </c:pt>
                <c:pt idx="124">
                  <c:v>2.1870523327377867</c:v>
                </c:pt>
                <c:pt idx="125">
                  <c:v>1.7202585593729991</c:v>
                </c:pt>
                <c:pt idx="126">
                  <c:v>1.7237593257004455</c:v>
                </c:pt>
                <c:pt idx="127">
                  <c:v>2.104558804955142</c:v>
                </c:pt>
                <c:pt idx="128">
                  <c:v>2.0716868990154667</c:v>
                </c:pt>
                <c:pt idx="129">
                  <c:v>1.8154648436465348</c:v>
                </c:pt>
                <c:pt idx="130">
                  <c:v>1.6913556037452862</c:v>
                </c:pt>
                <c:pt idx="131">
                  <c:v>1.589323945450198</c:v>
                </c:pt>
                <c:pt idx="132">
                  <c:v>1.375169608851635</c:v>
                </c:pt>
                <c:pt idx="133">
                  <c:v>1.8475047953273163</c:v>
                </c:pt>
                <c:pt idx="134">
                  <c:v>1.8456498636990522</c:v>
                </c:pt>
                <c:pt idx="135">
                  <c:v>2.0152004289835435</c:v>
                </c:pt>
                <c:pt idx="136">
                  <c:v>2.8263858276474476</c:v>
                </c:pt>
                <c:pt idx="137">
                  <c:v>2.59711464206443</c:v>
                </c:pt>
                <c:pt idx="138">
                  <c:v>2.519444700852111</c:v>
                </c:pt>
                <c:pt idx="139">
                  <c:v>2.394060990350475</c:v>
                </c:pt>
                <c:pt idx="140">
                  <c:v>2.6102128649743706</c:v>
                </c:pt>
                <c:pt idx="141">
                  <c:v>2.9803193138751478</c:v>
                </c:pt>
                <c:pt idx="142">
                  <c:v>2.9614044813914862</c:v>
                </c:pt>
                <c:pt idx="143">
                  <c:v>2.7635350564185104</c:v>
                </c:pt>
                <c:pt idx="144">
                  <c:v>2.3193746764040162</c:v>
                </c:pt>
                <c:pt idx="145">
                  <c:v>2.2353693447890453</c:v>
                </c:pt>
                <c:pt idx="146">
                  <c:v>2.7852750107716129</c:v>
                </c:pt>
                <c:pt idx="147">
                  <c:v>2.8899697217909046</c:v>
                </c:pt>
                <c:pt idx="148">
                  <c:v>3.6060824160396709</c:v>
                </c:pt>
                <c:pt idx="149">
                  <c:v>3.4214275411752353</c:v>
                </c:pt>
                <c:pt idx="150">
                  <c:v>3.0650379091484998</c:v>
                </c:pt>
                <c:pt idx="151">
                  <c:v>3.024429016898134</c:v>
                </c:pt>
                <c:pt idx="152">
                  <c:v>3.3854486121720018</c:v>
                </c:pt>
                <c:pt idx="153">
                  <c:v>3.4293486345215785</c:v>
                </c:pt>
                <c:pt idx="154">
                  <c:v>2.3210575556031725</c:v>
                </c:pt>
                <c:pt idx="155">
                  <c:v>1.9814425691119624</c:v>
                </c:pt>
                <c:pt idx="156">
                  <c:v>2.0255925688516738</c:v>
                </c:pt>
                <c:pt idx="157">
                  <c:v>1.6603056550178776</c:v>
                </c:pt>
                <c:pt idx="158">
                  <c:v>3.1705093100353059</c:v>
                </c:pt>
                <c:pt idx="159">
                  <c:v>3.0172295626617389</c:v>
                </c:pt>
                <c:pt idx="160">
                  <c:v>2.9062391200245306</c:v>
                </c:pt>
                <c:pt idx="161">
                  <c:v>2.4532892841625653</c:v>
                </c:pt>
                <c:pt idx="162">
                  <c:v>2.8363108207742189</c:v>
                </c:pt>
                <c:pt idx="163">
                  <c:v>3.0710638065081644</c:v>
                </c:pt>
                <c:pt idx="164">
                  <c:v>2.633269442516287</c:v>
                </c:pt>
                <c:pt idx="165">
                  <c:v>3.7659330735003733</c:v>
                </c:pt>
                <c:pt idx="166">
                  <c:v>3.7629847121628437</c:v>
                </c:pt>
                <c:pt idx="167">
                  <c:v>1.8554343479074056</c:v>
                </c:pt>
                <c:pt idx="168">
                  <c:v>1.45851698504883</c:v>
                </c:pt>
                <c:pt idx="169">
                  <c:v>1.7348718061349173</c:v>
                </c:pt>
                <c:pt idx="170">
                  <c:v>1.5622571675525898</c:v>
                </c:pt>
                <c:pt idx="171">
                  <c:v>1.7597056077853375</c:v>
                </c:pt>
                <c:pt idx="172">
                  <c:v>2.0119593161081752</c:v>
                </c:pt>
                <c:pt idx="173">
                  <c:v>2.1800369418255281</c:v>
                </c:pt>
                <c:pt idx="174">
                  <c:v>2.0631268604585493</c:v>
                </c:pt>
                <c:pt idx="175">
                  <c:v>1.8314730355669422</c:v>
                </c:pt>
                <c:pt idx="176">
                  <c:v>1.461618563954016</c:v>
                </c:pt>
                <c:pt idx="177">
                  <c:v>1.6376798168272204</c:v>
                </c:pt>
                <c:pt idx="178">
                  <c:v>1.188394071261428</c:v>
                </c:pt>
                <c:pt idx="179">
                  <c:v>1.9903388547876015</c:v>
                </c:pt>
                <c:pt idx="180">
                  <c:v>1.8627036980629876</c:v>
                </c:pt>
                <c:pt idx="181">
                  <c:v>1.9923502398878326</c:v>
                </c:pt>
                <c:pt idx="182">
                  <c:v>1.9928229354009033</c:v>
                </c:pt>
                <c:pt idx="183">
                  <c:v>2.6565734607773956</c:v>
                </c:pt>
                <c:pt idx="184">
                  <c:v>2.3677341330297952</c:v>
                </c:pt>
                <c:pt idx="185">
                  <c:v>2.624836730672365</c:v>
                </c:pt>
                <c:pt idx="186">
                  <c:v>2.3677862743638656</c:v>
                </c:pt>
                <c:pt idx="187">
                  <c:v>2.611602240838427</c:v>
                </c:pt>
                <c:pt idx="188">
                  <c:v>2.911811488791721</c:v>
                </c:pt>
                <c:pt idx="189">
                  <c:v>2.8905959310285971</c:v>
                </c:pt>
                <c:pt idx="190">
                  <c:v>3.0114490609920965</c:v>
                </c:pt>
                <c:pt idx="191">
                  <c:v>2.8136543654612702</c:v>
                </c:pt>
                <c:pt idx="192">
                  <c:v>2.4049397125732339</c:v>
                </c:pt>
                <c:pt idx="193">
                  <c:v>2.196286748808876</c:v>
                </c:pt>
                <c:pt idx="194">
                  <c:v>3.1239045367727964</c:v>
                </c:pt>
                <c:pt idx="195">
                  <c:v>2.8432813764829259</c:v>
                </c:pt>
                <c:pt idx="196">
                  <c:v>3.5782560826703507</c:v>
                </c:pt>
                <c:pt idx="197">
                  <c:v>3.3285699988086703</c:v>
                </c:pt>
                <c:pt idx="198">
                  <c:v>3.0984007297805163</c:v>
                </c:pt>
                <c:pt idx="199">
                  <c:v>3.4732027974286317</c:v>
                </c:pt>
                <c:pt idx="200">
                  <c:v>2.8376187367936136</c:v>
                </c:pt>
                <c:pt idx="201">
                  <c:v>2.8245052688397498</c:v>
                </c:pt>
                <c:pt idx="202">
                  <c:v>2.8384183592007952</c:v>
                </c:pt>
                <c:pt idx="203">
                  <c:v>2.4967760964486652</c:v>
                </c:pt>
                <c:pt idx="204">
                  <c:v>3.7418604727560485</c:v>
                </c:pt>
                <c:pt idx="205">
                  <c:v>2.6418437975016031</c:v>
                </c:pt>
                <c:pt idx="206">
                  <c:v>2.3574316883469915</c:v>
                </c:pt>
                <c:pt idx="207">
                  <c:v>2.3996494972088542</c:v>
                </c:pt>
                <c:pt idx="208">
                  <c:v>2.5036191096573202</c:v>
                </c:pt>
                <c:pt idx="209">
                  <c:v>1.9984685865520075</c:v>
                </c:pt>
                <c:pt idx="210">
                  <c:v>2.6654599720238856</c:v>
                </c:pt>
                <c:pt idx="211">
                  <c:v>2.8225583765358517</c:v>
                </c:pt>
                <c:pt idx="212">
                  <c:v>2.7371226408831797</c:v>
                </c:pt>
                <c:pt idx="213">
                  <c:v>2.4941100487102439</c:v>
                </c:pt>
                <c:pt idx="214">
                  <c:v>2.8556554191679204</c:v>
                </c:pt>
                <c:pt idx="215">
                  <c:v>2.5870461092545565</c:v>
                </c:pt>
                <c:pt idx="216">
                  <c:v>1.7206057767261207</c:v>
                </c:pt>
                <c:pt idx="217">
                  <c:v>2.6372885465371358</c:v>
                </c:pt>
                <c:pt idx="218">
                  <c:v>1.8760272174079264</c:v>
                </c:pt>
                <c:pt idx="219">
                  <c:v>3.1814333860054602</c:v>
                </c:pt>
                <c:pt idx="220">
                  <c:v>2.68973672587479</c:v>
                </c:pt>
                <c:pt idx="221">
                  <c:v>3.5964963716065088</c:v>
                </c:pt>
                <c:pt idx="222">
                  <c:v>3.3180332673808937</c:v>
                </c:pt>
                <c:pt idx="223">
                  <c:v>3.1353126951334742</c:v>
                </c:pt>
                <c:pt idx="224">
                  <c:v>3.392085873857285</c:v>
                </c:pt>
                <c:pt idx="225">
                  <c:v>3.2596992147720298</c:v>
                </c:pt>
                <c:pt idx="226">
                  <c:v>3.5585133340804553</c:v>
                </c:pt>
                <c:pt idx="227">
                  <c:v>3.4257312711441017</c:v>
                </c:pt>
                <c:pt idx="228">
                  <c:v>3.1886807668882238</c:v>
                </c:pt>
                <c:pt idx="229">
                  <c:v>2.66245088474381</c:v>
                </c:pt>
                <c:pt idx="230">
                  <c:v>3.2941590250427626</c:v>
                </c:pt>
                <c:pt idx="231">
                  <c:v>3.080659670946631</c:v>
                </c:pt>
                <c:pt idx="232">
                  <c:v>3.4953304677071997</c:v>
                </c:pt>
                <c:pt idx="233">
                  <c:v>3.7257177075399155</c:v>
                </c:pt>
                <c:pt idx="234">
                  <c:v>0.5422027824340282</c:v>
                </c:pt>
                <c:pt idx="235">
                  <c:v>0.61552922363713281</c:v>
                </c:pt>
                <c:pt idx="236">
                  <c:v>2.2080461191663798</c:v>
                </c:pt>
                <c:pt idx="237">
                  <c:v>1.9323976550034643</c:v>
                </c:pt>
                <c:pt idx="238">
                  <c:v>2.2749656245392864</c:v>
                </c:pt>
                <c:pt idx="239">
                  <c:v>3.4002436400435818</c:v>
                </c:pt>
                <c:pt idx="240">
                  <c:v>3.3214494980491529</c:v>
                </c:pt>
                <c:pt idx="241">
                  <c:v>2.9725753939502311</c:v>
                </c:pt>
                <c:pt idx="242">
                  <c:v>3.283163001537361</c:v>
                </c:pt>
                <c:pt idx="243">
                  <c:v>4.1166712233739204</c:v>
                </c:pt>
                <c:pt idx="244">
                  <c:v>4.1083635238849245</c:v>
                </c:pt>
                <c:pt idx="245">
                  <c:v>3.8207906095252899</c:v>
                </c:pt>
                <c:pt idx="246">
                  <c:v>4.0794711855742545</c:v>
                </c:pt>
                <c:pt idx="247">
                  <c:v>3.9896742045019224</c:v>
                </c:pt>
                <c:pt idx="248">
                  <c:v>3.7241553156659966</c:v>
                </c:pt>
                <c:pt idx="249">
                  <c:v>4.7334545946321525</c:v>
                </c:pt>
                <c:pt idx="250">
                  <c:v>0.17464119266044847</c:v>
                </c:pt>
                <c:pt idx="251">
                  <c:v>0.1917303933628563</c:v>
                </c:pt>
                <c:pt idx="252">
                  <c:v>0.42845877351558009</c:v>
                </c:pt>
                <c:pt idx="253">
                  <c:v>0.4391747398434685</c:v>
                </c:pt>
                <c:pt idx="254">
                  <c:v>0.18184358794477254</c:v>
                </c:pt>
                <c:pt idx="255">
                  <c:v>0.2268575702887235</c:v>
                </c:pt>
                <c:pt idx="256">
                  <c:v>0.19395897801918691</c:v>
                </c:pt>
                <c:pt idx="257">
                  <c:v>0.38987455839098545</c:v>
                </c:pt>
                <c:pt idx="258">
                  <c:v>0.21537315278342195</c:v>
                </c:pt>
                <c:pt idx="259">
                  <c:v>0.19948091486235589</c:v>
                </c:pt>
                <c:pt idx="260">
                  <c:v>0.17840134153375525</c:v>
                </c:pt>
                <c:pt idx="261">
                  <c:v>0.18469143081759881</c:v>
                </c:pt>
                <c:pt idx="262">
                  <c:v>0.16908635748702275</c:v>
                </c:pt>
                <c:pt idx="263">
                  <c:v>0.54555450723406496</c:v>
                </c:pt>
                <c:pt idx="264">
                  <c:v>0.17114115102838207</c:v>
                </c:pt>
                <c:pt idx="265">
                  <c:v>0.18808437371493819</c:v>
                </c:pt>
                <c:pt idx="266">
                  <c:v>0.2314695904306813</c:v>
                </c:pt>
                <c:pt idx="267">
                  <c:v>0.16761267272753014</c:v>
                </c:pt>
                <c:pt idx="268">
                  <c:v>1.7207710208046318</c:v>
                </c:pt>
                <c:pt idx="269">
                  <c:v>1.6433243432481903</c:v>
                </c:pt>
                <c:pt idx="270">
                  <c:v>2.2596727040637634</c:v>
                </c:pt>
                <c:pt idx="271">
                  <c:v>1.8617374722154429</c:v>
                </c:pt>
                <c:pt idx="272">
                  <c:v>1.563623453690032</c:v>
                </c:pt>
                <c:pt idx="273">
                  <c:v>1.6351418063951284</c:v>
                </c:pt>
                <c:pt idx="274">
                  <c:v>1.776577704794176</c:v>
                </c:pt>
                <c:pt idx="275">
                  <c:v>1.9887773868429659</c:v>
                </c:pt>
                <c:pt idx="276">
                  <c:v>1.8111995273844959</c:v>
                </c:pt>
                <c:pt idx="277">
                  <c:v>1.7142039805827272</c:v>
                </c:pt>
                <c:pt idx="278">
                  <c:v>1.7771512226019639</c:v>
                </c:pt>
                <c:pt idx="279">
                  <c:v>1.7481027107819944</c:v>
                </c:pt>
                <c:pt idx="280">
                  <c:v>2.0926715294453286</c:v>
                </c:pt>
                <c:pt idx="281">
                  <c:v>1.8476713512188698</c:v>
                </c:pt>
                <c:pt idx="282">
                  <c:v>1.8147202664596511</c:v>
                </c:pt>
                <c:pt idx="283">
                  <c:v>1.7442460298298144</c:v>
                </c:pt>
                <c:pt idx="284">
                  <c:v>1.769665283053242</c:v>
                </c:pt>
                <c:pt idx="285">
                  <c:v>2.8615409819775519</c:v>
                </c:pt>
                <c:pt idx="286">
                  <c:v>2.735272257694942</c:v>
                </c:pt>
                <c:pt idx="287">
                  <c:v>3.247876336720751</c:v>
                </c:pt>
                <c:pt idx="288">
                  <c:v>2.8304962830759957</c:v>
                </c:pt>
                <c:pt idx="289">
                  <c:v>2.7763480854386127</c:v>
                </c:pt>
                <c:pt idx="290">
                  <c:v>2.85686719024639</c:v>
                </c:pt>
                <c:pt idx="291">
                  <c:v>3.1109104311028153</c:v>
                </c:pt>
                <c:pt idx="292">
                  <c:v>3.0312876529844512</c:v>
                </c:pt>
                <c:pt idx="293">
                  <c:v>3.0421134104473038</c:v>
                </c:pt>
                <c:pt idx="294">
                  <c:v>2.8657871693643413</c:v>
                </c:pt>
                <c:pt idx="295">
                  <c:v>2.8084911814358491</c:v>
                </c:pt>
                <c:pt idx="296">
                  <c:v>3.1754639745541766</c:v>
                </c:pt>
                <c:pt idx="297">
                  <c:v>2.9964433704738886</c:v>
                </c:pt>
                <c:pt idx="298">
                  <c:v>2.8917810179750547</c:v>
                </c:pt>
                <c:pt idx="299">
                  <c:v>2.8227772339726078</c:v>
                </c:pt>
                <c:pt idx="300">
                  <c:v>2.8800426070710712</c:v>
                </c:pt>
                <c:pt idx="301">
                  <c:v>3.7183909836411662</c:v>
                </c:pt>
                <c:pt idx="302">
                  <c:v>3.6816412373816778</c:v>
                </c:pt>
                <c:pt idx="303">
                  <c:v>4.0006518209167607</c:v>
                </c:pt>
                <c:pt idx="304">
                  <c:v>3.658499822505803</c:v>
                </c:pt>
                <c:pt idx="305">
                  <c:v>3.6482916896212831</c:v>
                </c:pt>
                <c:pt idx="306">
                  <c:v>3.946791461927377</c:v>
                </c:pt>
                <c:pt idx="307">
                  <c:v>4.0958479947001125</c:v>
                </c:pt>
                <c:pt idx="308">
                  <c:v>4.0033862476132898</c:v>
                </c:pt>
                <c:pt idx="309">
                  <c:v>3.8329281238245301</c:v>
                </c:pt>
                <c:pt idx="310">
                  <c:v>3.8087875330363583</c:v>
                </c:pt>
                <c:pt idx="311">
                  <c:v>3.6273945354700756</c:v>
                </c:pt>
                <c:pt idx="312">
                  <c:v>4.0202575037050456</c:v>
                </c:pt>
                <c:pt idx="313">
                  <c:v>3.7790888926097765</c:v>
                </c:pt>
                <c:pt idx="314">
                  <c:v>3.7211888077804853</c:v>
                </c:pt>
                <c:pt idx="315">
                  <c:v>4.443515681143281</c:v>
                </c:pt>
                <c:pt idx="316">
                  <c:v>4.4805824331002384</c:v>
                </c:pt>
                <c:pt idx="317">
                  <c:v>4.6689589469914381</c:v>
                </c:pt>
                <c:pt idx="318">
                  <c:v>4.3716169437428345</c:v>
                </c:pt>
                <c:pt idx="319">
                  <c:v>4.4202600113084545</c:v>
                </c:pt>
                <c:pt idx="320">
                  <c:v>4.5650456988596613</c:v>
                </c:pt>
                <c:pt idx="321">
                  <c:v>2.2727023746276762</c:v>
                </c:pt>
                <c:pt idx="322">
                  <c:v>2.02592818108121</c:v>
                </c:pt>
                <c:pt idx="323">
                  <c:v>2.1054659015063595</c:v>
                </c:pt>
                <c:pt idx="324">
                  <c:v>3.323056881679932</c:v>
                </c:pt>
                <c:pt idx="325">
                  <c:v>3.0778782193608452</c:v>
                </c:pt>
                <c:pt idx="326">
                  <c:v>3.3935523912431464</c:v>
                </c:pt>
                <c:pt idx="327">
                  <c:v>3.0647581476965775</c:v>
                </c:pt>
                <c:pt idx="328">
                  <c:v>3.2665068665633763</c:v>
                </c:pt>
                <c:pt idx="329">
                  <c:v>3.1156504449630873</c:v>
                </c:pt>
                <c:pt idx="330">
                  <c:v>4.1233588454188892</c:v>
                </c:pt>
                <c:pt idx="331">
                  <c:v>4.0322659043546585</c:v>
                </c:pt>
                <c:pt idx="332">
                  <c:v>4.2041412625641845</c:v>
                </c:pt>
                <c:pt idx="333">
                  <c:v>3.9169913514485204</c:v>
                </c:pt>
                <c:pt idx="334">
                  <c:v>4.012969432491964</c:v>
                </c:pt>
                <c:pt idx="335">
                  <c:v>4.0747465019042588</c:v>
                </c:pt>
                <c:pt idx="336">
                  <c:v>3.9963259628071537</c:v>
                </c:pt>
                <c:pt idx="337">
                  <c:v>3.9339871473700865</c:v>
                </c:pt>
                <c:pt idx="338">
                  <c:v>4.7730480434079618</c:v>
                </c:pt>
                <c:pt idx="339">
                  <c:v>2.0362814805231357</c:v>
                </c:pt>
                <c:pt idx="340">
                  <c:v>1.6944296909570831</c:v>
                </c:pt>
                <c:pt idx="341">
                  <c:v>2.1737979303704602</c:v>
                </c:pt>
                <c:pt idx="342">
                  <c:v>1.6970374433691429</c:v>
                </c:pt>
                <c:pt idx="343">
                  <c:v>1.5611491056953546</c:v>
                </c:pt>
                <c:pt idx="344">
                  <c:v>1.6038802083662904</c:v>
                </c:pt>
                <c:pt idx="345">
                  <c:v>1.7978143935886046</c:v>
                </c:pt>
                <c:pt idx="346">
                  <c:v>1.7917608040129049</c:v>
                </c:pt>
                <c:pt idx="347">
                  <c:v>2.044159390217402</c:v>
                </c:pt>
                <c:pt idx="348">
                  <c:v>1.8314218170650221</c:v>
                </c:pt>
                <c:pt idx="349">
                  <c:v>1.7095328331405082</c:v>
                </c:pt>
                <c:pt idx="350">
                  <c:v>1.730410786974464</c:v>
                </c:pt>
                <c:pt idx="351">
                  <c:v>1.7395327894173305</c:v>
                </c:pt>
                <c:pt idx="352">
                  <c:v>1.9246462132539535</c:v>
                </c:pt>
                <c:pt idx="353">
                  <c:v>1.8501129937066687</c:v>
                </c:pt>
                <c:pt idx="354">
                  <c:v>1.8135543029875572</c:v>
                </c:pt>
                <c:pt idx="355">
                  <c:v>1.8884153983775072</c:v>
                </c:pt>
                <c:pt idx="356">
                  <c:v>3.1209356925611309</c:v>
                </c:pt>
                <c:pt idx="357">
                  <c:v>2.824269706755274</c:v>
                </c:pt>
                <c:pt idx="358">
                  <c:v>3.2620027994349781</c:v>
                </c:pt>
                <c:pt idx="359">
                  <c:v>2.9109603996053077</c:v>
                </c:pt>
                <c:pt idx="360">
                  <c:v>2.800669660631768</c:v>
                </c:pt>
                <c:pt idx="361">
                  <c:v>3.0925395924487322</c:v>
                </c:pt>
                <c:pt idx="362">
                  <c:v>3.1713033588599409</c:v>
                </c:pt>
                <c:pt idx="363">
                  <c:v>3.0442096024791843</c:v>
                </c:pt>
                <c:pt idx="364">
                  <c:v>2.9557733503130952</c:v>
                </c:pt>
                <c:pt idx="365">
                  <c:v>2.8109546210062839</c:v>
                </c:pt>
                <c:pt idx="366">
                  <c:v>3.0200097265403092</c:v>
                </c:pt>
                <c:pt idx="367">
                  <c:v>2.992139348962858</c:v>
                </c:pt>
                <c:pt idx="368">
                  <c:v>2.8881851121805862</c:v>
                </c:pt>
                <c:pt idx="369">
                  <c:v>2.9925035909782429</c:v>
                </c:pt>
                <c:pt idx="370">
                  <c:v>3.9671743597415912</c:v>
                </c:pt>
                <c:pt idx="371">
                  <c:v>3.7168313046964108</c:v>
                </c:pt>
                <c:pt idx="372">
                  <c:v>4.058156100979315</c:v>
                </c:pt>
                <c:pt idx="373">
                  <c:v>3.728218520846414</c:v>
                </c:pt>
                <c:pt idx="374">
                  <c:v>3.7218676383722991</c:v>
                </c:pt>
                <c:pt idx="375">
                  <c:v>4.132374525380639</c:v>
                </c:pt>
                <c:pt idx="376">
                  <c:v>4.0645899422866787</c:v>
                </c:pt>
                <c:pt idx="377">
                  <c:v>4.0628576643076766</c:v>
                </c:pt>
                <c:pt idx="378">
                  <c:v>3.6508089554038747</c:v>
                </c:pt>
                <c:pt idx="379">
                  <c:v>3.9918275999413528</c:v>
                </c:pt>
                <c:pt idx="380">
                  <c:v>3.7920788848480913</c:v>
                </c:pt>
                <c:pt idx="381">
                  <c:v>3.8512134489122825</c:v>
                </c:pt>
                <c:pt idx="382">
                  <c:v>4.713930024915653</c:v>
                </c:pt>
                <c:pt idx="383">
                  <c:v>4.5284948572026726</c:v>
                </c:pt>
                <c:pt idx="384">
                  <c:v>4.7498360372968857</c:v>
                </c:pt>
                <c:pt idx="385">
                  <c:v>4.455786105932348</c:v>
                </c:pt>
                <c:pt idx="386">
                  <c:v>4.4896025775855204</c:v>
                </c:pt>
                <c:pt idx="387">
                  <c:v>4.7002360018747655</c:v>
                </c:pt>
                <c:pt idx="388">
                  <c:v>3.2757900816942929</c:v>
                </c:pt>
                <c:pt idx="389">
                  <c:v>3.0777616808693185</c:v>
                </c:pt>
                <c:pt idx="390">
                  <c:v>2.8926782806917348</c:v>
                </c:pt>
                <c:pt idx="391">
                  <c:v>3.2552018058583516</c:v>
                </c:pt>
                <c:pt idx="392">
                  <c:v>4.1343498025470415</c:v>
                </c:pt>
                <c:pt idx="393">
                  <c:v>4.0504231448694803</c:v>
                </c:pt>
                <c:pt idx="394">
                  <c:v>3.8562419539947741</c:v>
                </c:pt>
                <c:pt idx="395">
                  <c:v>4.0550167148163805</c:v>
                </c:pt>
                <c:pt idx="396">
                  <c:v>4.0627682209024556</c:v>
                </c:pt>
                <c:pt idx="397">
                  <c:v>4.1127424728502939</c:v>
                </c:pt>
                <c:pt idx="398">
                  <c:v>3.9255729508828079</c:v>
                </c:pt>
                <c:pt idx="399">
                  <c:v>4.7824941878569422</c:v>
                </c:pt>
                <c:pt idx="400">
                  <c:v>4.7836749001763446</c:v>
                </c:pt>
                <c:pt idx="401">
                  <c:v>2.8633633130648266</c:v>
                </c:pt>
                <c:pt idx="402">
                  <c:v>2.6828514715933172</c:v>
                </c:pt>
                <c:pt idx="403">
                  <c:v>3.0046411719452366</c:v>
                </c:pt>
                <c:pt idx="404">
                  <c:v>2.9589578661198739</c:v>
                </c:pt>
                <c:pt idx="405">
                  <c:v>2.7823285521020855</c:v>
                </c:pt>
                <c:pt idx="406">
                  <c:v>3.0109178775354208</c:v>
                </c:pt>
                <c:pt idx="407">
                  <c:v>3.2297389084972425</c:v>
                </c:pt>
                <c:pt idx="408">
                  <c:v>3.0648842122618953</c:v>
                </c:pt>
                <c:pt idx="409">
                  <c:v>2.930534904810072</c:v>
                </c:pt>
                <c:pt idx="410">
                  <c:v>2.9193103516447523</c:v>
                </c:pt>
                <c:pt idx="411">
                  <c:v>2.8146044764242113</c:v>
                </c:pt>
                <c:pt idx="412">
                  <c:v>2.8958113583469767</c:v>
                </c:pt>
                <c:pt idx="413">
                  <c:v>3.186966783256405</c:v>
                </c:pt>
                <c:pt idx="414">
                  <c:v>2.8750039327361825</c:v>
                </c:pt>
                <c:pt idx="415">
                  <c:v>3.0453081107931386</c:v>
                </c:pt>
                <c:pt idx="416">
                  <c:v>3.0027447353689762</c:v>
                </c:pt>
                <c:pt idx="417">
                  <c:v>3.7729191108053772</c:v>
                </c:pt>
                <c:pt idx="418">
                  <c:v>3.6241158767600501</c:v>
                </c:pt>
                <c:pt idx="419">
                  <c:v>4.1468703856537088</c:v>
                </c:pt>
                <c:pt idx="420">
                  <c:v>3.8230734630825096</c:v>
                </c:pt>
                <c:pt idx="421">
                  <c:v>3.7164647034154652</c:v>
                </c:pt>
                <c:pt idx="422">
                  <c:v>4.0251212508766248</c:v>
                </c:pt>
                <c:pt idx="423">
                  <c:v>4.061486030055848</c:v>
                </c:pt>
                <c:pt idx="424">
                  <c:v>4.0574707035002735</c:v>
                </c:pt>
                <c:pt idx="425">
                  <c:v>3.999072616988284</c:v>
                </c:pt>
                <c:pt idx="426">
                  <c:v>3.6471330810953271</c:v>
                </c:pt>
                <c:pt idx="427">
                  <c:v>3.900626862866476</c:v>
                </c:pt>
                <c:pt idx="428">
                  <c:v>4.0562723782581953</c:v>
                </c:pt>
                <c:pt idx="429">
                  <c:v>3.8634160746988302</c:v>
                </c:pt>
                <c:pt idx="430">
                  <c:v>4.6431797946170894</c:v>
                </c:pt>
                <c:pt idx="431">
                  <c:v>4.4719213628688568</c:v>
                </c:pt>
                <c:pt idx="432">
                  <c:v>4.5892927955217937</c:v>
                </c:pt>
                <c:pt idx="433">
                  <c:v>4.5249373090905589</c:v>
                </c:pt>
                <c:pt idx="434">
                  <c:v>3.759208911788102</c:v>
                </c:pt>
                <c:pt idx="435">
                  <c:v>3.9944016712635841</c:v>
                </c:pt>
                <c:pt idx="436">
                  <c:v>3.8956381479033575</c:v>
                </c:pt>
                <c:pt idx="437">
                  <c:v>3.9075212104849002</c:v>
                </c:pt>
                <c:pt idx="438">
                  <c:v>4.7837755506762418</c:v>
                </c:pt>
                <c:pt idx="439">
                  <c:v>3.7428619949595894</c:v>
                </c:pt>
                <c:pt idx="440">
                  <c:v>3.6062111614249939</c:v>
                </c:pt>
                <c:pt idx="441">
                  <c:v>4.1180476238227515</c:v>
                </c:pt>
                <c:pt idx="442">
                  <c:v>3.816789292341936</c:v>
                </c:pt>
                <c:pt idx="443">
                  <c:v>3.7419242862884379</c:v>
                </c:pt>
                <c:pt idx="444">
                  <c:v>3.7180143912757289</c:v>
                </c:pt>
                <c:pt idx="445">
                  <c:v>3.9390040336130725</c:v>
                </c:pt>
                <c:pt idx="446">
                  <c:v>3.9087794886399529</c:v>
                </c:pt>
                <c:pt idx="447">
                  <c:v>3.764827832394527</c:v>
                </c:pt>
                <c:pt idx="448">
                  <c:v>4.0058861395459839</c:v>
                </c:pt>
                <c:pt idx="449">
                  <c:v>3.9303087769863945</c:v>
                </c:pt>
                <c:pt idx="450">
                  <c:v>3.8177585446687781</c:v>
                </c:pt>
                <c:pt idx="451">
                  <c:v>3.7825285198588658</c:v>
                </c:pt>
                <c:pt idx="452">
                  <c:v>3.8200691141959235</c:v>
                </c:pt>
                <c:pt idx="453">
                  <c:v>4.0785590356090413</c:v>
                </c:pt>
                <c:pt idx="454">
                  <c:v>3.6932417451172799</c:v>
                </c:pt>
                <c:pt idx="455">
                  <c:v>4.6180709305831282</c:v>
                </c:pt>
                <c:pt idx="456">
                  <c:v>4.4786651745568644</c:v>
                </c:pt>
                <c:pt idx="457">
                  <c:v>4.8383533975432371</c:v>
                </c:pt>
                <c:pt idx="458">
                  <c:v>4.6290418121160721</c:v>
                </c:pt>
                <c:pt idx="459">
                  <c:v>4.8145973350280213</c:v>
                </c:pt>
                <c:pt idx="460">
                  <c:v>4.59402088726935</c:v>
                </c:pt>
                <c:pt idx="461">
                  <c:v>4.567875587336574</c:v>
                </c:pt>
                <c:pt idx="462">
                  <c:v>4.3885071055989551</c:v>
                </c:pt>
                <c:pt idx="463">
                  <c:v>4.5263804041639437</c:v>
                </c:pt>
                <c:pt idx="464">
                  <c:v>4.5953862895230584</c:v>
                </c:pt>
                <c:pt idx="465">
                  <c:v>4.7653418171026933</c:v>
                </c:pt>
                <c:pt idx="466">
                  <c:v>4.5450731530895769</c:v>
                </c:pt>
                <c:pt idx="467">
                  <c:v>4.7839355287425285</c:v>
                </c:pt>
                <c:pt idx="468">
                  <c:v>5.0122295963125202E-2</c:v>
                </c:pt>
                <c:pt idx="469">
                  <c:v>5.5024091587952087E-2</c:v>
                </c:pt>
                <c:pt idx="470">
                  <c:v>1.5361921678126427</c:v>
                </c:pt>
                <c:pt idx="471">
                  <c:v>1.2745503849095303</c:v>
                </c:pt>
                <c:pt idx="472">
                  <c:v>1.5204311260215413</c:v>
                </c:pt>
                <c:pt idx="473">
                  <c:v>2.585715591213317</c:v>
                </c:pt>
                <c:pt idx="474">
                  <c:v>2.6688106837557597</c:v>
                </c:pt>
                <c:pt idx="475">
                  <c:v>2.2752998346414968</c:v>
                </c:pt>
                <c:pt idx="476">
                  <c:v>2.5112856278791718</c:v>
                </c:pt>
                <c:pt idx="477">
                  <c:v>3.2830656958068749</c:v>
                </c:pt>
                <c:pt idx="478">
                  <c:v>3.2949905901206722</c:v>
                </c:pt>
                <c:pt idx="479">
                  <c:v>3.1112292344012844</c:v>
                </c:pt>
                <c:pt idx="480">
                  <c:v>3.336533177442234</c:v>
                </c:pt>
                <c:pt idx="481">
                  <c:v>3.1880370550068946</c:v>
                </c:pt>
                <c:pt idx="482">
                  <c:v>2.8714672677171813</c:v>
                </c:pt>
                <c:pt idx="483">
                  <c:v>3.90066868106392</c:v>
                </c:pt>
                <c:pt idx="484">
                  <c:v>0.23882418684426859</c:v>
                </c:pt>
                <c:pt idx="485">
                  <c:v>0.22475374025976358</c:v>
                </c:pt>
                <c:pt idx="486">
                  <c:v>0.13371266091580511</c:v>
                </c:pt>
                <c:pt idx="487">
                  <c:v>0.13667713987954411</c:v>
                </c:pt>
                <c:pt idx="488">
                  <c:v>0.22767829327708025</c:v>
                </c:pt>
                <c:pt idx="489">
                  <c:v>0.32882715728491674</c:v>
                </c:pt>
                <c:pt idx="490">
                  <c:v>0.25570701687732372</c:v>
                </c:pt>
                <c:pt idx="491">
                  <c:v>0.11463877996848799</c:v>
                </c:pt>
                <c:pt idx="492">
                  <c:v>0.22475374025976358</c:v>
                </c:pt>
                <c:pt idx="493">
                  <c:v>0.27901425584626094</c:v>
                </c:pt>
                <c:pt idx="494">
                  <c:v>0.27572413039921095</c:v>
                </c:pt>
                <c:pt idx="495">
                  <c:v>0.28149831113272572</c:v>
                </c:pt>
                <c:pt idx="496">
                  <c:v>0.33161408330999981</c:v>
                </c:pt>
                <c:pt idx="497">
                  <c:v>4.4793462458058257E-2</c:v>
                </c:pt>
                <c:pt idx="498">
                  <c:v>0.28988263488818372</c:v>
                </c:pt>
                <c:pt idx="499">
                  <c:v>0.22112552799726048</c:v>
                </c:pt>
                <c:pt idx="500">
                  <c:v>0.2831622767004755</c:v>
                </c:pt>
                <c:pt idx="501">
                  <c:v>0.25492520841794247</c:v>
                </c:pt>
                <c:pt idx="502">
                  <c:v>1.0170750963760591</c:v>
                </c:pt>
                <c:pt idx="503">
                  <c:v>0.82288694783415062</c:v>
                </c:pt>
                <c:pt idx="504">
                  <c:v>1.599337132992489</c:v>
                </c:pt>
                <c:pt idx="505">
                  <c:v>1.0562185812723062</c:v>
                </c:pt>
                <c:pt idx="506">
                  <c:v>0.79295170825013206</c:v>
                </c:pt>
                <c:pt idx="507">
                  <c:v>0.85775452205944225</c:v>
                </c:pt>
                <c:pt idx="508">
                  <c:v>1.002986340856785</c:v>
                </c:pt>
                <c:pt idx="509">
                  <c:v>1.2254902000712842</c:v>
                </c:pt>
                <c:pt idx="510">
                  <c:v>1.0234582376436752</c:v>
                </c:pt>
                <c:pt idx="511">
                  <c:v>0.9344479489489701</c:v>
                </c:pt>
                <c:pt idx="512">
                  <c:v>0.9968180218795154</c:v>
                </c:pt>
                <c:pt idx="513">
                  <c:v>0.91965328231036414</c:v>
                </c:pt>
                <c:pt idx="514">
                  <c:v>1.1997825939689855</c:v>
                </c:pt>
                <c:pt idx="515">
                  <c:v>0.98276857725101197</c:v>
                </c:pt>
                <c:pt idx="516">
                  <c:v>1.0217679726824065</c:v>
                </c:pt>
                <c:pt idx="517">
                  <c:v>0.96279536985723324</c:v>
                </c:pt>
                <c:pt idx="518">
                  <c:v>0.96834283095894547</c:v>
                </c:pt>
                <c:pt idx="519">
                  <c:v>2.1337304666245487</c:v>
                </c:pt>
                <c:pt idx="520">
                  <c:v>1.7153179540986763</c:v>
                </c:pt>
                <c:pt idx="521">
                  <c:v>2.5928449011769268</c:v>
                </c:pt>
                <c:pt idx="522">
                  <c:v>1.9778195966177756</c:v>
                </c:pt>
                <c:pt idx="523">
                  <c:v>1.8445144526421382</c:v>
                </c:pt>
                <c:pt idx="524">
                  <c:v>2.0167409272862598</c:v>
                </c:pt>
                <c:pt idx="525">
                  <c:v>2.3171834154315643</c:v>
                </c:pt>
                <c:pt idx="526">
                  <c:v>2.1424989646110806</c:v>
                </c:pt>
                <c:pt idx="527">
                  <c:v>2.2416286501042815</c:v>
                </c:pt>
                <c:pt idx="528">
                  <c:v>1.9566053875510288</c:v>
                </c:pt>
                <c:pt idx="529">
                  <c:v>1.8880052917287589</c:v>
                </c:pt>
                <c:pt idx="530">
                  <c:v>2.2816332341535874</c:v>
                </c:pt>
                <c:pt idx="531">
                  <c:v>2.1011247350512248</c:v>
                </c:pt>
                <c:pt idx="532">
                  <c:v>2.0097100353331978</c:v>
                </c:pt>
                <c:pt idx="533">
                  <c:v>1.9947349655657907</c:v>
                </c:pt>
                <c:pt idx="534">
                  <c:v>1.9657330689597035</c:v>
                </c:pt>
                <c:pt idx="535">
                  <c:v>2.9959443548436964</c:v>
                </c:pt>
                <c:pt idx="536">
                  <c:v>2.6966236990294741</c:v>
                </c:pt>
                <c:pt idx="537">
                  <c:v>3.3653089887310972</c:v>
                </c:pt>
                <c:pt idx="538">
                  <c:v>2.6842338682466038</c:v>
                </c:pt>
                <c:pt idx="539">
                  <c:v>2.6668145847452909</c:v>
                </c:pt>
                <c:pt idx="540">
                  <c:v>3.0887493402139414</c:v>
                </c:pt>
                <c:pt idx="541">
                  <c:v>3.301811239774501</c:v>
                </c:pt>
                <c:pt idx="542">
                  <c:v>3.1310428586531311</c:v>
                </c:pt>
                <c:pt idx="543">
                  <c:v>2.9905484023808562</c:v>
                </c:pt>
                <c:pt idx="544">
                  <c:v>2.9493348623840459</c:v>
                </c:pt>
                <c:pt idx="545">
                  <c:v>2.7409119219793094</c:v>
                </c:pt>
                <c:pt idx="546">
                  <c:v>3.1395119839252987</c:v>
                </c:pt>
                <c:pt idx="547">
                  <c:v>2.9477051936174563</c:v>
                </c:pt>
                <c:pt idx="548">
                  <c:v>2.7899499874438165</c:v>
                </c:pt>
                <c:pt idx="549">
                  <c:v>3.7381809292877453</c:v>
                </c:pt>
                <c:pt idx="550">
                  <c:v>3.5100705122384861</c:v>
                </c:pt>
                <c:pt idx="551">
                  <c:v>4.0123684819326142</c:v>
                </c:pt>
                <c:pt idx="552">
                  <c:v>3.4752401660016332</c:v>
                </c:pt>
                <c:pt idx="553">
                  <c:v>3.4934905347287279</c:v>
                </c:pt>
                <c:pt idx="554">
                  <c:v>3.7345051612149938</c:v>
                </c:pt>
                <c:pt idx="555">
                  <c:v>1.5515841693604118</c:v>
                </c:pt>
                <c:pt idx="556">
                  <c:v>1.3471347829100198</c:v>
                </c:pt>
                <c:pt idx="557">
                  <c:v>1.3440187377459127</c:v>
                </c:pt>
                <c:pt idx="558">
                  <c:v>2.5027847876140878</c:v>
                </c:pt>
                <c:pt idx="559">
                  <c:v>2.2566744586559664</c:v>
                </c:pt>
                <c:pt idx="560">
                  <c:v>2.7298125071609358</c:v>
                </c:pt>
                <c:pt idx="561">
                  <c:v>2.3495766698343767</c:v>
                </c:pt>
                <c:pt idx="562">
                  <c:v>2.4525438717140537</c:v>
                </c:pt>
                <c:pt idx="563">
                  <c:v>2.3512337554595741</c:v>
                </c:pt>
                <c:pt idx="564">
                  <c:v>3.2933181284235165</c:v>
                </c:pt>
                <c:pt idx="565">
                  <c:v>3.1859363255116038</c:v>
                </c:pt>
                <c:pt idx="566">
                  <c:v>3.3950270898959252</c:v>
                </c:pt>
                <c:pt idx="567">
                  <c:v>3.1868668130073106</c:v>
                </c:pt>
                <c:pt idx="568">
                  <c:v>3.1740112268576071</c:v>
                </c:pt>
                <c:pt idx="569">
                  <c:v>3.1744686025702129</c:v>
                </c:pt>
                <c:pt idx="570">
                  <c:v>3.1804980500190925</c:v>
                </c:pt>
                <c:pt idx="571">
                  <c:v>3.14713597936636</c:v>
                </c:pt>
                <c:pt idx="572">
                  <c:v>3.9422375976375545</c:v>
                </c:pt>
                <c:pt idx="573">
                  <c:v>1.3209766773428235</c:v>
                </c:pt>
                <c:pt idx="574">
                  <c:v>0.90800220117255359</c:v>
                </c:pt>
                <c:pt idx="575">
                  <c:v>1.488649408577202</c:v>
                </c:pt>
                <c:pt idx="576">
                  <c:v>0.91317783399046804</c:v>
                </c:pt>
                <c:pt idx="577">
                  <c:v>0.82840207849159309</c:v>
                </c:pt>
                <c:pt idx="578">
                  <c:v>0.79574102086924392</c:v>
                </c:pt>
                <c:pt idx="579">
                  <c:v>1.0514998191327449</c:v>
                </c:pt>
                <c:pt idx="580">
                  <c:v>1.0129215455445602</c:v>
                </c:pt>
                <c:pt idx="581">
                  <c:v>1.3041241527329093</c:v>
                </c:pt>
                <c:pt idx="582">
                  <c:v>1.0800489675788516</c:v>
                </c:pt>
                <c:pt idx="583">
                  <c:v>0.93596046898916641</c:v>
                </c:pt>
                <c:pt idx="584">
                  <c:v>0.9523564773237907</c:v>
                </c:pt>
                <c:pt idx="585">
                  <c:v>0.89309566609622826</c:v>
                </c:pt>
                <c:pt idx="586">
                  <c:v>1.0895165442248207</c:v>
                </c:pt>
                <c:pt idx="587">
                  <c:v>0.95660058821317662</c:v>
                </c:pt>
                <c:pt idx="588">
                  <c:v>1.0380635269978589</c:v>
                </c:pt>
                <c:pt idx="589">
                  <c:v>1.0923696996291206</c:v>
                </c:pt>
                <c:pt idx="590">
                  <c:v>2.3690227947344127</c:v>
                </c:pt>
                <c:pt idx="591">
                  <c:v>1.846856470075585</c:v>
                </c:pt>
                <c:pt idx="592">
                  <c:v>2.591782269996405</c:v>
                </c:pt>
                <c:pt idx="593">
                  <c:v>2.083925242092604</c:v>
                </c:pt>
                <c:pt idx="594">
                  <c:v>1.841847308314708</c:v>
                </c:pt>
                <c:pt idx="595">
                  <c:v>2.3416442015854049</c:v>
                </c:pt>
                <c:pt idx="596">
                  <c:v>2.4279710924984945</c:v>
                </c:pt>
                <c:pt idx="597">
                  <c:v>2.1521935232653115</c:v>
                </c:pt>
                <c:pt idx="598">
                  <c:v>1.9963671751558369</c:v>
                </c:pt>
                <c:pt idx="599">
                  <c:v>1.8543181897285761</c:v>
                </c:pt>
                <c:pt idx="600">
                  <c:v>2.0841185084192744</c:v>
                </c:pt>
                <c:pt idx="601">
                  <c:v>2.0823041495865477</c:v>
                </c:pt>
                <c:pt idx="602">
                  <c:v>2.0291889102805478</c:v>
                </c:pt>
                <c:pt idx="603">
                  <c:v>2.1207055156582739</c:v>
                </c:pt>
                <c:pt idx="604">
                  <c:v>3.2343618612927822</c:v>
                </c:pt>
                <c:pt idx="605">
                  <c:v>2.7448825971860096</c:v>
                </c:pt>
                <c:pt idx="606">
                  <c:v>3.4059206562399766</c:v>
                </c:pt>
                <c:pt idx="607">
                  <c:v>2.8528318004254838</c:v>
                </c:pt>
                <c:pt idx="608">
                  <c:v>2.7486314013993223</c:v>
                </c:pt>
                <c:pt idx="609">
                  <c:v>3.3458254363288993</c:v>
                </c:pt>
                <c:pt idx="610">
                  <c:v>3.3467137584785336</c:v>
                </c:pt>
                <c:pt idx="611">
                  <c:v>3.1961662329199942</c:v>
                </c:pt>
                <c:pt idx="612">
                  <c:v>2.6966490238250111</c:v>
                </c:pt>
                <c:pt idx="613">
                  <c:v>3.0497098152719868</c:v>
                </c:pt>
                <c:pt idx="614">
                  <c:v>2.9792314152966575</c:v>
                </c:pt>
                <c:pt idx="615">
                  <c:v>2.9917238994416406</c:v>
                </c:pt>
                <c:pt idx="616">
                  <c:v>4.0137344014839726</c:v>
                </c:pt>
                <c:pt idx="617">
                  <c:v>3.5967063701600921</c:v>
                </c:pt>
                <c:pt idx="618">
                  <c:v>4.1063404429407324</c:v>
                </c:pt>
                <c:pt idx="619">
                  <c:v>3.6367945023072497</c:v>
                </c:pt>
                <c:pt idx="620">
                  <c:v>3.5663367147551654</c:v>
                </c:pt>
                <c:pt idx="621">
                  <c:v>3.8803650087806556</c:v>
                </c:pt>
                <c:pt idx="622">
                  <c:v>2.438460070271109</c:v>
                </c:pt>
                <c:pt idx="623">
                  <c:v>2.2657138106400216</c:v>
                </c:pt>
                <c:pt idx="624">
                  <c:v>2.1640523152247044</c:v>
                </c:pt>
                <c:pt idx="625">
                  <c:v>2.4104364104142348</c:v>
                </c:pt>
                <c:pt idx="626">
                  <c:v>3.2865880405939754</c:v>
                </c:pt>
                <c:pt idx="627">
                  <c:v>3.2561045877896491</c:v>
                </c:pt>
                <c:pt idx="628">
                  <c:v>3.1343164293450578</c:v>
                </c:pt>
                <c:pt idx="629">
                  <c:v>3.2082604523143194</c:v>
                </c:pt>
                <c:pt idx="630">
                  <c:v>3.1414011673270119</c:v>
                </c:pt>
                <c:pt idx="631">
                  <c:v>3.2462530513136936</c:v>
                </c:pt>
                <c:pt idx="632">
                  <c:v>3.1583269026170049</c:v>
                </c:pt>
                <c:pt idx="633">
                  <c:v>3.9538588580047573</c:v>
                </c:pt>
                <c:pt idx="634">
                  <c:v>3.9911599072172397</c:v>
                </c:pt>
                <c:pt idx="635">
                  <c:v>2.1201196585635813</c:v>
                </c:pt>
                <c:pt idx="636">
                  <c:v>1.7027836879362721</c:v>
                </c:pt>
                <c:pt idx="637">
                  <c:v>2.365710690897243</c:v>
                </c:pt>
                <c:pt idx="638">
                  <c:v>2.1229592782393736</c:v>
                </c:pt>
                <c:pt idx="639">
                  <c:v>1.8459162241344682</c:v>
                </c:pt>
                <c:pt idx="640">
                  <c:v>2.2585678475156281</c:v>
                </c:pt>
                <c:pt idx="641">
                  <c:v>2.5582572457017845</c:v>
                </c:pt>
                <c:pt idx="642">
                  <c:v>2.3447694154957524</c:v>
                </c:pt>
                <c:pt idx="643">
                  <c:v>2.0293147721454434</c:v>
                </c:pt>
                <c:pt idx="644">
                  <c:v>1.9179883739381494</c:v>
                </c:pt>
                <c:pt idx="645">
                  <c:v>1.9117753061871117</c:v>
                </c:pt>
                <c:pt idx="646">
                  <c:v>1.971085571230287</c:v>
                </c:pt>
                <c:pt idx="647">
                  <c:v>2.2105886991240284</c:v>
                </c:pt>
                <c:pt idx="648">
                  <c:v>2.0439121671012543</c:v>
                </c:pt>
                <c:pt idx="649">
                  <c:v>2.2407688359456142</c:v>
                </c:pt>
                <c:pt idx="650">
                  <c:v>2.1026017650211863</c:v>
                </c:pt>
                <c:pt idx="651">
                  <c:v>3.0311162776956242</c:v>
                </c:pt>
                <c:pt idx="652">
                  <c:v>2.5680984201211534</c:v>
                </c:pt>
                <c:pt idx="653">
                  <c:v>3.4664069943679654</c:v>
                </c:pt>
                <c:pt idx="654">
                  <c:v>2.9336158361861995</c:v>
                </c:pt>
                <c:pt idx="655">
                  <c:v>2.7434674307120765</c:v>
                </c:pt>
                <c:pt idx="656">
                  <c:v>3.2534090086081937</c:v>
                </c:pt>
                <c:pt idx="657">
                  <c:v>3.2309276586840396</c:v>
                </c:pt>
                <c:pt idx="658">
                  <c:v>3.3405474210112969</c:v>
                </c:pt>
                <c:pt idx="659">
                  <c:v>3.0905303277103142</c:v>
                </c:pt>
                <c:pt idx="660">
                  <c:v>2.7146381837337343</c:v>
                </c:pt>
                <c:pt idx="661">
                  <c:v>2.9610146131074337</c:v>
                </c:pt>
                <c:pt idx="662">
                  <c:v>3.2828015026517754</c:v>
                </c:pt>
                <c:pt idx="663">
                  <c:v>2.9689795347853503</c:v>
                </c:pt>
                <c:pt idx="664">
                  <c:v>3.9511358213630534</c:v>
                </c:pt>
                <c:pt idx="665">
                  <c:v>3.503167793202056</c:v>
                </c:pt>
                <c:pt idx="666">
                  <c:v>3.7207411162861952</c:v>
                </c:pt>
                <c:pt idx="667">
                  <c:v>3.6325438387545606</c:v>
                </c:pt>
                <c:pt idx="668">
                  <c:v>3.0476638054486243</c:v>
                </c:pt>
                <c:pt idx="669">
                  <c:v>3.0977572762734504</c:v>
                </c:pt>
                <c:pt idx="670">
                  <c:v>3.0685606038053055</c:v>
                </c:pt>
                <c:pt idx="671">
                  <c:v>3.1176609912313276</c:v>
                </c:pt>
                <c:pt idx="672">
                  <c:v>4.0088859031251394</c:v>
                </c:pt>
                <c:pt idx="673">
                  <c:v>3.0226518536647209</c:v>
                </c:pt>
                <c:pt idx="674">
                  <c:v>2.5900377909933079</c:v>
                </c:pt>
                <c:pt idx="675">
                  <c:v>3.4228899344102626</c:v>
                </c:pt>
                <c:pt idx="676">
                  <c:v>2.93850221294915</c:v>
                </c:pt>
                <c:pt idx="677">
                  <c:v>2.8148267128167528</c:v>
                </c:pt>
                <c:pt idx="678">
                  <c:v>2.7660505360718313</c:v>
                </c:pt>
                <c:pt idx="679">
                  <c:v>3.1128626199081175</c:v>
                </c:pt>
                <c:pt idx="680">
                  <c:v>3.1116122957941261</c:v>
                </c:pt>
                <c:pt idx="681">
                  <c:v>2.905236062099712</c:v>
                </c:pt>
                <c:pt idx="682">
                  <c:v>3.2708853388946992</c:v>
                </c:pt>
                <c:pt idx="683">
                  <c:v>3.0539737807641569</c:v>
                </c:pt>
                <c:pt idx="684">
                  <c:v>2.9461632942866318</c:v>
                </c:pt>
                <c:pt idx="685">
                  <c:v>2.8985814896968995</c:v>
                </c:pt>
                <c:pt idx="686">
                  <c:v>2.9038894383062841</c:v>
                </c:pt>
                <c:pt idx="687">
                  <c:v>3.3461436018745281</c:v>
                </c:pt>
                <c:pt idx="688">
                  <c:v>2.8145692009108991</c:v>
                </c:pt>
                <c:pt idx="689">
                  <c:v>3.9255926932971845</c:v>
                </c:pt>
                <c:pt idx="690">
                  <c:v>3.5231213612562331</c:v>
                </c:pt>
                <c:pt idx="691">
                  <c:v>4.1681161151756942</c:v>
                </c:pt>
                <c:pt idx="692">
                  <c:v>3.7808844773760972</c:v>
                </c:pt>
                <c:pt idx="693">
                  <c:v>4.0082516596634257</c:v>
                </c:pt>
                <c:pt idx="694">
                  <c:v>3.7318275212239067</c:v>
                </c:pt>
                <c:pt idx="695">
                  <c:v>3.8659673796138301</c:v>
                </c:pt>
                <c:pt idx="696">
                  <c:v>3.407419119947106</c:v>
                </c:pt>
                <c:pt idx="697">
                  <c:v>3.834184289039408</c:v>
                </c:pt>
                <c:pt idx="698">
                  <c:v>3.7073257102146977</c:v>
                </c:pt>
                <c:pt idx="699">
                  <c:v>3.9209219647997426</c:v>
                </c:pt>
                <c:pt idx="700">
                  <c:v>3.6766435028657933</c:v>
                </c:pt>
                <c:pt idx="701">
                  <c:v>4.0073615193425143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50-3D4B-94BA-692EA945F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390059"/>
        <c:axId val="504738755"/>
      </c:areaChart>
      <c:catAx>
        <c:axId val="1845390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4738755"/>
        <c:crosses val="autoZero"/>
        <c:auto val="1"/>
        <c:lblAlgn val="ctr"/>
        <c:lblOffset val="100"/>
        <c:noMultiLvlLbl val="1"/>
      </c:catAx>
      <c:valAx>
        <c:axId val="504738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539005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# rects vs |log| of # critical points counted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graphpruningnumber_cp!$B$1</c:f>
              <c:strCache>
                <c:ptCount val="1"/>
                <c:pt idx="0">
                  <c:v>All pruning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graphpruningnumber_cp!$A$2:$A$1001</c:f>
              <c:numCache>
                <c:formatCode>General</c:formatCode>
                <c:ptCount val="100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</c:numCache>
            </c:numRef>
          </c:cat>
          <c:val>
            <c:numRef>
              <c:f>graphpruningnumber_cp!$B$2:$B$1001</c:f>
              <c:numCache>
                <c:formatCode>General</c:formatCode>
                <c:ptCount val="1000"/>
                <c:pt idx="0">
                  <c:v>3.8969669019331499</c:v>
                </c:pt>
                <c:pt idx="1">
                  <c:v>3.81484666860446</c:v>
                </c:pt>
                <c:pt idx="2">
                  <c:v>5.2415315390156003</c:v>
                </c:pt>
                <c:pt idx="3">
                  <c:v>5.51442554864198</c:v>
                </c:pt>
                <c:pt idx="4">
                  <c:v>5.2825700034761098</c:v>
                </c:pt>
                <c:pt idx="5">
                  <c:v>6.4731668610269404</c:v>
                </c:pt>
                <c:pt idx="6">
                  <c:v>6.3720836616978396</c:v>
                </c:pt>
                <c:pt idx="7">
                  <c:v>6.5882701377755604</c:v>
                </c:pt>
                <c:pt idx="8">
                  <c:v>6.3558247341980598</c:v>
                </c:pt>
                <c:pt idx="9">
                  <c:v>7.2404696203281302</c:v>
                </c:pt>
                <c:pt idx="10">
                  <c:v>7.0473604714375799</c:v>
                </c:pt>
                <c:pt idx="11">
                  <c:v>7.29639206916079</c:v>
                </c:pt>
                <c:pt idx="12">
                  <c:v>7.1406295153733401</c:v>
                </c:pt>
                <c:pt idx="13">
                  <c:v>7.18438061456275</c:v>
                </c:pt>
                <c:pt idx="14">
                  <c:v>6.7881983604738396</c:v>
                </c:pt>
                <c:pt idx="15">
                  <c:v>7.8491110535532602</c:v>
                </c:pt>
                <c:pt idx="16">
                  <c:v>3.4554539687786199</c:v>
                </c:pt>
                <c:pt idx="17">
                  <c:v>3.7418603940652599</c:v>
                </c:pt>
                <c:pt idx="18">
                  <c:v>3.8171024042569202</c:v>
                </c:pt>
                <c:pt idx="19">
                  <c:v>3.82529626443096</c:v>
                </c:pt>
                <c:pt idx="20">
                  <c:v>3.3312247810207301</c:v>
                </c:pt>
                <c:pt idx="21">
                  <c:v>3.5772619535858099</c:v>
                </c:pt>
                <c:pt idx="22">
                  <c:v>3.5913985512812401</c:v>
                </c:pt>
                <c:pt idx="23">
                  <c:v>3.7701890227359902</c:v>
                </c:pt>
                <c:pt idx="24">
                  <c:v>3.8184898222042101</c:v>
                </c:pt>
                <c:pt idx="25">
                  <c:v>3.6836772988186901</c:v>
                </c:pt>
                <c:pt idx="26">
                  <c:v>3.5065050324048701</c:v>
                </c:pt>
                <c:pt idx="27">
                  <c:v>3.5276299008713301</c:v>
                </c:pt>
                <c:pt idx="28">
                  <c:v>3.5363058723510301</c:v>
                </c:pt>
                <c:pt idx="29">
                  <c:v>3.5228353136605302</c:v>
                </c:pt>
                <c:pt idx="30">
                  <c:v>3.4733409641859301</c:v>
                </c:pt>
                <c:pt idx="31">
                  <c:v>3.5565437084835101</c:v>
                </c:pt>
                <c:pt idx="32">
                  <c:v>3.48967729166369</c:v>
                </c:pt>
                <c:pt idx="33">
                  <c:v>3.5762261374495998</c:v>
                </c:pt>
                <c:pt idx="34">
                  <c:v>5.1065954154955797</c:v>
                </c:pt>
                <c:pt idx="35">
                  <c:v>4.6915677004380498</c:v>
                </c:pt>
                <c:pt idx="36">
                  <c:v>5.3505232427875402</c:v>
                </c:pt>
                <c:pt idx="37">
                  <c:v>5.21221424741994</c:v>
                </c:pt>
                <c:pt idx="38">
                  <c:v>4.9397987085618196</c:v>
                </c:pt>
                <c:pt idx="39">
                  <c:v>5.2259963708534096</c:v>
                </c:pt>
                <c:pt idx="40">
                  <c:v>4.9290202136938603</c:v>
                </c:pt>
                <c:pt idx="41">
                  <c:v>5.0959326200109398</c:v>
                </c:pt>
                <c:pt idx="42">
                  <c:v>5.3242248199782303</c:v>
                </c:pt>
                <c:pt idx="43">
                  <c:v>5.24345972997095</c:v>
                </c:pt>
                <c:pt idx="44">
                  <c:v>4.9729984700150798</c:v>
                </c:pt>
                <c:pt idx="45">
                  <c:v>5.2075778219589504</c:v>
                </c:pt>
                <c:pt idx="46">
                  <c:v>4.8136010016776503</c:v>
                </c:pt>
                <c:pt idx="47">
                  <c:v>5.1378824136606696</c:v>
                </c:pt>
                <c:pt idx="48">
                  <c:v>5.0704294790566102</c:v>
                </c:pt>
                <c:pt idx="49">
                  <c:v>5.1420795922406697</c:v>
                </c:pt>
                <c:pt idx="50">
                  <c:v>5.1691952117018696</c:v>
                </c:pt>
                <c:pt idx="51">
                  <c:v>6.3024318049183501</c:v>
                </c:pt>
                <c:pt idx="52">
                  <c:v>5.9134959596171202</c:v>
                </c:pt>
                <c:pt idx="53">
                  <c:v>6.3283712436992303</c:v>
                </c:pt>
                <c:pt idx="54">
                  <c:v>5.82981947271215</c:v>
                </c:pt>
                <c:pt idx="55">
                  <c:v>6.2829937207987596</c:v>
                </c:pt>
                <c:pt idx="56">
                  <c:v>6.1429173073851597</c:v>
                </c:pt>
                <c:pt idx="57">
                  <c:v>6.2841100271697501</c:v>
                </c:pt>
                <c:pt idx="58">
                  <c:v>6.1665491066621296</c:v>
                </c:pt>
                <c:pt idx="59">
                  <c:v>5.7900119723578403</c:v>
                </c:pt>
                <c:pt idx="60">
                  <c:v>6.1371847288192702</c:v>
                </c:pt>
                <c:pt idx="61">
                  <c:v>6.17414822841023</c:v>
                </c:pt>
                <c:pt idx="62">
                  <c:v>5.6104738448586398</c:v>
                </c:pt>
                <c:pt idx="63">
                  <c:v>6.2285350922947602</c:v>
                </c:pt>
                <c:pt idx="64">
                  <c:v>6.2393998433718396</c:v>
                </c:pt>
                <c:pt idx="65">
                  <c:v>6.2763969998443896</c:v>
                </c:pt>
                <c:pt idx="66">
                  <c:v>6.2225328323851397</c:v>
                </c:pt>
                <c:pt idx="67">
                  <c:v>6.9943733829044401</c:v>
                </c:pt>
                <c:pt idx="68">
                  <c:v>6.8764311815484804</c:v>
                </c:pt>
                <c:pt idx="69">
                  <c:v>6.4919656435044102</c:v>
                </c:pt>
                <c:pt idx="70">
                  <c:v>6.4756042233772799</c:v>
                </c:pt>
                <c:pt idx="71">
                  <c:v>7.0934950186999002</c:v>
                </c:pt>
                <c:pt idx="72">
                  <c:v>7.0355405992148503</c:v>
                </c:pt>
                <c:pt idx="73">
                  <c:v>7.0062405356705399</c:v>
                </c:pt>
                <c:pt idx="74">
                  <c:v>6.99818577247534</c:v>
                </c:pt>
                <c:pt idx="75">
                  <c:v>6.3674461256184998</c:v>
                </c:pt>
                <c:pt idx="76">
                  <c:v>7.0762718832901097</c:v>
                </c:pt>
                <c:pt idx="77">
                  <c:v>6.8807238097600401</c:v>
                </c:pt>
                <c:pt idx="78">
                  <c:v>6.4189924627419996</c:v>
                </c:pt>
                <c:pt idx="79">
                  <c:v>7.1678642898616998</c:v>
                </c:pt>
                <c:pt idx="80">
                  <c:v>7.0486471320103998</c:v>
                </c:pt>
                <c:pt idx="81">
                  <c:v>7.6999257374311103</c:v>
                </c:pt>
                <c:pt idx="82">
                  <c:v>7.5818984361239998</c:v>
                </c:pt>
                <c:pt idx="83">
                  <c:v>7.0318966195948702</c:v>
                </c:pt>
                <c:pt idx="84">
                  <c:v>7.1313823361637896</c:v>
                </c:pt>
                <c:pt idx="85">
                  <c:v>7.7153863995647596</c:v>
                </c:pt>
                <c:pt idx="86">
                  <c:v>7.4871017771981796</c:v>
                </c:pt>
                <c:pt idx="87">
                  <c:v>5.42915451208144</c:v>
                </c:pt>
                <c:pt idx="88">
                  <c:v>5.4937200822444199</c:v>
                </c:pt>
                <c:pt idx="89">
                  <c:v>5.2057861020449296</c:v>
                </c:pt>
                <c:pt idx="90">
                  <c:v>6.4577573407702804</c:v>
                </c:pt>
                <c:pt idx="91">
                  <c:v>6.33962810458923</c:v>
                </c:pt>
                <c:pt idx="92">
                  <c:v>6.5338352031086497</c:v>
                </c:pt>
                <c:pt idx="93">
                  <c:v>6.5408930659836999</c:v>
                </c:pt>
                <c:pt idx="94">
                  <c:v>5.9747971371707296</c:v>
                </c:pt>
                <c:pt idx="95">
                  <c:v>6.3571165362273199</c:v>
                </c:pt>
                <c:pt idx="96">
                  <c:v>7.2311919508287597</c:v>
                </c:pt>
                <c:pt idx="97">
                  <c:v>7.21585402233144</c:v>
                </c:pt>
                <c:pt idx="98">
                  <c:v>7.2159755366237901</c:v>
                </c:pt>
                <c:pt idx="99">
                  <c:v>7.2638797731223104</c:v>
                </c:pt>
                <c:pt idx="100">
                  <c:v>6.6085921354404498</c:v>
                </c:pt>
                <c:pt idx="101">
                  <c:v>7.0767350826164197</c:v>
                </c:pt>
                <c:pt idx="102">
                  <c:v>7.19542451785943</c:v>
                </c:pt>
                <c:pt idx="103">
                  <c:v>6.8765994708477303</c:v>
                </c:pt>
                <c:pt idx="104">
                  <c:v>7.8422410064912897</c:v>
                </c:pt>
                <c:pt idx="105">
                  <c:v>5.20285869891174</c:v>
                </c:pt>
                <c:pt idx="106">
                  <c:v>5.12555608152626</c:v>
                </c:pt>
                <c:pt idx="107">
                  <c:v>5.2588072324230497</c:v>
                </c:pt>
                <c:pt idx="108">
                  <c:v>5.1859442505624003</c:v>
                </c:pt>
                <c:pt idx="109">
                  <c:v>5.0270028493695396</c:v>
                </c:pt>
                <c:pt idx="110">
                  <c:v>5.0689461392084398</c:v>
                </c:pt>
                <c:pt idx="111">
                  <c:v>5.1436860317275697</c:v>
                </c:pt>
                <c:pt idx="112">
                  <c:v>5.1813347082282002</c:v>
                </c:pt>
                <c:pt idx="113">
                  <c:v>5.1247128447407304</c:v>
                </c:pt>
                <c:pt idx="114">
                  <c:v>5.340796959675</c:v>
                </c:pt>
                <c:pt idx="115">
                  <c:v>5.2679035432532801</c:v>
                </c:pt>
                <c:pt idx="116">
                  <c:v>4.91030416806856</c:v>
                </c:pt>
                <c:pt idx="117">
                  <c:v>5.1475773989294504</c:v>
                </c:pt>
                <c:pt idx="118">
                  <c:v>4.7781222964530397</c:v>
                </c:pt>
                <c:pt idx="119">
                  <c:v>5.1502159211017702</c:v>
                </c:pt>
                <c:pt idx="120">
                  <c:v>5.0898733326317203</c:v>
                </c:pt>
                <c:pt idx="121">
                  <c:v>5.3367718333800003</c:v>
                </c:pt>
                <c:pt idx="122">
                  <c:v>6.3164266393853001</c:v>
                </c:pt>
                <c:pt idx="123">
                  <c:v>6.1150580573421101</c:v>
                </c:pt>
                <c:pt idx="124">
                  <c:v>6.3152936198812304</c:v>
                </c:pt>
                <c:pt idx="125">
                  <c:v>6.0969885263529902</c:v>
                </c:pt>
                <c:pt idx="126">
                  <c:v>6.20842335004407</c:v>
                </c:pt>
                <c:pt idx="127">
                  <c:v>6.36505328573356</c:v>
                </c:pt>
                <c:pt idx="128">
                  <c:v>6.2759283744890499</c:v>
                </c:pt>
                <c:pt idx="129">
                  <c:v>6.1601673919316804</c:v>
                </c:pt>
                <c:pt idx="130">
                  <c:v>6.0819284988333102</c:v>
                </c:pt>
                <c:pt idx="131">
                  <c:v>6.09085950984585</c:v>
                </c:pt>
                <c:pt idx="132">
                  <c:v>5.7368839134748004</c:v>
                </c:pt>
                <c:pt idx="133">
                  <c:v>6.2407037198217896</c:v>
                </c:pt>
                <c:pt idx="134">
                  <c:v>6.3205197434261002</c:v>
                </c:pt>
                <c:pt idx="135">
                  <c:v>6.3471496236549196</c:v>
                </c:pt>
                <c:pt idx="136">
                  <c:v>7.0078212776150997</c:v>
                </c:pt>
                <c:pt idx="137">
                  <c:v>6.9776536553866899</c:v>
                </c:pt>
                <c:pt idx="138">
                  <c:v>6.6941306375310896</c:v>
                </c:pt>
                <c:pt idx="139">
                  <c:v>6.8078600184778004</c:v>
                </c:pt>
                <c:pt idx="140">
                  <c:v>7.0936077614934696</c:v>
                </c:pt>
                <c:pt idx="141">
                  <c:v>7.0760626990757496</c:v>
                </c:pt>
                <c:pt idx="142">
                  <c:v>7.1158396455550399</c:v>
                </c:pt>
                <c:pt idx="143">
                  <c:v>6.96132957406759</c:v>
                </c:pt>
                <c:pt idx="144">
                  <c:v>6.8129929254653403</c:v>
                </c:pt>
                <c:pt idx="145">
                  <c:v>6.5108627063898403</c:v>
                </c:pt>
                <c:pt idx="146">
                  <c:v>7.2232241428185704</c:v>
                </c:pt>
                <c:pt idx="147">
                  <c:v>7.16842143113454</c:v>
                </c:pt>
                <c:pt idx="148">
                  <c:v>7.7448350511086801</c:v>
                </c:pt>
                <c:pt idx="149">
                  <c:v>7.7067428921935601</c:v>
                </c:pt>
                <c:pt idx="150">
                  <c:v>7.2002576700401697</c:v>
                </c:pt>
                <c:pt idx="151">
                  <c:v>7.4158123623081602</c:v>
                </c:pt>
                <c:pt idx="152">
                  <c:v>7.79204780930728</c:v>
                </c:pt>
                <c:pt idx="153">
                  <c:v>7.6488842051230401</c:v>
                </c:pt>
                <c:pt idx="154">
                  <c:v>6.4403570514970401</c:v>
                </c:pt>
                <c:pt idx="155">
                  <c:v>6.2163469745723798</c:v>
                </c:pt>
                <c:pt idx="156">
                  <c:v>6.4579655698049399</c:v>
                </c:pt>
                <c:pt idx="157">
                  <c:v>5.7963224248674301</c:v>
                </c:pt>
                <c:pt idx="158">
                  <c:v>7.24836780434737</c:v>
                </c:pt>
                <c:pt idx="159">
                  <c:v>7.1351895672682</c:v>
                </c:pt>
                <c:pt idx="160">
                  <c:v>7.2179831222014901</c:v>
                </c:pt>
                <c:pt idx="161">
                  <c:v>6.5811722593366202</c:v>
                </c:pt>
                <c:pt idx="162">
                  <c:v>6.9935389940175199</c:v>
                </c:pt>
                <c:pt idx="163">
                  <c:v>7.2044639976022502</c:v>
                </c:pt>
                <c:pt idx="164">
                  <c:v>6.8939554596770396</c:v>
                </c:pt>
                <c:pt idx="165">
                  <c:v>7.86141127958195</c:v>
                </c:pt>
                <c:pt idx="166">
                  <c:v>7.86678734656756</c:v>
                </c:pt>
                <c:pt idx="167">
                  <c:v>6.2880271016201403</c:v>
                </c:pt>
                <c:pt idx="168">
                  <c:v>5.9863721786920499</c:v>
                </c:pt>
                <c:pt idx="169">
                  <c:v>6.0982372713566999</c:v>
                </c:pt>
                <c:pt idx="170">
                  <c:v>5.9173799818833102</c:v>
                </c:pt>
                <c:pt idx="171">
                  <c:v>6.2767882065959402</c:v>
                </c:pt>
                <c:pt idx="172">
                  <c:v>6.3333872147729799</c:v>
                </c:pt>
                <c:pt idx="173">
                  <c:v>6.3735545041340798</c:v>
                </c:pt>
                <c:pt idx="174">
                  <c:v>6.3527068292253004</c:v>
                </c:pt>
                <c:pt idx="175">
                  <c:v>6.3070437511328201</c:v>
                </c:pt>
                <c:pt idx="176">
                  <c:v>5.8837777991301001</c:v>
                </c:pt>
                <c:pt idx="177">
                  <c:v>6.0835495583638499</c:v>
                </c:pt>
                <c:pt idx="178">
                  <c:v>5.6613346039444199</c:v>
                </c:pt>
                <c:pt idx="179">
                  <c:v>6.2568439760268797</c:v>
                </c:pt>
                <c:pt idx="180">
                  <c:v>6.3174488330832403</c:v>
                </c:pt>
                <c:pt idx="181">
                  <c:v>6.2940606218146504</c:v>
                </c:pt>
                <c:pt idx="182">
                  <c:v>6.3642989751651502</c:v>
                </c:pt>
                <c:pt idx="183">
                  <c:v>7.0295529977962801</c:v>
                </c:pt>
                <c:pt idx="184">
                  <c:v>6.84793696820185</c:v>
                </c:pt>
                <c:pt idx="185">
                  <c:v>6.7290279978002498</c:v>
                </c:pt>
                <c:pt idx="186">
                  <c:v>6.7277504650018596</c:v>
                </c:pt>
                <c:pt idx="187">
                  <c:v>7.1000568781502702</c:v>
                </c:pt>
                <c:pt idx="188">
                  <c:v>7.1029051360627404</c:v>
                </c:pt>
                <c:pt idx="189">
                  <c:v>7.10714529566987</c:v>
                </c:pt>
                <c:pt idx="190">
                  <c:v>7.1809258576105899</c:v>
                </c:pt>
                <c:pt idx="191">
                  <c:v>7.1138218330742404</c:v>
                </c:pt>
                <c:pt idx="192">
                  <c:v>6.8824267395365402</c:v>
                </c:pt>
                <c:pt idx="193">
                  <c:v>6.5574025255246804</c:v>
                </c:pt>
                <c:pt idx="194">
                  <c:v>7.2589336462215099</c:v>
                </c:pt>
                <c:pt idx="195">
                  <c:v>7.1611229311110298</c:v>
                </c:pt>
                <c:pt idx="196">
                  <c:v>7.7769338105578898</c:v>
                </c:pt>
                <c:pt idx="197">
                  <c:v>7.6639200710442799</c:v>
                </c:pt>
                <c:pt idx="198">
                  <c:v>7.4133004348057998</c:v>
                </c:pt>
                <c:pt idx="199">
                  <c:v>7.8167184964395702</c:v>
                </c:pt>
                <c:pt idx="200">
                  <c:v>7.2604068344087596</c:v>
                </c:pt>
                <c:pt idx="201">
                  <c:v>7.0328186192374096</c:v>
                </c:pt>
                <c:pt idx="202">
                  <c:v>7.1352927222280096</c:v>
                </c:pt>
                <c:pt idx="203">
                  <c:v>6.7764755537049703</c:v>
                </c:pt>
                <c:pt idx="204">
                  <c:v>7.83251139073238</c:v>
                </c:pt>
                <c:pt idx="205">
                  <c:v>7.0369892740859896</c:v>
                </c:pt>
                <c:pt idx="206">
                  <c:v>6.8355950161949304</c:v>
                </c:pt>
                <c:pt idx="207">
                  <c:v>6.4986865038291999</c:v>
                </c:pt>
                <c:pt idx="208">
                  <c:v>6.9052761425058904</c:v>
                </c:pt>
                <c:pt idx="209">
                  <c:v>6.4390946352201599</c:v>
                </c:pt>
                <c:pt idx="210">
                  <c:v>7.1343187563085904</c:v>
                </c:pt>
                <c:pt idx="211">
                  <c:v>7.0771176868633701</c:v>
                </c:pt>
                <c:pt idx="212">
                  <c:v>7.0673380491539302</c:v>
                </c:pt>
                <c:pt idx="213">
                  <c:v>7.0004885235742798</c:v>
                </c:pt>
                <c:pt idx="214">
                  <c:v>7.0916858762468697</c:v>
                </c:pt>
                <c:pt idx="215">
                  <c:v>6.9338677615237296</c:v>
                </c:pt>
                <c:pt idx="216">
                  <c:v>6.1164818866030997</c:v>
                </c:pt>
                <c:pt idx="217">
                  <c:v>6.9253281838236296</c:v>
                </c:pt>
                <c:pt idx="218">
                  <c:v>6.2922423332525099</c:v>
                </c:pt>
                <c:pt idx="219">
                  <c:v>7.2572697858132296</c:v>
                </c:pt>
                <c:pt idx="220">
                  <c:v>7.1358772810715196</c:v>
                </c:pt>
                <c:pt idx="221">
                  <c:v>7.8359368765772599</c:v>
                </c:pt>
                <c:pt idx="222">
                  <c:v>7.6459617366497099</c:v>
                </c:pt>
                <c:pt idx="223">
                  <c:v>7.1893092029345897</c:v>
                </c:pt>
                <c:pt idx="224">
                  <c:v>7.6562630204825703</c:v>
                </c:pt>
                <c:pt idx="225">
                  <c:v>7.3012720473719899</c:v>
                </c:pt>
                <c:pt idx="226">
                  <c:v>7.8211739909714701</c:v>
                </c:pt>
                <c:pt idx="227">
                  <c:v>7.6954388403332503</c:v>
                </c:pt>
                <c:pt idx="228">
                  <c:v>7.6082858964834896</c:v>
                </c:pt>
                <c:pt idx="229">
                  <c:v>7.0280890320588396</c:v>
                </c:pt>
                <c:pt idx="230">
                  <c:v>7.6014315687784899</c:v>
                </c:pt>
                <c:pt idx="231">
                  <c:v>7.19560990625288</c:v>
                </c:pt>
                <c:pt idx="232">
                  <c:v>7.7678552220644104</c:v>
                </c:pt>
                <c:pt idx="233">
                  <c:v>7.7909138374879197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E-DE44-BC20-D841B379D709}"/>
            </c:ext>
          </c:extLst>
        </c:ser>
        <c:ser>
          <c:idx val="1"/>
          <c:order val="1"/>
          <c:tx>
            <c:strRef>
              <c:f>graphpruningnumber_cp!$C$1</c:f>
              <c:strCache>
                <c:ptCount val="1"/>
                <c:pt idx="0">
                  <c:v>Old pruning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graphpruningnumber_cp!$A$2:$A$1001</c:f>
              <c:numCache>
                <c:formatCode>General</c:formatCode>
                <c:ptCount val="100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</c:numCache>
            </c:numRef>
          </c:cat>
          <c:val>
            <c:numRef>
              <c:f>graphpruningnumber_cp!$C$2:$C$1001</c:f>
              <c:numCache>
                <c:formatCode>General</c:formatCode>
                <c:ptCount val="1000"/>
                <c:pt idx="0">
                  <c:v>3.9349022583223099</c:v>
                </c:pt>
                <c:pt idx="1">
                  <c:v>3.87453979707101</c:v>
                </c:pt>
                <c:pt idx="2">
                  <c:v>5.6453613459406098</c:v>
                </c:pt>
                <c:pt idx="3">
                  <c:v>5.5886391606130204</c:v>
                </c:pt>
                <c:pt idx="4">
                  <c:v>5.5608412062885604</c:v>
                </c:pt>
                <c:pt idx="5">
                  <c:v>6.5857353198422404</c:v>
                </c:pt>
                <c:pt idx="6">
                  <c:v>6.7763766491406603</c:v>
                </c:pt>
                <c:pt idx="7">
                  <c:v>6.6716828622898996</c:v>
                </c:pt>
                <c:pt idx="8">
                  <c:v>6.6430356523306102</c:v>
                </c:pt>
                <c:pt idx="9">
                  <c:v>7.3579376089521897</c:v>
                </c:pt>
                <c:pt idx="10">
                  <c:v>7.4463339672718698</c:v>
                </c:pt>
                <c:pt idx="11">
                  <c:v>7.4814147496283798</c:v>
                </c:pt>
                <c:pt idx="12">
                  <c:v>7.4889232180310996</c:v>
                </c:pt>
                <c:pt idx="13">
                  <c:v>7.3843309908431296</c:v>
                </c:pt>
                <c:pt idx="14">
                  <c:v>7.3715433299281399</c:v>
                </c:pt>
                <c:pt idx="15">
                  <c:v>8.0212094622742391</c:v>
                </c:pt>
                <c:pt idx="16">
                  <c:v>3.8133808067338499</c:v>
                </c:pt>
                <c:pt idx="17">
                  <c:v>3.8483738838446002</c:v>
                </c:pt>
                <c:pt idx="18">
                  <c:v>3.9496339237992601</c:v>
                </c:pt>
                <c:pt idx="19">
                  <c:v>3.8867162741164698</c:v>
                </c:pt>
                <c:pt idx="20">
                  <c:v>3.3336487565146999</c:v>
                </c:pt>
                <c:pt idx="21">
                  <c:v>3.6261349786353798</c:v>
                </c:pt>
                <c:pt idx="22">
                  <c:v>3.70440792738684</c:v>
                </c:pt>
                <c:pt idx="23">
                  <c:v>3.9069811532288501</c:v>
                </c:pt>
                <c:pt idx="24">
                  <c:v>3.9007493580610699</c:v>
                </c:pt>
                <c:pt idx="25">
                  <c:v>3.7394932307816098</c:v>
                </c:pt>
                <c:pt idx="26">
                  <c:v>3.6716355966021199</c:v>
                </c:pt>
                <c:pt idx="27">
                  <c:v>3.7008767083768999</c:v>
                </c:pt>
                <c:pt idx="28">
                  <c:v>3.5625307688622598</c:v>
                </c:pt>
                <c:pt idx="29">
                  <c:v>3.91871166538232</c:v>
                </c:pt>
                <c:pt idx="30">
                  <c:v>3.7424108805804899</c:v>
                </c:pt>
                <c:pt idx="31">
                  <c:v>3.6431564656197</c:v>
                </c:pt>
                <c:pt idx="32">
                  <c:v>3.6236627073562002</c:v>
                </c:pt>
                <c:pt idx="33">
                  <c:v>3.6493348587121401</c:v>
                </c:pt>
                <c:pt idx="34">
                  <c:v>5.4571610054692696</c:v>
                </c:pt>
                <c:pt idx="35">
                  <c:v>5.0912940427584603</c:v>
                </c:pt>
                <c:pt idx="36">
                  <c:v>5.6368468182617901</c:v>
                </c:pt>
                <c:pt idx="37">
                  <c:v>5.3641061551173497</c:v>
                </c:pt>
                <c:pt idx="38">
                  <c:v>5.0936562809044696</c:v>
                </c:pt>
                <c:pt idx="39">
                  <c:v>5.2818216576048904</c:v>
                </c:pt>
                <c:pt idx="40">
                  <c:v>5.4239909099444903</c:v>
                </c:pt>
                <c:pt idx="41">
                  <c:v>5.4823790064086397</c:v>
                </c:pt>
                <c:pt idx="42">
                  <c:v>5.4679763968279698</c:v>
                </c:pt>
                <c:pt idx="43">
                  <c:v>5.3213995662952298</c:v>
                </c:pt>
                <c:pt idx="44">
                  <c:v>5.3600686870580798</c:v>
                </c:pt>
                <c:pt idx="45">
                  <c:v>5.3111857290194502</c:v>
                </c:pt>
                <c:pt idx="46">
                  <c:v>5.4404619692616896</c:v>
                </c:pt>
                <c:pt idx="47">
                  <c:v>5.3490034565687203</c:v>
                </c:pt>
                <c:pt idx="48">
                  <c:v>5.3777468800846604</c:v>
                </c:pt>
                <c:pt idx="49">
                  <c:v>5.3798310676895396</c:v>
                </c:pt>
                <c:pt idx="50">
                  <c:v>5.3366678251215003</c:v>
                </c:pt>
                <c:pt idx="51">
                  <c:v>6.5658743711928897</c:v>
                </c:pt>
                <c:pt idx="52">
                  <c:v>6.1990821026933096</c:v>
                </c:pt>
                <c:pt idx="53">
                  <c:v>6.7618140654143799</c:v>
                </c:pt>
                <c:pt idx="54">
                  <c:v>6.4282336333903896</c:v>
                </c:pt>
                <c:pt idx="55">
                  <c:v>6.4045590325520196</c:v>
                </c:pt>
                <c:pt idx="56">
                  <c:v>6.5098444807749498</c:v>
                </c:pt>
                <c:pt idx="57">
                  <c:v>6.6228994390607898</c:v>
                </c:pt>
                <c:pt idx="58">
                  <c:v>6.5293283139781604</c:v>
                </c:pt>
                <c:pt idx="59">
                  <c:v>6.5519496370803401</c:v>
                </c:pt>
                <c:pt idx="60">
                  <c:v>6.4070788822832796</c:v>
                </c:pt>
                <c:pt idx="61">
                  <c:v>6.4188174964790097</c:v>
                </c:pt>
                <c:pt idx="62">
                  <c:v>6.5107261965233096</c:v>
                </c:pt>
                <c:pt idx="63">
                  <c:v>6.4937418181610402</c:v>
                </c:pt>
                <c:pt idx="64">
                  <c:v>6.5090065750188701</c:v>
                </c:pt>
                <c:pt idx="65">
                  <c:v>6.5287730252629999</c:v>
                </c:pt>
                <c:pt idx="66">
                  <c:v>6.4050362831355701</c:v>
                </c:pt>
                <c:pt idx="67">
                  <c:v>7.4194995988939301</c:v>
                </c:pt>
                <c:pt idx="68">
                  <c:v>7.0927572670041696</c:v>
                </c:pt>
                <c:pt idx="69">
                  <c:v>7.5651582302468103</c:v>
                </c:pt>
                <c:pt idx="70">
                  <c:v>7.1728282797431602</c:v>
                </c:pt>
                <c:pt idx="71">
                  <c:v>7.2374197152868103</c:v>
                </c:pt>
                <c:pt idx="72">
                  <c:v>7.3651321669646901</c:v>
                </c:pt>
                <c:pt idx="73">
                  <c:v>7.4340813104975902</c:v>
                </c:pt>
                <c:pt idx="74">
                  <c:v>7.3879498118322502</c:v>
                </c:pt>
                <c:pt idx="75">
                  <c:v>7.3108815790695596</c:v>
                </c:pt>
                <c:pt idx="76">
                  <c:v>7.3217944918037503</c:v>
                </c:pt>
                <c:pt idx="77">
                  <c:v>7.2318563073021496</c:v>
                </c:pt>
                <c:pt idx="78">
                  <c:v>7.3245390454639097</c:v>
                </c:pt>
                <c:pt idx="79">
                  <c:v>7.4013214988869898</c:v>
                </c:pt>
                <c:pt idx="80">
                  <c:v>7.1970213379517904</c:v>
                </c:pt>
                <c:pt idx="81">
                  <c:v>8.1258351544346006</c:v>
                </c:pt>
                <c:pt idx="82">
                  <c:v>7.81890452576679</c:v>
                </c:pt>
                <c:pt idx="83">
                  <c:v>8.1968977249894301</c:v>
                </c:pt>
                <c:pt idx="84">
                  <c:v>7.9168033649970404</c:v>
                </c:pt>
                <c:pt idx="85">
                  <c:v>7.9592531857001099</c:v>
                </c:pt>
                <c:pt idx="86">
                  <c:v>8.0629261887930106</c:v>
                </c:pt>
                <c:pt idx="87">
                  <c:v>5.6137858143535002</c:v>
                </c:pt>
                <c:pt idx="88">
                  <c:v>5.5619286182950596</c:v>
                </c:pt>
                <c:pt idx="89">
                  <c:v>5.3904387392074797</c:v>
                </c:pt>
                <c:pt idx="90">
                  <c:v>6.5748871998674803</c:v>
                </c:pt>
                <c:pt idx="91">
                  <c:v>6.5227401832387804</c:v>
                </c:pt>
                <c:pt idx="92">
                  <c:v>6.75611677411875</c:v>
                </c:pt>
                <c:pt idx="93">
                  <c:v>6.6320432496953599</c:v>
                </c:pt>
                <c:pt idx="94">
                  <c:v>6.5462639840454901</c:v>
                </c:pt>
                <c:pt idx="95">
                  <c:v>6.5444486917065303</c:v>
                </c:pt>
                <c:pt idx="96">
                  <c:v>7.36696577548636</c:v>
                </c:pt>
                <c:pt idx="97">
                  <c:v>7.39037070497342</c:v>
                </c:pt>
                <c:pt idx="98">
                  <c:v>7.4543013776959199</c:v>
                </c:pt>
                <c:pt idx="99">
                  <c:v>7.4650037789981303</c:v>
                </c:pt>
                <c:pt idx="100">
                  <c:v>7.3381769411282898</c:v>
                </c:pt>
                <c:pt idx="101">
                  <c:v>7.3322366377919499</c:v>
                </c:pt>
                <c:pt idx="102">
                  <c:v>7.3917985471942602</c:v>
                </c:pt>
                <c:pt idx="103">
                  <c:v>7.4152429778311202</c:v>
                </c:pt>
                <c:pt idx="104">
                  <c:v>8.0473659155651003</c:v>
                </c:pt>
                <c:pt idx="105">
                  <c:v>5.46755187301547</c:v>
                </c:pt>
                <c:pt idx="106">
                  <c:v>5.2732050531236903</c:v>
                </c:pt>
                <c:pt idx="107">
                  <c:v>5.5935430224181903</c:v>
                </c:pt>
                <c:pt idx="108">
                  <c:v>5.3941433624228097</c:v>
                </c:pt>
                <c:pt idx="109">
                  <c:v>5.2142582150752101</c:v>
                </c:pt>
                <c:pt idx="110">
                  <c:v>5.1173276508251</c:v>
                </c:pt>
                <c:pt idx="111">
                  <c:v>5.4303298787283003</c:v>
                </c:pt>
                <c:pt idx="112">
                  <c:v>5.4619454969574299</c:v>
                </c:pt>
                <c:pt idx="113">
                  <c:v>5.5604398934779899</c:v>
                </c:pt>
                <c:pt idx="114">
                  <c:v>5.4597286342660496</c:v>
                </c:pt>
                <c:pt idx="115">
                  <c:v>5.3405293789022297</c:v>
                </c:pt>
                <c:pt idx="116">
                  <c:v>5.3491745281966798</c:v>
                </c:pt>
                <c:pt idx="117">
                  <c:v>5.2689966208548098</c:v>
                </c:pt>
                <c:pt idx="118">
                  <c:v>5.3979573801038798</c:v>
                </c:pt>
                <c:pt idx="119">
                  <c:v>5.3255464487428297</c:v>
                </c:pt>
                <c:pt idx="120">
                  <c:v>5.3765477598073899</c:v>
                </c:pt>
                <c:pt idx="121">
                  <c:v>5.39354361706775</c:v>
                </c:pt>
                <c:pt idx="122">
                  <c:v>6.5491765771850803</c:v>
                </c:pt>
                <c:pt idx="123">
                  <c:v>6.2737288871888097</c:v>
                </c:pt>
                <c:pt idx="124">
                  <c:v>6.7257386147515499</c:v>
                </c:pt>
                <c:pt idx="125">
                  <c:v>6.47759914991118</c:v>
                </c:pt>
                <c:pt idx="126">
                  <c:v>6.3445339366962896</c:v>
                </c:pt>
                <c:pt idx="127">
                  <c:v>6.6068320879135802</c:v>
                </c:pt>
                <c:pt idx="128">
                  <c:v>6.6316223206891998</c:v>
                </c:pt>
                <c:pt idx="129">
                  <c:v>6.4940842938695198</c:v>
                </c:pt>
                <c:pt idx="130">
                  <c:v>6.3909591162159503</c:v>
                </c:pt>
                <c:pt idx="131">
                  <c:v>6.3657125618924901</c:v>
                </c:pt>
                <c:pt idx="132">
                  <c:v>6.4667045440306596</c:v>
                </c:pt>
                <c:pt idx="133">
                  <c:v>6.4848794135711803</c:v>
                </c:pt>
                <c:pt idx="134">
                  <c:v>6.5166256607448796</c:v>
                </c:pt>
                <c:pt idx="135">
                  <c:v>6.4549026097156297</c:v>
                </c:pt>
                <c:pt idx="136">
                  <c:v>7.4177907284607896</c:v>
                </c:pt>
                <c:pt idx="137">
                  <c:v>7.1271713310720601</c:v>
                </c:pt>
                <c:pt idx="138">
                  <c:v>7.5553826083599001</c:v>
                </c:pt>
                <c:pt idx="139">
                  <c:v>7.2670507194508902</c:v>
                </c:pt>
                <c:pt idx="140">
                  <c:v>7.2464533517421197</c:v>
                </c:pt>
                <c:pt idx="141">
                  <c:v>7.4325086945643903</c:v>
                </c:pt>
                <c:pt idx="142">
                  <c:v>7.5018797006472804</c:v>
                </c:pt>
                <c:pt idx="143">
                  <c:v>7.36961426043987</c:v>
                </c:pt>
                <c:pt idx="144">
                  <c:v>7.2078233372604297</c:v>
                </c:pt>
                <c:pt idx="145">
                  <c:v>7.3122131863729196</c:v>
                </c:pt>
                <c:pt idx="146">
                  <c:v>7.42103064185335</c:v>
                </c:pt>
                <c:pt idx="147">
                  <c:v>7.2718819917231103</c:v>
                </c:pt>
                <c:pt idx="148">
                  <c:v>8.1470307798454105</c:v>
                </c:pt>
                <c:pt idx="149">
                  <c:v>7.8742261813386003</c:v>
                </c:pt>
                <c:pt idx="150">
                  <c:v>8.2230394894905796</c:v>
                </c:pt>
                <c:pt idx="151">
                  <c:v>8.0199124013421894</c:v>
                </c:pt>
                <c:pt idx="152">
                  <c:v>7.9861800192662598</c:v>
                </c:pt>
                <c:pt idx="153">
                  <c:v>8.1087345413751599</c:v>
                </c:pt>
                <c:pt idx="154">
                  <c:v>6.5578422373024097</c:v>
                </c:pt>
                <c:pt idx="155">
                  <c:v>6.5091553255365699</c:v>
                </c:pt>
                <c:pt idx="156">
                  <c:v>6.6057266351450696</c:v>
                </c:pt>
                <c:pt idx="157">
                  <c:v>6.5531325534041596</c:v>
                </c:pt>
                <c:pt idx="158">
                  <c:v>7.3685196489956697</c:v>
                </c:pt>
                <c:pt idx="159">
                  <c:v>7.3742686347205204</c:v>
                </c:pt>
                <c:pt idx="160">
                  <c:v>7.4464835603941903</c:v>
                </c:pt>
                <c:pt idx="161">
                  <c:v>7.3555755455017797</c:v>
                </c:pt>
                <c:pt idx="162">
                  <c:v>7.3125949841161697</c:v>
                </c:pt>
                <c:pt idx="163">
                  <c:v>7.3843842061915597</c:v>
                </c:pt>
                <c:pt idx="164">
                  <c:v>7.4164293822550498</c:v>
                </c:pt>
                <c:pt idx="165">
                  <c:v>8.05531225318345</c:v>
                </c:pt>
                <c:pt idx="166">
                  <c:v>8.0975164863604796</c:v>
                </c:pt>
                <c:pt idx="167">
                  <c:v>6.5490497560365704</c:v>
                </c:pt>
                <c:pt idx="168">
                  <c:v>6.2444367039804201</c:v>
                </c:pt>
                <c:pt idx="169">
                  <c:v>6.7325720252438304</c:v>
                </c:pt>
                <c:pt idx="170">
                  <c:v>6.48484855469819</c:v>
                </c:pt>
                <c:pt idx="171">
                  <c:v>6.3781879715043601</c:v>
                </c:pt>
                <c:pt idx="172">
                  <c:v>6.5883573244627902</c:v>
                </c:pt>
                <c:pt idx="173">
                  <c:v>6.7471399585819896</c:v>
                </c:pt>
                <c:pt idx="174">
                  <c:v>6.6343589566630596</c:v>
                </c:pt>
                <c:pt idx="175">
                  <c:v>6.5213309879523598</c:v>
                </c:pt>
                <c:pt idx="176">
                  <c:v>6.3600779747341596</c:v>
                </c:pt>
                <c:pt idx="177">
                  <c:v>6.3618171404393999</c:v>
                </c:pt>
                <c:pt idx="178">
                  <c:v>6.4821823055073802</c:v>
                </c:pt>
                <c:pt idx="179">
                  <c:v>6.4833800127369798</c:v>
                </c:pt>
                <c:pt idx="180">
                  <c:v>6.5122207769050702</c:v>
                </c:pt>
                <c:pt idx="181">
                  <c:v>6.5550706161659296</c:v>
                </c:pt>
                <c:pt idx="182">
                  <c:v>6.4775638647073803</c:v>
                </c:pt>
                <c:pt idx="183">
                  <c:v>7.4082096993605502</c:v>
                </c:pt>
                <c:pt idx="184">
                  <c:v>7.0629602009078498</c:v>
                </c:pt>
                <c:pt idx="185">
                  <c:v>7.5443872823351299</c:v>
                </c:pt>
                <c:pt idx="186">
                  <c:v>7.29212465523677</c:v>
                </c:pt>
                <c:pt idx="187">
                  <c:v>7.2382118565088902</c:v>
                </c:pt>
                <c:pt idx="188">
                  <c:v>7.4324306080556903</c:v>
                </c:pt>
                <c:pt idx="189">
                  <c:v>7.4411862497168002</c:v>
                </c:pt>
                <c:pt idx="190">
                  <c:v>7.4965887314422703</c:v>
                </c:pt>
                <c:pt idx="191">
                  <c:v>7.3816181554887201</c:v>
                </c:pt>
                <c:pt idx="192">
                  <c:v>7.1849727511534898</c:v>
                </c:pt>
                <c:pt idx="193">
                  <c:v>7.32210210213601</c:v>
                </c:pt>
                <c:pt idx="194">
                  <c:v>7.4241770348254503</c:v>
                </c:pt>
                <c:pt idx="195">
                  <c:v>7.2849981719969197</c:v>
                </c:pt>
                <c:pt idx="196">
                  <c:v>8.1412115390948294</c:v>
                </c:pt>
                <c:pt idx="197">
                  <c:v>7.8395738958332997</c:v>
                </c:pt>
                <c:pt idx="198">
                  <c:v>8.0345788447701398</c:v>
                </c:pt>
                <c:pt idx="199">
                  <c:v>7.9826089240138698</c:v>
                </c:pt>
                <c:pt idx="200">
                  <c:v>7.4579399248897902</c:v>
                </c:pt>
                <c:pt idx="201">
                  <c:v>7.30775946564611</c:v>
                </c:pt>
                <c:pt idx="202">
                  <c:v>7.36608985172992</c:v>
                </c:pt>
                <c:pt idx="203">
                  <c:v>7.4016128623207402</c:v>
                </c:pt>
                <c:pt idx="204">
                  <c:v>8.0978346242570094</c:v>
                </c:pt>
                <c:pt idx="205">
                  <c:v>7.4168984449108599</c:v>
                </c:pt>
                <c:pt idx="206">
                  <c:v>7.0747680367783401</c:v>
                </c:pt>
                <c:pt idx="207">
                  <c:v>7.5029664436627401</c:v>
                </c:pt>
                <c:pt idx="208">
                  <c:v>7.3448361276421403</c:v>
                </c:pt>
                <c:pt idx="209">
                  <c:v>7.2680285789647296</c:v>
                </c:pt>
                <c:pt idx="210">
                  <c:v>7.2356743655368598</c:v>
                </c:pt>
                <c:pt idx="211">
                  <c:v>7.3602603899171202</c:v>
                </c:pt>
                <c:pt idx="212">
                  <c:v>7.43247176285566</c:v>
                </c:pt>
                <c:pt idx="213">
                  <c:v>7.4147442807500203</c:v>
                </c:pt>
                <c:pt idx="214">
                  <c:v>7.4877819556833902</c:v>
                </c:pt>
                <c:pt idx="215">
                  <c:v>7.3812908396010197</c:v>
                </c:pt>
                <c:pt idx="216">
                  <c:v>7.3336991124173396</c:v>
                </c:pt>
                <c:pt idx="217">
                  <c:v>7.2013276862807496</c:v>
                </c:pt>
                <c:pt idx="218">
                  <c:v>7.3202743321558996</c:v>
                </c:pt>
                <c:pt idx="219">
                  <c:v>7.4307458545463598</c:v>
                </c:pt>
                <c:pt idx="220">
                  <c:v>7.2612493757077496</c:v>
                </c:pt>
                <c:pt idx="221">
                  <c:v>8.1601384559627608</c:v>
                </c:pt>
                <c:pt idx="222">
                  <c:v>7.85184222893088</c:v>
                </c:pt>
                <c:pt idx="223">
                  <c:v>8.2036196587612995</c:v>
                </c:pt>
                <c:pt idx="224">
                  <c:v>8.0497376242504401</c:v>
                </c:pt>
                <c:pt idx="225">
                  <c:v>8.0345978143242398</c:v>
                </c:pt>
                <c:pt idx="226">
                  <c:v>7.9885366128782804</c:v>
                </c:pt>
                <c:pt idx="227">
                  <c:v>8.1263358640787402</c:v>
                </c:pt>
                <c:pt idx="228">
                  <c:v>7.8414514385304299</c:v>
                </c:pt>
                <c:pt idx="229">
                  <c:v>8.1875114285271895</c:v>
                </c:pt>
                <c:pt idx="230">
                  <c:v>8.0171252496699896</c:v>
                </c:pt>
                <c:pt idx="231">
                  <c:v>8.0192927817805106</c:v>
                </c:pt>
                <c:pt idx="232">
                  <c:v>7.9505359774768296</c:v>
                </c:pt>
                <c:pt idx="233">
                  <c:v>8.06898908668032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E-DE44-BC20-D841B379D709}"/>
            </c:ext>
          </c:extLst>
        </c:ser>
        <c:ser>
          <c:idx val="2"/>
          <c:order val="2"/>
          <c:tx>
            <c:strRef>
              <c:f>graphpruningnumber_cp!$D$1</c:f>
              <c:strCache>
                <c:ptCount val="1"/>
                <c:pt idx="0">
                  <c:v>No pruning</c:v>
                </c:pt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numRef>
              <c:f>graphpruningnumber_cp!$A$2:$A$1001</c:f>
              <c:numCache>
                <c:formatCode>General</c:formatCode>
                <c:ptCount val="100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6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</c:numCache>
            </c:numRef>
          </c:cat>
          <c:val>
            <c:numRef>
              <c:f>graphpruningnumber_cp!$D$2:$D$1001</c:f>
              <c:numCache>
                <c:formatCode>General</c:formatCode>
                <c:ptCount val="1000"/>
                <c:pt idx="0">
                  <c:v>4.7695767012402897</c:v>
                </c:pt>
                <c:pt idx="1">
                  <c:v>4.7681273014980796</c:v>
                </c:pt>
                <c:pt idx="2">
                  <c:v>6.3933115635421904</c:v>
                </c:pt>
                <c:pt idx="3">
                  <c:v>6.3773488768742501</c:v>
                </c:pt>
                <c:pt idx="4">
                  <c:v>6.41727916590603</c:v>
                </c:pt>
                <c:pt idx="5">
                  <c:v>7.4558813421930896</c:v>
                </c:pt>
                <c:pt idx="6">
                  <c:v>7.4826124855831297</c:v>
                </c:pt>
                <c:pt idx="7">
                  <c:v>7.4323198959265104</c:v>
                </c:pt>
                <c:pt idx="8">
                  <c:v>7.45654644045465</c:v>
                </c:pt>
                <c:pt idx="9">
                  <c:v>8.2439246375314497</c:v>
                </c:pt>
                <c:pt idx="10">
                  <c:v>8.3011286409660006</c:v>
                </c:pt>
                <c:pt idx="11">
                  <c:v>8.2361693081117604</c:v>
                </c:pt>
                <c:pt idx="12">
                  <c:v>8.2597824526545693</c:v>
                </c:pt>
                <c:pt idx="13">
                  <c:v>8.2813501229643194</c:v>
                </c:pt>
                <c:pt idx="14">
                  <c:v>8.2445336474866107</c:v>
                </c:pt>
                <c:pt idx="15">
                  <c:v>8.8909759512452595</c:v>
                </c:pt>
                <c:pt idx="16">
                  <c:v>4.6877161936236798</c:v>
                </c:pt>
                <c:pt idx="17">
                  <c:v>4.6621153561527997</c:v>
                </c:pt>
                <c:pt idx="18">
                  <c:v>4.7889810283431604</c:v>
                </c:pt>
                <c:pt idx="19">
                  <c:v>4.7429292724060197</c:v>
                </c:pt>
                <c:pt idx="20">
                  <c:v>4.5354207180561703</c:v>
                </c:pt>
                <c:pt idx="21">
                  <c:v>4.8029446737223997</c:v>
                </c:pt>
                <c:pt idx="22">
                  <c:v>4.6930494840595802</c:v>
                </c:pt>
                <c:pt idx="23">
                  <c:v>4.7472563974421398</c:v>
                </c:pt>
                <c:pt idx="24">
                  <c:v>4.7507705894432597</c:v>
                </c:pt>
                <c:pt idx="25">
                  <c:v>4.7871982600439198</c:v>
                </c:pt>
                <c:pt idx="26">
                  <c:v>4.7466186325481399</c:v>
                </c:pt>
                <c:pt idx="27">
                  <c:v>4.7535983776520796</c:v>
                </c:pt>
                <c:pt idx="28">
                  <c:v>4.8079272042145504</c:v>
                </c:pt>
                <c:pt idx="29">
                  <c:v>4.7610704256255802</c:v>
                </c:pt>
                <c:pt idx="30">
                  <c:v>4.7813531969053296</c:v>
                </c:pt>
                <c:pt idx="31">
                  <c:v>4.6380497482643799</c:v>
                </c:pt>
                <c:pt idx="32">
                  <c:v>4.7280614481156302</c:v>
                </c:pt>
                <c:pt idx="33">
                  <c:v>4.68020856119211</c:v>
                </c:pt>
                <c:pt idx="34">
                  <c:v>6.3328376253463601</c:v>
                </c:pt>
                <c:pt idx="35">
                  <c:v>6.2535560672201198</c:v>
                </c:pt>
                <c:pt idx="36">
                  <c:v>6.3837500374343499</c:v>
                </c:pt>
                <c:pt idx="37">
                  <c:v>6.35465653405201</c:v>
                </c:pt>
                <c:pt idx="38">
                  <c:v>6.2214716183073797</c:v>
                </c:pt>
                <c:pt idx="39">
                  <c:v>6.2884888935608503</c:v>
                </c:pt>
                <c:pt idx="40">
                  <c:v>6.3597844639653296</c:v>
                </c:pt>
                <c:pt idx="41">
                  <c:v>6.3611519197257396</c:v>
                </c:pt>
                <c:pt idx="42">
                  <c:v>6.3856395146198102</c:v>
                </c:pt>
                <c:pt idx="43">
                  <c:v>6.3132089553514898</c:v>
                </c:pt>
                <c:pt idx="44">
                  <c:v>6.3219851262078102</c:v>
                </c:pt>
                <c:pt idx="45">
                  <c:v>6.3653715334315102</c:v>
                </c:pt>
                <c:pt idx="46">
                  <c:v>6.39463674190264</c:v>
                </c:pt>
                <c:pt idx="47">
                  <c:v>6.3747276386487401</c:v>
                </c:pt>
                <c:pt idx="48">
                  <c:v>6.3313418464965396</c:v>
                </c:pt>
                <c:pt idx="49">
                  <c:v>6.3245285543721002</c:v>
                </c:pt>
                <c:pt idx="50">
                  <c:v>6.3352755188961298</c:v>
                </c:pt>
                <c:pt idx="51">
                  <c:v>7.3926139018843502</c:v>
                </c:pt>
                <c:pt idx="52">
                  <c:v>7.3477013003379401</c:v>
                </c:pt>
                <c:pt idx="53">
                  <c:v>7.4566617537815496</c:v>
                </c:pt>
                <c:pt idx="54">
                  <c:v>7.3941264861835396</c:v>
                </c:pt>
                <c:pt idx="55">
                  <c:v>7.4174524775309401</c:v>
                </c:pt>
                <c:pt idx="56">
                  <c:v>7.4098971784833996</c:v>
                </c:pt>
                <c:pt idx="57">
                  <c:v>7.4699373463333796</c:v>
                </c:pt>
                <c:pt idx="58">
                  <c:v>7.4620393472416398</c:v>
                </c:pt>
                <c:pt idx="59">
                  <c:v>7.4474033539335203</c:v>
                </c:pt>
                <c:pt idx="60">
                  <c:v>7.4026278411436897</c:v>
                </c:pt>
                <c:pt idx="61">
                  <c:v>7.4086230781255997</c:v>
                </c:pt>
                <c:pt idx="62">
                  <c:v>7.4514542957894596</c:v>
                </c:pt>
                <c:pt idx="63">
                  <c:v>7.4757891290137604</c:v>
                </c:pt>
                <c:pt idx="64">
                  <c:v>7.4334443350314396</c:v>
                </c:pt>
                <c:pt idx="65">
                  <c:v>7.41566416166338</c:v>
                </c:pt>
                <c:pt idx="66">
                  <c:v>7.4155717441013298</c:v>
                </c:pt>
                <c:pt idx="67">
                  <c:v>8.19969250162465</c:v>
                </c:pt>
                <c:pt idx="68">
                  <c:v>8.1675429644928794</c:v>
                </c:pt>
                <c:pt idx="69">
                  <c:v>8.2784511192494108</c:v>
                </c:pt>
                <c:pt idx="70">
                  <c:v>8.1923580299831293</c:v>
                </c:pt>
                <c:pt idx="71">
                  <c:v>8.2426479987399706</c:v>
                </c:pt>
                <c:pt idx="72">
                  <c:v>8.2247240324935795</c:v>
                </c:pt>
                <c:pt idx="73">
                  <c:v>8.2745057876366293</c:v>
                </c:pt>
                <c:pt idx="74">
                  <c:v>8.2669061007600799</c:v>
                </c:pt>
                <c:pt idx="75">
                  <c:v>8.2284026764741007</c:v>
                </c:pt>
                <c:pt idx="76">
                  <c:v>8.2390515300914302</c:v>
                </c:pt>
                <c:pt idx="77">
                  <c:v>8.1856274868944503</c:v>
                </c:pt>
                <c:pt idx="78">
                  <c:v>8.2565257747319194</c:v>
                </c:pt>
                <c:pt idx="79">
                  <c:v>8.2510074638646795</c:v>
                </c:pt>
                <c:pt idx="80">
                  <c:v>8.1917767612494607</c:v>
                </c:pt>
                <c:pt idx="81">
                  <c:v>8.8730637485362909</c:v>
                </c:pt>
                <c:pt idx="82">
                  <c:v>8.83264453446807</c:v>
                </c:pt>
                <c:pt idx="83">
                  <c:v>8.9147960719850605</c:v>
                </c:pt>
                <c:pt idx="84">
                  <c:v>8.8551798821961398</c:v>
                </c:pt>
                <c:pt idx="85">
                  <c:v>8.8904100891983902</c:v>
                </c:pt>
                <c:pt idx="86">
                  <c:v>8.8925912300232799</c:v>
                </c:pt>
                <c:pt idx="87">
                  <c:v>6.38694640608787</c:v>
                </c:pt>
                <c:pt idx="88">
                  <c:v>6.3658104037110999</c:v>
                </c:pt>
                <c:pt idx="89">
                  <c:v>6.3194666759964999</c:v>
                </c:pt>
                <c:pt idx="90">
                  <c:v>7.4482918887527898</c:v>
                </c:pt>
                <c:pt idx="91">
                  <c:v>7.4075329150931397</c:v>
                </c:pt>
                <c:pt idx="92">
                  <c:v>7.4798308310410402</c:v>
                </c:pt>
                <c:pt idx="93">
                  <c:v>7.4232057039366399</c:v>
                </c:pt>
                <c:pt idx="94">
                  <c:v>7.4440783196586304</c:v>
                </c:pt>
                <c:pt idx="95">
                  <c:v>7.42123002595046</c:v>
                </c:pt>
                <c:pt idx="96">
                  <c:v>8.2571712650704008</c:v>
                </c:pt>
                <c:pt idx="97">
                  <c:v>8.2413915786819398</c:v>
                </c:pt>
                <c:pt idx="98">
                  <c:v>8.3131317590698295</c:v>
                </c:pt>
                <c:pt idx="99">
                  <c:v>8.2465988287156797</c:v>
                </c:pt>
                <c:pt idx="100">
                  <c:v>8.2442662967121692</c:v>
                </c:pt>
                <c:pt idx="101">
                  <c:v>8.2509312757433992</c:v>
                </c:pt>
                <c:pt idx="102">
                  <c:v>8.2966474540146091</c:v>
                </c:pt>
                <c:pt idx="103">
                  <c:v>8.2700260331245907</c:v>
                </c:pt>
                <c:pt idx="104">
                  <c:v>8.9232077623379507</c:v>
                </c:pt>
                <c:pt idx="105">
                  <c:v>6.3260776657748501</c:v>
                </c:pt>
                <c:pt idx="106">
                  <c:v>6.2523420098404303</c:v>
                </c:pt>
                <c:pt idx="107">
                  <c:v>6.3738998187713296</c:v>
                </c:pt>
                <c:pt idx="108">
                  <c:v>6.3512664459107899</c:v>
                </c:pt>
                <c:pt idx="109">
                  <c:v>6.2231071603974897</c:v>
                </c:pt>
                <c:pt idx="110">
                  <c:v>6.2520883395365798</c:v>
                </c:pt>
                <c:pt idx="111">
                  <c:v>6.3488441827506499</c:v>
                </c:pt>
                <c:pt idx="112">
                  <c:v>6.3533206143018299</c:v>
                </c:pt>
                <c:pt idx="113">
                  <c:v>6.4119659934675903</c:v>
                </c:pt>
                <c:pt idx="114">
                  <c:v>6.3731954900012999</c:v>
                </c:pt>
                <c:pt idx="115">
                  <c:v>6.31617611452213</c:v>
                </c:pt>
                <c:pt idx="116">
                  <c:v>6.3199970626601898</c:v>
                </c:pt>
                <c:pt idx="117">
                  <c:v>6.3469244193997199</c:v>
                </c:pt>
                <c:pt idx="118">
                  <c:v>6.3817282578851602</c:v>
                </c:pt>
                <c:pt idx="119">
                  <c:v>6.3782205126695901</c:v>
                </c:pt>
                <c:pt idx="120">
                  <c:v>6.3256034985437504</c:v>
                </c:pt>
                <c:pt idx="121">
                  <c:v>6.3277625895142098</c:v>
                </c:pt>
                <c:pt idx="122">
                  <c:v>7.3878839289097904</c:v>
                </c:pt>
                <c:pt idx="123">
                  <c:v>7.3454020421072199</c:v>
                </c:pt>
                <c:pt idx="124">
                  <c:v>7.4509763427658697</c:v>
                </c:pt>
                <c:pt idx="125">
                  <c:v>7.3969373342846696</c:v>
                </c:pt>
                <c:pt idx="126">
                  <c:v>7.4028670286551197</c:v>
                </c:pt>
                <c:pt idx="127">
                  <c:v>7.46227022164787</c:v>
                </c:pt>
                <c:pt idx="128">
                  <c:v>7.4519508224682403</c:v>
                </c:pt>
                <c:pt idx="129">
                  <c:v>7.45840453624138</c:v>
                </c:pt>
                <c:pt idx="130">
                  <c:v>7.3958798400146799</c:v>
                </c:pt>
                <c:pt idx="131">
                  <c:v>7.3957301254338299</c:v>
                </c:pt>
                <c:pt idx="132">
                  <c:v>7.4448387973144001</c:v>
                </c:pt>
                <c:pt idx="133">
                  <c:v>7.4761677575514902</c:v>
                </c:pt>
                <c:pt idx="134">
                  <c:v>7.4312373017142797</c:v>
                </c:pt>
                <c:pt idx="135">
                  <c:v>7.4120751900688697</c:v>
                </c:pt>
                <c:pt idx="136">
                  <c:v>8.2131165944524902</c:v>
                </c:pt>
                <c:pt idx="137">
                  <c:v>8.1744918917075609</c:v>
                </c:pt>
                <c:pt idx="138">
                  <c:v>8.2937069981561695</c:v>
                </c:pt>
                <c:pt idx="139">
                  <c:v>8.2195051069758893</c:v>
                </c:pt>
                <c:pt idx="140">
                  <c:v>8.2516782783130402</c:v>
                </c:pt>
                <c:pt idx="141">
                  <c:v>8.2815708071013798</c:v>
                </c:pt>
                <c:pt idx="142">
                  <c:v>8.2769968033522794</c:v>
                </c:pt>
                <c:pt idx="143">
                  <c:v>8.2810031201986494</c:v>
                </c:pt>
                <c:pt idx="144">
                  <c:v>8.1948200830040605</c:v>
                </c:pt>
                <c:pt idx="145">
                  <c:v>8.2696674111694204</c:v>
                </c:pt>
                <c:pt idx="146">
                  <c:v>8.2629716580763404</c:v>
                </c:pt>
                <c:pt idx="147">
                  <c:v>8.2074194205571693</c:v>
                </c:pt>
                <c:pt idx="148">
                  <c:v>8.9043437312234204</c:v>
                </c:pt>
                <c:pt idx="149">
                  <c:v>8.8605714271341594</c:v>
                </c:pt>
                <c:pt idx="150">
                  <c:v>8.9512576969764392</c:v>
                </c:pt>
                <c:pt idx="151">
                  <c:v>8.9018328687917698</c:v>
                </c:pt>
                <c:pt idx="152">
                  <c:v>8.9150686129569294</c:v>
                </c:pt>
                <c:pt idx="153">
                  <c:v>8.9254853806525691</c:v>
                </c:pt>
                <c:pt idx="154">
                  <c:v>7.4430051199735496</c:v>
                </c:pt>
                <c:pt idx="155">
                  <c:v>7.4014376265681001</c:v>
                </c:pt>
                <c:pt idx="156">
                  <c:v>7.4148861629547396</c:v>
                </c:pt>
                <c:pt idx="157">
                  <c:v>7.4490187758633004</c:v>
                </c:pt>
                <c:pt idx="158">
                  <c:v>8.2545507307199006</c:v>
                </c:pt>
                <c:pt idx="159">
                  <c:v>8.2373284451252697</c:v>
                </c:pt>
                <c:pt idx="160">
                  <c:v>8.23953656171844</c:v>
                </c:pt>
                <c:pt idx="161">
                  <c:v>8.2460834416414404</c:v>
                </c:pt>
                <c:pt idx="162">
                  <c:v>8.2498712418603795</c:v>
                </c:pt>
                <c:pt idx="163">
                  <c:v>8.2914232803919194</c:v>
                </c:pt>
                <c:pt idx="164">
                  <c:v>8.2675133110200694</c:v>
                </c:pt>
                <c:pt idx="165">
                  <c:v>8.9212764619620302</c:v>
                </c:pt>
                <c:pt idx="166">
                  <c:v>8.9206841148236897</c:v>
                </c:pt>
                <c:pt idx="167">
                  <c:v>7.3870028827379803</c:v>
                </c:pt>
                <c:pt idx="168">
                  <c:v>7.3408862553164003</c:v>
                </c:pt>
                <c:pt idx="169">
                  <c:v>7.4492074476060299</c:v>
                </c:pt>
                <c:pt idx="170">
                  <c:v>7.4060638133013796</c:v>
                </c:pt>
                <c:pt idx="171">
                  <c:v>7.4086950743534299</c:v>
                </c:pt>
                <c:pt idx="172">
                  <c:v>7.4550539110504896</c:v>
                </c:pt>
                <c:pt idx="173">
                  <c:v>7.4762428750367702</c:v>
                </c:pt>
                <c:pt idx="174">
                  <c:v>7.44289285783326</c:v>
                </c:pt>
                <c:pt idx="175">
                  <c:v>7.4595221234078197</c:v>
                </c:pt>
                <c:pt idx="176">
                  <c:v>7.3962292059950903</c:v>
                </c:pt>
                <c:pt idx="177">
                  <c:v>7.3874166663322303</c:v>
                </c:pt>
                <c:pt idx="178">
                  <c:v>7.4450278593619901</c:v>
                </c:pt>
                <c:pt idx="179">
                  <c:v>7.4707337538946597</c:v>
                </c:pt>
                <c:pt idx="180">
                  <c:v>7.4322648743868402</c:v>
                </c:pt>
                <c:pt idx="181">
                  <c:v>7.4225860812019402</c:v>
                </c:pt>
                <c:pt idx="182">
                  <c:v>7.4102035353061604</c:v>
                </c:pt>
                <c:pt idx="183">
                  <c:v>8.2108654104723406</c:v>
                </c:pt>
                <c:pt idx="184">
                  <c:v>8.1633832886864006</c:v>
                </c:pt>
                <c:pt idx="185">
                  <c:v>8.2909121971499609</c:v>
                </c:pt>
                <c:pt idx="186">
                  <c:v>8.2204381127556392</c:v>
                </c:pt>
                <c:pt idx="187">
                  <c:v>8.2507815020041999</c:v>
                </c:pt>
                <c:pt idx="188">
                  <c:v>8.2778107855807193</c:v>
                </c:pt>
                <c:pt idx="189">
                  <c:v>8.3122317075751297</c:v>
                </c:pt>
                <c:pt idx="190">
                  <c:v>8.2703152482046995</c:v>
                </c:pt>
                <c:pt idx="191">
                  <c:v>8.2778273197407302</c:v>
                </c:pt>
                <c:pt idx="192">
                  <c:v>8.1885403434407404</c:v>
                </c:pt>
                <c:pt idx="193">
                  <c:v>8.2680143853798906</c:v>
                </c:pt>
                <c:pt idx="194">
                  <c:v>8.2591760098915508</c:v>
                </c:pt>
                <c:pt idx="195">
                  <c:v>8.2063063083146606</c:v>
                </c:pt>
                <c:pt idx="196">
                  <c:v>8.9020649921099206</c:v>
                </c:pt>
                <c:pt idx="197">
                  <c:v>8.8523181491418796</c:v>
                </c:pt>
                <c:pt idx="198">
                  <c:v>8.9014224331303993</c:v>
                </c:pt>
                <c:pt idx="199">
                  <c:v>8.9161473363525499</c:v>
                </c:pt>
                <c:pt idx="200">
                  <c:v>8.2281973787091705</c:v>
                </c:pt>
                <c:pt idx="201">
                  <c:v>8.2263505253924905</c:v>
                </c:pt>
                <c:pt idx="202">
                  <c:v>8.2762986764307005</c:v>
                </c:pt>
                <c:pt idx="203">
                  <c:v>8.2519933864599704</c:v>
                </c:pt>
                <c:pt idx="204">
                  <c:v>8.9224013778088196</c:v>
                </c:pt>
                <c:pt idx="205">
                  <c:v>8.1920485797186799</c:v>
                </c:pt>
                <c:pt idx="206">
                  <c:v>8.1479663947928298</c:v>
                </c:pt>
                <c:pt idx="207">
                  <c:v>8.2755414995775798</c:v>
                </c:pt>
                <c:pt idx="208">
                  <c:v>8.2315565298281594</c:v>
                </c:pt>
                <c:pt idx="209">
                  <c:v>8.2007211285340293</c:v>
                </c:pt>
                <c:pt idx="210">
                  <c:v>8.2316952425920906</c:v>
                </c:pt>
                <c:pt idx="211">
                  <c:v>8.2205391232571294</c:v>
                </c:pt>
                <c:pt idx="212">
                  <c:v>8.2632303143245895</c:v>
                </c:pt>
                <c:pt idx="213">
                  <c:v>8.2950394162751397</c:v>
                </c:pt>
                <c:pt idx="214">
                  <c:v>8.2589661661604801</c:v>
                </c:pt>
                <c:pt idx="215">
                  <c:v>8.2629194740352894</c:v>
                </c:pt>
                <c:pt idx="216">
                  <c:v>8.22726391943214</c:v>
                </c:pt>
                <c:pt idx="217">
                  <c:v>8.1742673991527006</c:v>
                </c:pt>
                <c:pt idx="218">
                  <c:v>8.2514076036016597</c:v>
                </c:pt>
                <c:pt idx="219">
                  <c:v>8.2422678285380897</c:v>
                </c:pt>
                <c:pt idx="220">
                  <c:v>8.1794335677002206</c:v>
                </c:pt>
                <c:pt idx="221">
                  <c:v>8.9005336827916608</c:v>
                </c:pt>
                <c:pt idx="222">
                  <c:v>8.8542321355994407</c:v>
                </c:pt>
                <c:pt idx="223">
                  <c:v>8.9479946317004604</c:v>
                </c:pt>
                <c:pt idx="224">
                  <c:v>8.9206633081234994</c:v>
                </c:pt>
                <c:pt idx="225">
                  <c:v>8.9007568742324406</c:v>
                </c:pt>
                <c:pt idx="226">
                  <c:v>8.9131544690826203</c:v>
                </c:pt>
                <c:pt idx="227">
                  <c:v>8.8677147955752993</c:v>
                </c:pt>
                <c:pt idx="228">
                  <c:v>8.8287968168917796</c:v>
                </c:pt>
                <c:pt idx="229">
                  <c:v>8.9154098692513593</c:v>
                </c:pt>
                <c:pt idx="230">
                  <c:v>8.8902725502305895</c:v>
                </c:pt>
                <c:pt idx="231">
                  <c:v>8.8783730195653199</c:v>
                </c:pt>
                <c:pt idx="232">
                  <c:v>8.8831809055650002</c:v>
                </c:pt>
                <c:pt idx="233">
                  <c:v>8.8921901837279993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E-DE44-BC20-D841B379D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2965"/>
        <c:axId val="1607502374"/>
      </c:areaChart>
      <c:catAx>
        <c:axId val="7462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7502374"/>
        <c:crosses val="autoZero"/>
        <c:auto val="1"/>
        <c:lblAlgn val="ctr"/>
        <c:lblOffset val="100"/>
        <c:noMultiLvlLbl val="1"/>
      </c:catAx>
      <c:valAx>
        <c:axId val="1607502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6296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crit pts vs total times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'graphtotal_timevnumber critical'!$B$1</c:f>
              <c:strCache>
                <c:ptCount val="1"/>
                <c:pt idx="0">
                  <c:v>Total time: All pruning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7620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'graphtotal_timevnumber critical'!$A$2:$A$211</c:f>
              <c:numCache>
                <c:formatCode>General</c:formatCode>
                <c:ptCount val="210"/>
                <c:pt idx="0">
                  <c:v>27</c:v>
                </c:pt>
                <c:pt idx="1">
                  <c:v>131</c:v>
                </c:pt>
                <c:pt idx="2">
                  <c:v>379</c:v>
                </c:pt>
                <c:pt idx="3">
                  <c:v>678</c:v>
                </c:pt>
                <c:pt idx="4">
                  <c:v>746</c:v>
                </c:pt>
                <c:pt idx="5">
                  <c:v>1380</c:v>
                </c:pt>
                <c:pt idx="6">
                  <c:v>27</c:v>
                </c:pt>
                <c:pt idx="7">
                  <c:v>15</c:v>
                </c:pt>
                <c:pt idx="8">
                  <c:v>21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130</c:v>
                </c:pt>
                <c:pt idx="13">
                  <c:v>74</c:v>
                </c:pt>
                <c:pt idx="14">
                  <c:v>107</c:v>
                </c:pt>
                <c:pt idx="15">
                  <c:v>83</c:v>
                </c:pt>
                <c:pt idx="16">
                  <c:v>84</c:v>
                </c:pt>
                <c:pt idx="17">
                  <c:v>231</c:v>
                </c:pt>
                <c:pt idx="18">
                  <c:v>216</c:v>
                </c:pt>
                <c:pt idx="19">
                  <c:v>364</c:v>
                </c:pt>
                <c:pt idx="20">
                  <c:v>219</c:v>
                </c:pt>
                <c:pt idx="21">
                  <c:v>259</c:v>
                </c:pt>
                <c:pt idx="22">
                  <c:v>296</c:v>
                </c:pt>
                <c:pt idx="23">
                  <c:v>878</c:v>
                </c:pt>
                <c:pt idx="24">
                  <c:v>643</c:v>
                </c:pt>
                <c:pt idx="25">
                  <c:v>550</c:v>
                </c:pt>
                <c:pt idx="26">
                  <c:v>761</c:v>
                </c:pt>
                <c:pt idx="27">
                  <c:v>1378</c:v>
                </c:pt>
                <c:pt idx="28">
                  <c:v>1216</c:v>
                </c:pt>
                <c:pt idx="29">
                  <c:v>119</c:v>
                </c:pt>
                <c:pt idx="30">
                  <c:v>314</c:v>
                </c:pt>
                <c:pt idx="31">
                  <c:v>358</c:v>
                </c:pt>
                <c:pt idx="32">
                  <c:v>678</c:v>
                </c:pt>
                <c:pt idx="33">
                  <c:v>814</c:v>
                </c:pt>
                <c:pt idx="34">
                  <c:v>661</c:v>
                </c:pt>
                <c:pt idx="35">
                  <c:v>84</c:v>
                </c:pt>
                <c:pt idx="36">
                  <c:v>102</c:v>
                </c:pt>
                <c:pt idx="37">
                  <c:v>92</c:v>
                </c:pt>
                <c:pt idx="38">
                  <c:v>107</c:v>
                </c:pt>
                <c:pt idx="39">
                  <c:v>83</c:v>
                </c:pt>
                <c:pt idx="40">
                  <c:v>84</c:v>
                </c:pt>
                <c:pt idx="41">
                  <c:v>221</c:v>
                </c:pt>
                <c:pt idx="42">
                  <c:v>213</c:v>
                </c:pt>
                <c:pt idx="43">
                  <c:v>296</c:v>
                </c:pt>
                <c:pt idx="44">
                  <c:v>302</c:v>
                </c:pt>
                <c:pt idx="45">
                  <c:v>296</c:v>
                </c:pt>
                <c:pt idx="46">
                  <c:v>878</c:v>
                </c:pt>
                <c:pt idx="47">
                  <c:v>771</c:v>
                </c:pt>
                <c:pt idx="48">
                  <c:v>454</c:v>
                </c:pt>
                <c:pt idx="49">
                  <c:v>571</c:v>
                </c:pt>
                <c:pt idx="50">
                  <c:v>1779</c:v>
                </c:pt>
                <c:pt idx="51">
                  <c:v>1407</c:v>
                </c:pt>
                <c:pt idx="52">
                  <c:v>358</c:v>
                </c:pt>
                <c:pt idx="53">
                  <c:v>643</c:v>
                </c:pt>
                <c:pt idx="54">
                  <c:v>599</c:v>
                </c:pt>
                <c:pt idx="55">
                  <c:v>1380</c:v>
                </c:pt>
                <c:pt idx="56">
                  <c:v>221</c:v>
                </c:pt>
                <c:pt idx="57">
                  <c:v>213</c:v>
                </c:pt>
                <c:pt idx="58">
                  <c:v>290</c:v>
                </c:pt>
                <c:pt idx="59">
                  <c:v>219</c:v>
                </c:pt>
                <c:pt idx="60">
                  <c:v>281</c:v>
                </c:pt>
                <c:pt idx="61">
                  <c:v>534</c:v>
                </c:pt>
                <c:pt idx="62">
                  <c:v>524</c:v>
                </c:pt>
                <c:pt idx="63">
                  <c:v>761</c:v>
                </c:pt>
                <c:pt idx="64">
                  <c:v>454</c:v>
                </c:pt>
                <c:pt idx="65">
                  <c:v>571</c:v>
                </c:pt>
                <c:pt idx="66">
                  <c:v>1216</c:v>
                </c:pt>
                <c:pt idx="67">
                  <c:v>599</c:v>
                </c:pt>
                <c:pt idx="68">
                  <c:v>1407</c:v>
                </c:pt>
                <c:pt idx="69">
                  <c:v>878</c:v>
                </c:pt>
                <c:pt idx="70">
                  <c:v>555</c:v>
                </c:pt>
                <c:pt idx="71">
                  <c:v>761</c:v>
                </c:pt>
                <c:pt idx="72">
                  <c:v>550</c:v>
                </c:pt>
                <c:pt idx="73">
                  <c:v>737</c:v>
                </c:pt>
                <c:pt idx="74">
                  <c:v>1004</c:v>
                </c:pt>
                <c:pt idx="75">
                  <c:v>1216</c:v>
                </c:pt>
                <c:pt idx="76">
                  <c:v>1004</c:v>
                </c:pt>
                <c:pt idx="77">
                  <c:v>1216</c:v>
                </c:pt>
                <c:pt idx="78">
                  <c:v>27</c:v>
                </c:pt>
                <c:pt idx="79">
                  <c:v>131</c:v>
                </c:pt>
                <c:pt idx="80">
                  <c:v>379</c:v>
                </c:pt>
                <c:pt idx="81">
                  <c:v>678</c:v>
                </c:pt>
                <c:pt idx="82">
                  <c:v>746</c:v>
                </c:pt>
                <c:pt idx="83">
                  <c:v>1380</c:v>
                </c:pt>
                <c:pt idx="84">
                  <c:v>27</c:v>
                </c:pt>
                <c:pt idx="85">
                  <c:v>15</c:v>
                </c:pt>
                <c:pt idx="86">
                  <c:v>21</c:v>
                </c:pt>
                <c:pt idx="87">
                  <c:v>15</c:v>
                </c:pt>
                <c:pt idx="88">
                  <c:v>15</c:v>
                </c:pt>
                <c:pt idx="89">
                  <c:v>16</c:v>
                </c:pt>
                <c:pt idx="90">
                  <c:v>130</c:v>
                </c:pt>
                <c:pt idx="91">
                  <c:v>74</c:v>
                </c:pt>
                <c:pt idx="92">
                  <c:v>107</c:v>
                </c:pt>
                <c:pt idx="93">
                  <c:v>83</c:v>
                </c:pt>
                <c:pt idx="94">
                  <c:v>84</c:v>
                </c:pt>
                <c:pt idx="95">
                  <c:v>231</c:v>
                </c:pt>
                <c:pt idx="96">
                  <c:v>216</c:v>
                </c:pt>
                <c:pt idx="97">
                  <c:v>364</c:v>
                </c:pt>
                <c:pt idx="98">
                  <c:v>219</c:v>
                </c:pt>
                <c:pt idx="99">
                  <c:v>259</c:v>
                </c:pt>
                <c:pt idx="100">
                  <c:v>296</c:v>
                </c:pt>
                <c:pt idx="101">
                  <c:v>878</c:v>
                </c:pt>
                <c:pt idx="102">
                  <c:v>643</c:v>
                </c:pt>
                <c:pt idx="103">
                  <c:v>550</c:v>
                </c:pt>
                <c:pt idx="104">
                  <c:v>761</c:v>
                </c:pt>
                <c:pt idx="105">
                  <c:v>1378</c:v>
                </c:pt>
                <c:pt idx="106">
                  <c:v>1216</c:v>
                </c:pt>
                <c:pt idx="107">
                  <c:v>119</c:v>
                </c:pt>
                <c:pt idx="108">
                  <c:v>314</c:v>
                </c:pt>
                <c:pt idx="109">
                  <c:v>358</c:v>
                </c:pt>
                <c:pt idx="110">
                  <c:v>678</c:v>
                </c:pt>
                <c:pt idx="111">
                  <c:v>814</c:v>
                </c:pt>
                <c:pt idx="112">
                  <c:v>661</c:v>
                </c:pt>
                <c:pt idx="113">
                  <c:v>84</c:v>
                </c:pt>
                <c:pt idx="114">
                  <c:v>102</c:v>
                </c:pt>
                <c:pt idx="115">
                  <c:v>92</c:v>
                </c:pt>
                <c:pt idx="116">
                  <c:v>107</c:v>
                </c:pt>
                <c:pt idx="117">
                  <c:v>83</c:v>
                </c:pt>
                <c:pt idx="118">
                  <c:v>84</c:v>
                </c:pt>
                <c:pt idx="119">
                  <c:v>221</c:v>
                </c:pt>
                <c:pt idx="120">
                  <c:v>213</c:v>
                </c:pt>
                <c:pt idx="121">
                  <c:v>296</c:v>
                </c:pt>
                <c:pt idx="122">
                  <c:v>302</c:v>
                </c:pt>
                <c:pt idx="123">
                  <c:v>296</c:v>
                </c:pt>
                <c:pt idx="124">
                  <c:v>878</c:v>
                </c:pt>
                <c:pt idx="125">
                  <c:v>771</c:v>
                </c:pt>
                <c:pt idx="126">
                  <c:v>454</c:v>
                </c:pt>
                <c:pt idx="127">
                  <c:v>571</c:v>
                </c:pt>
                <c:pt idx="128">
                  <c:v>1779</c:v>
                </c:pt>
                <c:pt idx="129">
                  <c:v>1407</c:v>
                </c:pt>
                <c:pt idx="130">
                  <c:v>358</c:v>
                </c:pt>
                <c:pt idx="131">
                  <c:v>643</c:v>
                </c:pt>
                <c:pt idx="132">
                  <c:v>599</c:v>
                </c:pt>
                <c:pt idx="133">
                  <c:v>1380</c:v>
                </c:pt>
                <c:pt idx="134">
                  <c:v>221</c:v>
                </c:pt>
                <c:pt idx="135">
                  <c:v>213</c:v>
                </c:pt>
                <c:pt idx="136">
                  <c:v>290</c:v>
                </c:pt>
                <c:pt idx="137">
                  <c:v>219</c:v>
                </c:pt>
                <c:pt idx="138">
                  <c:v>281</c:v>
                </c:pt>
                <c:pt idx="139">
                  <c:v>534</c:v>
                </c:pt>
                <c:pt idx="140">
                  <c:v>524</c:v>
                </c:pt>
                <c:pt idx="141">
                  <c:v>761</c:v>
                </c:pt>
                <c:pt idx="142">
                  <c:v>454</c:v>
                </c:pt>
                <c:pt idx="143">
                  <c:v>571</c:v>
                </c:pt>
                <c:pt idx="144">
                  <c:v>1216</c:v>
                </c:pt>
                <c:pt idx="145">
                  <c:v>599</c:v>
                </c:pt>
                <c:pt idx="146">
                  <c:v>1407</c:v>
                </c:pt>
                <c:pt idx="147">
                  <c:v>878</c:v>
                </c:pt>
                <c:pt idx="148">
                  <c:v>555</c:v>
                </c:pt>
                <c:pt idx="149">
                  <c:v>761</c:v>
                </c:pt>
                <c:pt idx="150">
                  <c:v>550</c:v>
                </c:pt>
                <c:pt idx="151">
                  <c:v>737</c:v>
                </c:pt>
                <c:pt idx="152">
                  <c:v>1004</c:v>
                </c:pt>
                <c:pt idx="153">
                  <c:v>1216</c:v>
                </c:pt>
                <c:pt idx="154">
                  <c:v>1004</c:v>
                </c:pt>
                <c:pt idx="155">
                  <c:v>1216</c:v>
                </c:pt>
                <c:pt idx="156">
                  <c:v>27</c:v>
                </c:pt>
                <c:pt idx="157">
                  <c:v>131</c:v>
                </c:pt>
                <c:pt idx="158">
                  <c:v>379</c:v>
                </c:pt>
                <c:pt idx="159">
                  <c:v>678</c:v>
                </c:pt>
                <c:pt idx="160">
                  <c:v>746</c:v>
                </c:pt>
                <c:pt idx="161">
                  <c:v>1380</c:v>
                </c:pt>
                <c:pt idx="162">
                  <c:v>27</c:v>
                </c:pt>
                <c:pt idx="163">
                  <c:v>15</c:v>
                </c:pt>
                <c:pt idx="164">
                  <c:v>21</c:v>
                </c:pt>
                <c:pt idx="165">
                  <c:v>15</c:v>
                </c:pt>
                <c:pt idx="166">
                  <c:v>15</c:v>
                </c:pt>
                <c:pt idx="167">
                  <c:v>16</c:v>
                </c:pt>
                <c:pt idx="168">
                  <c:v>130</c:v>
                </c:pt>
                <c:pt idx="169">
                  <c:v>74</c:v>
                </c:pt>
                <c:pt idx="170">
                  <c:v>107</c:v>
                </c:pt>
                <c:pt idx="171">
                  <c:v>83</c:v>
                </c:pt>
                <c:pt idx="172">
                  <c:v>84</c:v>
                </c:pt>
                <c:pt idx="173">
                  <c:v>231</c:v>
                </c:pt>
                <c:pt idx="174">
                  <c:v>216</c:v>
                </c:pt>
                <c:pt idx="175">
                  <c:v>364</c:v>
                </c:pt>
                <c:pt idx="176">
                  <c:v>219</c:v>
                </c:pt>
                <c:pt idx="177">
                  <c:v>259</c:v>
                </c:pt>
                <c:pt idx="178">
                  <c:v>296</c:v>
                </c:pt>
                <c:pt idx="179">
                  <c:v>878</c:v>
                </c:pt>
                <c:pt idx="180">
                  <c:v>643</c:v>
                </c:pt>
                <c:pt idx="181">
                  <c:v>550</c:v>
                </c:pt>
                <c:pt idx="182">
                  <c:v>761</c:v>
                </c:pt>
                <c:pt idx="183">
                  <c:v>1378</c:v>
                </c:pt>
                <c:pt idx="184">
                  <c:v>1216</c:v>
                </c:pt>
                <c:pt idx="185">
                  <c:v>119</c:v>
                </c:pt>
                <c:pt idx="186">
                  <c:v>314</c:v>
                </c:pt>
                <c:pt idx="187">
                  <c:v>358</c:v>
                </c:pt>
                <c:pt idx="188">
                  <c:v>678</c:v>
                </c:pt>
                <c:pt idx="189">
                  <c:v>814</c:v>
                </c:pt>
                <c:pt idx="190">
                  <c:v>661</c:v>
                </c:pt>
                <c:pt idx="191">
                  <c:v>84</c:v>
                </c:pt>
                <c:pt idx="192">
                  <c:v>102</c:v>
                </c:pt>
                <c:pt idx="193">
                  <c:v>92</c:v>
                </c:pt>
                <c:pt idx="194">
                  <c:v>107</c:v>
                </c:pt>
                <c:pt idx="195">
                  <c:v>83</c:v>
                </c:pt>
                <c:pt idx="196">
                  <c:v>84</c:v>
                </c:pt>
                <c:pt idx="197">
                  <c:v>221</c:v>
                </c:pt>
                <c:pt idx="198">
                  <c:v>213</c:v>
                </c:pt>
                <c:pt idx="199">
                  <c:v>296</c:v>
                </c:pt>
                <c:pt idx="200">
                  <c:v>302</c:v>
                </c:pt>
                <c:pt idx="201">
                  <c:v>296</c:v>
                </c:pt>
                <c:pt idx="202">
                  <c:v>878</c:v>
                </c:pt>
                <c:pt idx="203">
                  <c:v>771</c:v>
                </c:pt>
                <c:pt idx="204">
                  <c:v>454</c:v>
                </c:pt>
                <c:pt idx="205">
                  <c:v>571</c:v>
                </c:pt>
                <c:pt idx="206">
                  <c:v>1779</c:v>
                </c:pt>
                <c:pt idx="207">
                  <c:v>1407</c:v>
                </c:pt>
                <c:pt idx="208">
                  <c:v>358</c:v>
                </c:pt>
                <c:pt idx="209">
                  <c:v>643</c:v>
                </c:pt>
              </c:numCache>
            </c:numRef>
          </c:xVal>
          <c:yVal>
            <c:numRef>
              <c:f>'graphtotal_timevnumber critical'!$B$2:$B$211</c:f>
              <c:numCache>
                <c:formatCode>General</c:formatCode>
                <c:ptCount val="210"/>
                <c:pt idx="0">
                  <c:v>0.81299999999999994</c:v>
                </c:pt>
                <c:pt idx="1">
                  <c:v>0.76900000000000002</c:v>
                </c:pt>
                <c:pt idx="2">
                  <c:v>13.377000000000001</c:v>
                </c:pt>
                <c:pt idx="3">
                  <c:v>15.856</c:v>
                </c:pt>
                <c:pt idx="4">
                  <c:v>17.22</c:v>
                </c:pt>
                <c:pt idx="5">
                  <c:v>298.154</c:v>
                </c:pt>
                <c:pt idx="6">
                  <c:v>177.88200000000001</c:v>
                </c:pt>
                <c:pt idx="7">
                  <c:v>155.88399999999999</c:v>
                </c:pt>
                <c:pt idx="8">
                  <c:v>171.154</c:v>
                </c:pt>
                <c:pt idx="9">
                  <c:v>1486.4780000000001</c:v>
                </c:pt>
                <c:pt idx="10">
                  <c:v>763.654</c:v>
                </c:pt>
                <c:pt idx="11">
                  <c:v>841.96299999999997</c:v>
                </c:pt>
                <c:pt idx="12">
                  <c:v>995.24099999999999</c:v>
                </c:pt>
                <c:pt idx="13">
                  <c:v>972.34799999999996</c:v>
                </c:pt>
                <c:pt idx="14">
                  <c:v>200.87200000000001</c:v>
                </c:pt>
                <c:pt idx="15">
                  <c:v>5481.8280000000004</c:v>
                </c:pt>
                <c:pt idx="16">
                  <c:v>0.38200000000000001</c:v>
                </c:pt>
                <c:pt idx="17">
                  <c:v>0.53</c:v>
                </c:pt>
                <c:pt idx="18">
                  <c:v>0.56999999999999995</c:v>
                </c:pt>
                <c:pt idx="19">
                  <c:v>0.61699999999999999</c:v>
                </c:pt>
                <c:pt idx="20">
                  <c:v>0.53800000000000003</c:v>
                </c:pt>
                <c:pt idx="21">
                  <c:v>0.41299999999999998</c:v>
                </c:pt>
                <c:pt idx="22">
                  <c:v>0.46500000000000002</c:v>
                </c:pt>
                <c:pt idx="23">
                  <c:v>0.55900000000000005</c:v>
                </c:pt>
                <c:pt idx="24">
                  <c:v>0.498</c:v>
                </c:pt>
                <c:pt idx="25">
                  <c:v>0.48</c:v>
                </c:pt>
                <c:pt idx="26">
                  <c:v>0.35599999999999998</c:v>
                </c:pt>
                <c:pt idx="27">
                  <c:v>0.34200000000000003</c:v>
                </c:pt>
                <c:pt idx="28">
                  <c:v>0.42299999999999999</c:v>
                </c:pt>
                <c:pt idx="29">
                  <c:v>0.442</c:v>
                </c:pt>
                <c:pt idx="30">
                  <c:v>0.32700000000000001</c:v>
                </c:pt>
                <c:pt idx="31">
                  <c:v>0.54</c:v>
                </c:pt>
                <c:pt idx="32">
                  <c:v>0.40699999999999997</c:v>
                </c:pt>
                <c:pt idx="33">
                  <c:v>0.49</c:v>
                </c:pt>
                <c:pt idx="34">
                  <c:v>5.2590000000000003</c:v>
                </c:pt>
                <c:pt idx="35">
                  <c:v>3.0790000000000002</c:v>
                </c:pt>
                <c:pt idx="36">
                  <c:v>20.994</c:v>
                </c:pt>
                <c:pt idx="37">
                  <c:v>8.0489999999999995</c:v>
                </c:pt>
                <c:pt idx="38">
                  <c:v>4.63</c:v>
                </c:pt>
                <c:pt idx="39">
                  <c:v>6.5410000000000004</c:v>
                </c:pt>
                <c:pt idx="40">
                  <c:v>3.7850000000000001</c:v>
                </c:pt>
                <c:pt idx="41">
                  <c:v>7.266</c:v>
                </c:pt>
                <c:pt idx="42">
                  <c:v>7.7510000000000003</c:v>
                </c:pt>
                <c:pt idx="43">
                  <c:v>7.0940000000000003</c:v>
                </c:pt>
                <c:pt idx="44">
                  <c:v>4.1349999999999998</c:v>
                </c:pt>
                <c:pt idx="45">
                  <c:v>6.6660000000000004</c:v>
                </c:pt>
                <c:pt idx="46">
                  <c:v>4.4800000000000004</c:v>
                </c:pt>
                <c:pt idx="47">
                  <c:v>6.2649999999999997</c:v>
                </c:pt>
                <c:pt idx="48">
                  <c:v>5.9660000000000002</c:v>
                </c:pt>
                <c:pt idx="49">
                  <c:v>5.6929999999999996</c:v>
                </c:pt>
                <c:pt idx="50">
                  <c:v>6.5460000000000003</c:v>
                </c:pt>
                <c:pt idx="51">
                  <c:v>73.942999999999998</c:v>
                </c:pt>
                <c:pt idx="52">
                  <c:v>27.513000000000002</c:v>
                </c:pt>
                <c:pt idx="53">
                  <c:v>147.65199999999999</c:v>
                </c:pt>
                <c:pt idx="54">
                  <c:v>24.640999999999998</c:v>
                </c:pt>
                <c:pt idx="55">
                  <c:v>54.295999999999999</c:v>
                </c:pt>
                <c:pt idx="56">
                  <c:v>46.42</c:v>
                </c:pt>
                <c:pt idx="57">
                  <c:v>95.23</c:v>
                </c:pt>
                <c:pt idx="58">
                  <c:v>61.05</c:v>
                </c:pt>
                <c:pt idx="59">
                  <c:v>31.443999999999999</c:v>
                </c:pt>
                <c:pt idx="60">
                  <c:v>49.100999999999999</c:v>
                </c:pt>
                <c:pt idx="61">
                  <c:v>44.962000000000003</c:v>
                </c:pt>
                <c:pt idx="62">
                  <c:v>26.277999999999999</c:v>
                </c:pt>
                <c:pt idx="63">
                  <c:v>70.653999999999996</c:v>
                </c:pt>
                <c:pt idx="64">
                  <c:v>56.487000000000002</c:v>
                </c:pt>
                <c:pt idx="65">
                  <c:v>57.484000000000002</c:v>
                </c:pt>
                <c:pt idx="66">
                  <c:v>62.01</c:v>
                </c:pt>
                <c:pt idx="67">
                  <c:v>372.327</c:v>
                </c:pt>
                <c:pt idx="68">
                  <c:v>305.464</c:v>
                </c:pt>
                <c:pt idx="69">
                  <c:v>190.761</c:v>
                </c:pt>
                <c:pt idx="70">
                  <c:v>99.816999999999993</c:v>
                </c:pt>
                <c:pt idx="71">
                  <c:v>350.33199999999999</c:v>
                </c:pt>
                <c:pt idx="72">
                  <c:v>561.63900000000001</c:v>
                </c:pt>
                <c:pt idx="73">
                  <c:v>721.82500000000005</c:v>
                </c:pt>
                <c:pt idx="74">
                  <c:v>534.505</c:v>
                </c:pt>
                <c:pt idx="75">
                  <c:v>115.3</c:v>
                </c:pt>
                <c:pt idx="76">
                  <c:v>505.97800000000001</c:v>
                </c:pt>
                <c:pt idx="77">
                  <c:v>241.29499999999999</c:v>
                </c:pt>
                <c:pt idx="78">
                  <c:v>183.46299999999999</c:v>
                </c:pt>
                <c:pt idx="79">
                  <c:v>527.69500000000005</c:v>
                </c:pt>
                <c:pt idx="80">
                  <c:v>447.53699999999998</c:v>
                </c:pt>
                <c:pt idx="81">
                  <c:v>2047.652</c:v>
                </c:pt>
                <c:pt idx="82">
                  <c:v>1888.165</c:v>
                </c:pt>
                <c:pt idx="83">
                  <c:v>674.79100000000005</c:v>
                </c:pt>
                <c:pt idx="84">
                  <c:v>496.18900000000002</c:v>
                </c:pt>
                <c:pt idx="85">
                  <c:v>1811.126</c:v>
                </c:pt>
                <c:pt idx="86">
                  <c:v>1439.798</c:v>
                </c:pt>
                <c:pt idx="87">
                  <c:v>23.527000000000001</c:v>
                </c:pt>
                <c:pt idx="88">
                  <c:v>19.202000000000002</c:v>
                </c:pt>
                <c:pt idx="89">
                  <c:v>14.651</c:v>
                </c:pt>
                <c:pt idx="90">
                  <c:v>245.26599999999999</c:v>
                </c:pt>
                <c:pt idx="91">
                  <c:v>121.134</c:v>
                </c:pt>
                <c:pt idx="92">
                  <c:v>318.42099999999999</c:v>
                </c:pt>
                <c:pt idx="93">
                  <c:v>182.74100000000001</c:v>
                </c:pt>
                <c:pt idx="94">
                  <c:v>78.001000000000005</c:v>
                </c:pt>
                <c:pt idx="95">
                  <c:v>147.501</c:v>
                </c:pt>
                <c:pt idx="96">
                  <c:v>1444.4490000000001</c:v>
                </c:pt>
                <c:pt idx="97">
                  <c:v>1027.164</c:v>
                </c:pt>
                <c:pt idx="98">
                  <c:v>1432.8579999999999</c:v>
                </c:pt>
                <c:pt idx="99">
                  <c:v>973.279</c:v>
                </c:pt>
                <c:pt idx="100">
                  <c:v>306.06900000000002</c:v>
                </c:pt>
                <c:pt idx="101">
                  <c:v>836.67200000000003</c:v>
                </c:pt>
                <c:pt idx="102">
                  <c:v>970.09500000000003</c:v>
                </c:pt>
                <c:pt idx="103">
                  <c:v>399.74700000000001</c:v>
                </c:pt>
                <c:pt idx="104">
                  <c:v>5460.7120000000004</c:v>
                </c:pt>
                <c:pt idx="105">
                  <c:v>11.634</c:v>
                </c:pt>
                <c:pt idx="106">
                  <c:v>5.93</c:v>
                </c:pt>
                <c:pt idx="107">
                  <c:v>14.577999999999999</c:v>
                </c:pt>
                <c:pt idx="108">
                  <c:v>5.2619999999999996</c:v>
                </c:pt>
                <c:pt idx="109">
                  <c:v>5.0549999999999997</c:v>
                </c:pt>
                <c:pt idx="110">
                  <c:v>5.5970000000000004</c:v>
                </c:pt>
                <c:pt idx="111">
                  <c:v>6.1319999999999997</c:v>
                </c:pt>
                <c:pt idx="112">
                  <c:v>5.7460000000000004</c:v>
                </c:pt>
                <c:pt idx="113">
                  <c:v>7.3090000000000002</c:v>
                </c:pt>
                <c:pt idx="114">
                  <c:v>9.2560000000000002</c:v>
                </c:pt>
                <c:pt idx="115">
                  <c:v>7.2670000000000003</c:v>
                </c:pt>
                <c:pt idx="116">
                  <c:v>3.3250000000000002</c:v>
                </c:pt>
                <c:pt idx="117">
                  <c:v>6.2889999999999997</c:v>
                </c:pt>
                <c:pt idx="118">
                  <c:v>3.58</c:v>
                </c:pt>
                <c:pt idx="119">
                  <c:v>6.4379999999999997</c:v>
                </c:pt>
                <c:pt idx="120">
                  <c:v>6.3310000000000004</c:v>
                </c:pt>
                <c:pt idx="121">
                  <c:v>11.07</c:v>
                </c:pt>
                <c:pt idx="122">
                  <c:v>137.66200000000001</c:v>
                </c:pt>
                <c:pt idx="123">
                  <c:v>48.78</c:v>
                </c:pt>
                <c:pt idx="124">
                  <c:v>153.834</c:v>
                </c:pt>
                <c:pt idx="125">
                  <c:v>52.512</c:v>
                </c:pt>
                <c:pt idx="126">
                  <c:v>52.936999999999998</c:v>
                </c:pt>
                <c:pt idx="127">
                  <c:v>127.221</c:v>
                </c:pt>
                <c:pt idx="128">
                  <c:v>117.947</c:v>
                </c:pt>
                <c:pt idx="129">
                  <c:v>65.382999999999996</c:v>
                </c:pt>
                <c:pt idx="130">
                  <c:v>49.131</c:v>
                </c:pt>
                <c:pt idx="131">
                  <c:v>38.844000000000001</c:v>
                </c:pt>
                <c:pt idx="132">
                  <c:v>23.722999999999999</c:v>
                </c:pt>
                <c:pt idx="133">
                  <c:v>70.388999999999996</c:v>
                </c:pt>
                <c:pt idx="134">
                  <c:v>70.088999999999999</c:v>
                </c:pt>
                <c:pt idx="135">
                  <c:v>103.562</c:v>
                </c:pt>
                <c:pt idx="136">
                  <c:v>670.48</c:v>
                </c:pt>
                <c:pt idx="137">
                  <c:v>395.471</c:v>
                </c:pt>
                <c:pt idx="138">
                  <c:v>330.70800000000003</c:v>
                </c:pt>
                <c:pt idx="139">
                  <c:v>247.77699999999999</c:v>
                </c:pt>
                <c:pt idx="140">
                  <c:v>407.58</c:v>
                </c:pt>
                <c:pt idx="141">
                  <c:v>955.69500000000005</c:v>
                </c:pt>
                <c:pt idx="142">
                  <c:v>914.96500000000003</c:v>
                </c:pt>
                <c:pt idx="143">
                  <c:v>580.14300000000003</c:v>
                </c:pt>
                <c:pt idx="144">
                  <c:v>208.62899999999999</c:v>
                </c:pt>
                <c:pt idx="145">
                  <c:v>171.93700000000001</c:v>
                </c:pt>
                <c:pt idx="146">
                  <c:v>609.923</c:v>
                </c:pt>
                <c:pt idx="147">
                  <c:v>776.19299999999998</c:v>
                </c:pt>
                <c:pt idx="148">
                  <c:v>4037.22</c:v>
                </c:pt>
                <c:pt idx="149">
                  <c:v>2638.9279999999999</c:v>
                </c:pt>
                <c:pt idx="150">
                  <c:v>1161.55</c:v>
                </c:pt>
                <c:pt idx="151">
                  <c:v>1057.8620000000001</c:v>
                </c:pt>
                <c:pt idx="152">
                  <c:v>2429.1179999999999</c:v>
                </c:pt>
                <c:pt idx="153">
                  <c:v>2687.5010000000002</c:v>
                </c:pt>
                <c:pt idx="154">
                  <c:v>209.43899999999999</c:v>
                </c:pt>
                <c:pt idx="155">
                  <c:v>95.816999999999993</c:v>
                </c:pt>
                <c:pt idx="156">
                  <c:v>106.07</c:v>
                </c:pt>
                <c:pt idx="157">
                  <c:v>45.741</c:v>
                </c:pt>
                <c:pt idx="158">
                  <c:v>1480.8440000000001</c:v>
                </c:pt>
                <c:pt idx="159">
                  <c:v>1040.47</c:v>
                </c:pt>
                <c:pt idx="160">
                  <c:v>805.822</c:v>
                </c:pt>
                <c:pt idx="161">
                  <c:v>283.98099999999999</c:v>
                </c:pt>
                <c:pt idx="162">
                  <c:v>685.97900000000004</c:v>
                </c:pt>
                <c:pt idx="163">
                  <c:v>1177.779</c:v>
                </c:pt>
                <c:pt idx="164">
                  <c:v>429.803</c:v>
                </c:pt>
                <c:pt idx="165">
                  <c:v>5833.5519999999997</c:v>
                </c:pt>
                <c:pt idx="166">
                  <c:v>5794.0829999999996</c:v>
                </c:pt>
                <c:pt idx="167">
                  <c:v>71.686000000000007</c:v>
                </c:pt>
                <c:pt idx="168">
                  <c:v>28.742000000000001</c:v>
                </c:pt>
                <c:pt idx="169">
                  <c:v>54.308999999999997</c:v>
                </c:pt>
                <c:pt idx="170">
                  <c:v>36.497</c:v>
                </c:pt>
                <c:pt idx="171">
                  <c:v>57.505000000000003</c:v>
                </c:pt>
                <c:pt idx="172">
                  <c:v>102.792</c:v>
                </c:pt>
                <c:pt idx="173">
                  <c:v>151.369</c:v>
                </c:pt>
                <c:pt idx="174">
                  <c:v>115.645</c:v>
                </c:pt>
                <c:pt idx="175">
                  <c:v>67.837999999999994</c:v>
                </c:pt>
                <c:pt idx="176">
                  <c:v>28.948</c:v>
                </c:pt>
                <c:pt idx="177">
                  <c:v>43.418999999999997</c:v>
                </c:pt>
                <c:pt idx="178">
                  <c:v>15.430999999999999</c:v>
                </c:pt>
                <c:pt idx="179">
                  <c:v>97.8</c:v>
                </c:pt>
                <c:pt idx="180">
                  <c:v>72.896000000000001</c:v>
                </c:pt>
                <c:pt idx="181">
                  <c:v>98.254000000000005</c:v>
                </c:pt>
                <c:pt idx="182">
                  <c:v>98.361000000000004</c:v>
                </c:pt>
                <c:pt idx="183">
                  <c:v>453.49599999999998</c:v>
                </c:pt>
                <c:pt idx="184">
                  <c:v>233.203</c:v>
                </c:pt>
                <c:pt idx="185">
                  <c:v>421.53800000000001</c:v>
                </c:pt>
                <c:pt idx="186">
                  <c:v>233.23099999999999</c:v>
                </c:pt>
                <c:pt idx="187">
                  <c:v>408.88600000000002</c:v>
                </c:pt>
                <c:pt idx="188">
                  <c:v>816.22799999999995</c:v>
                </c:pt>
                <c:pt idx="189">
                  <c:v>777.31299999999999</c:v>
                </c:pt>
                <c:pt idx="190">
                  <c:v>1026.713</c:v>
                </c:pt>
                <c:pt idx="191">
                  <c:v>651.11</c:v>
                </c:pt>
                <c:pt idx="192">
                  <c:v>254.06200000000001</c:v>
                </c:pt>
                <c:pt idx="193">
                  <c:v>157.13999999999999</c:v>
                </c:pt>
                <c:pt idx="194">
                  <c:v>1330.162</c:v>
                </c:pt>
                <c:pt idx="195">
                  <c:v>697.07799999999997</c:v>
                </c:pt>
                <c:pt idx="196">
                  <c:v>3786.6579999999999</c:v>
                </c:pt>
                <c:pt idx="197">
                  <c:v>2130.9340000000002</c:v>
                </c:pt>
                <c:pt idx="198">
                  <c:v>1254.298</c:v>
                </c:pt>
                <c:pt idx="199">
                  <c:v>2973.0540000000001</c:v>
                </c:pt>
                <c:pt idx="200">
                  <c:v>688.048</c:v>
                </c:pt>
                <c:pt idx="201">
                  <c:v>667.58299999999997</c:v>
                </c:pt>
                <c:pt idx="202">
                  <c:v>689.31600000000003</c:v>
                </c:pt>
                <c:pt idx="203">
                  <c:v>313.88900000000001</c:v>
                </c:pt>
                <c:pt idx="204">
                  <c:v>5519.0010000000002</c:v>
                </c:pt>
                <c:pt idx="205">
                  <c:v>438.37299999999999</c:v>
                </c:pt>
                <c:pt idx="206">
                  <c:v>227.73599999999999</c:v>
                </c:pt>
                <c:pt idx="207">
                  <c:v>250.98599999999999</c:v>
                </c:pt>
                <c:pt idx="208">
                  <c:v>318.87400000000002</c:v>
                </c:pt>
                <c:pt idx="209">
                  <c:v>99.647999999999996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0B-D84D-B538-AB0849352D5F}"/>
            </c:ext>
          </c:extLst>
        </c:ser>
        <c:ser>
          <c:idx val="1"/>
          <c:order val="1"/>
          <c:tx>
            <c:strRef>
              <c:f>'graphtotal_timevnumber critical'!$C$1</c:f>
              <c:strCache>
                <c:ptCount val="1"/>
                <c:pt idx="0">
                  <c:v>Total time: old pruning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7620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'graphtotal_timevnumber critical'!$A$2:$A$211</c:f>
              <c:numCache>
                <c:formatCode>General</c:formatCode>
                <c:ptCount val="210"/>
                <c:pt idx="0">
                  <c:v>27</c:v>
                </c:pt>
                <c:pt idx="1">
                  <c:v>131</c:v>
                </c:pt>
                <c:pt idx="2">
                  <c:v>379</c:v>
                </c:pt>
                <c:pt idx="3">
                  <c:v>678</c:v>
                </c:pt>
                <c:pt idx="4">
                  <c:v>746</c:v>
                </c:pt>
                <c:pt idx="5">
                  <c:v>1380</c:v>
                </c:pt>
                <c:pt idx="6">
                  <c:v>27</c:v>
                </c:pt>
                <c:pt idx="7">
                  <c:v>15</c:v>
                </c:pt>
                <c:pt idx="8">
                  <c:v>21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130</c:v>
                </c:pt>
                <c:pt idx="13">
                  <c:v>74</c:v>
                </c:pt>
                <c:pt idx="14">
                  <c:v>107</c:v>
                </c:pt>
                <c:pt idx="15">
                  <c:v>83</c:v>
                </c:pt>
                <c:pt idx="16">
                  <c:v>84</c:v>
                </c:pt>
                <c:pt idx="17">
                  <c:v>231</c:v>
                </c:pt>
                <c:pt idx="18">
                  <c:v>216</c:v>
                </c:pt>
                <c:pt idx="19">
                  <c:v>364</c:v>
                </c:pt>
                <c:pt idx="20">
                  <c:v>219</c:v>
                </c:pt>
                <c:pt idx="21">
                  <c:v>259</c:v>
                </c:pt>
                <c:pt idx="22">
                  <c:v>296</c:v>
                </c:pt>
                <c:pt idx="23">
                  <c:v>878</c:v>
                </c:pt>
                <c:pt idx="24">
                  <c:v>643</c:v>
                </c:pt>
                <c:pt idx="25">
                  <c:v>550</c:v>
                </c:pt>
                <c:pt idx="26">
                  <c:v>761</c:v>
                </c:pt>
                <c:pt idx="27">
                  <c:v>1378</c:v>
                </c:pt>
                <c:pt idx="28">
                  <c:v>1216</c:v>
                </c:pt>
                <c:pt idx="29">
                  <c:v>119</c:v>
                </c:pt>
                <c:pt idx="30">
                  <c:v>314</c:v>
                </c:pt>
                <c:pt idx="31">
                  <c:v>358</c:v>
                </c:pt>
                <c:pt idx="32">
                  <c:v>678</c:v>
                </c:pt>
                <c:pt idx="33">
                  <c:v>814</c:v>
                </c:pt>
                <c:pt idx="34">
                  <c:v>661</c:v>
                </c:pt>
                <c:pt idx="35">
                  <c:v>84</c:v>
                </c:pt>
                <c:pt idx="36">
                  <c:v>102</c:v>
                </c:pt>
                <c:pt idx="37">
                  <c:v>92</c:v>
                </c:pt>
                <c:pt idx="38">
                  <c:v>107</c:v>
                </c:pt>
                <c:pt idx="39">
                  <c:v>83</c:v>
                </c:pt>
                <c:pt idx="40">
                  <c:v>84</c:v>
                </c:pt>
                <c:pt idx="41">
                  <c:v>221</c:v>
                </c:pt>
                <c:pt idx="42">
                  <c:v>213</c:v>
                </c:pt>
                <c:pt idx="43">
                  <c:v>296</c:v>
                </c:pt>
                <c:pt idx="44">
                  <c:v>302</c:v>
                </c:pt>
                <c:pt idx="45">
                  <c:v>296</c:v>
                </c:pt>
                <c:pt idx="46">
                  <c:v>878</c:v>
                </c:pt>
                <c:pt idx="47">
                  <c:v>771</c:v>
                </c:pt>
                <c:pt idx="48">
                  <c:v>454</c:v>
                </c:pt>
                <c:pt idx="49">
                  <c:v>571</c:v>
                </c:pt>
                <c:pt idx="50">
                  <c:v>1779</c:v>
                </c:pt>
                <c:pt idx="51">
                  <c:v>1407</c:v>
                </c:pt>
                <c:pt idx="52">
                  <c:v>358</c:v>
                </c:pt>
                <c:pt idx="53">
                  <c:v>643</c:v>
                </c:pt>
                <c:pt idx="54">
                  <c:v>599</c:v>
                </c:pt>
                <c:pt idx="55">
                  <c:v>1380</c:v>
                </c:pt>
                <c:pt idx="56">
                  <c:v>221</c:v>
                </c:pt>
                <c:pt idx="57">
                  <c:v>213</c:v>
                </c:pt>
                <c:pt idx="58">
                  <c:v>290</c:v>
                </c:pt>
                <c:pt idx="59">
                  <c:v>219</c:v>
                </c:pt>
                <c:pt idx="60">
                  <c:v>281</c:v>
                </c:pt>
                <c:pt idx="61">
                  <c:v>534</c:v>
                </c:pt>
                <c:pt idx="62">
                  <c:v>524</c:v>
                </c:pt>
                <c:pt idx="63">
                  <c:v>761</c:v>
                </c:pt>
                <c:pt idx="64">
                  <c:v>454</c:v>
                </c:pt>
                <c:pt idx="65">
                  <c:v>571</c:v>
                </c:pt>
                <c:pt idx="66">
                  <c:v>1216</c:v>
                </c:pt>
                <c:pt idx="67">
                  <c:v>599</c:v>
                </c:pt>
                <c:pt idx="68">
                  <c:v>1407</c:v>
                </c:pt>
                <c:pt idx="69">
                  <c:v>878</c:v>
                </c:pt>
                <c:pt idx="70">
                  <c:v>555</c:v>
                </c:pt>
                <c:pt idx="71">
                  <c:v>761</c:v>
                </c:pt>
                <c:pt idx="72">
                  <c:v>550</c:v>
                </c:pt>
                <c:pt idx="73">
                  <c:v>737</c:v>
                </c:pt>
                <c:pt idx="74">
                  <c:v>1004</c:v>
                </c:pt>
                <c:pt idx="75">
                  <c:v>1216</c:v>
                </c:pt>
                <c:pt idx="76">
                  <c:v>1004</c:v>
                </c:pt>
                <c:pt idx="77">
                  <c:v>1216</c:v>
                </c:pt>
                <c:pt idx="78">
                  <c:v>27</c:v>
                </c:pt>
                <c:pt idx="79">
                  <c:v>131</c:v>
                </c:pt>
                <c:pt idx="80">
                  <c:v>379</c:v>
                </c:pt>
                <c:pt idx="81">
                  <c:v>678</c:v>
                </c:pt>
                <c:pt idx="82">
                  <c:v>746</c:v>
                </c:pt>
                <c:pt idx="83">
                  <c:v>1380</c:v>
                </c:pt>
                <c:pt idx="84">
                  <c:v>27</c:v>
                </c:pt>
                <c:pt idx="85">
                  <c:v>15</c:v>
                </c:pt>
                <c:pt idx="86">
                  <c:v>21</c:v>
                </c:pt>
                <c:pt idx="87">
                  <c:v>15</c:v>
                </c:pt>
                <c:pt idx="88">
                  <c:v>15</c:v>
                </c:pt>
                <c:pt idx="89">
                  <c:v>16</c:v>
                </c:pt>
                <c:pt idx="90">
                  <c:v>130</c:v>
                </c:pt>
                <c:pt idx="91">
                  <c:v>74</c:v>
                </c:pt>
                <c:pt idx="92">
                  <c:v>107</c:v>
                </c:pt>
                <c:pt idx="93">
                  <c:v>83</c:v>
                </c:pt>
                <c:pt idx="94">
                  <c:v>84</c:v>
                </c:pt>
                <c:pt idx="95">
                  <c:v>231</c:v>
                </c:pt>
                <c:pt idx="96">
                  <c:v>216</c:v>
                </c:pt>
                <c:pt idx="97">
                  <c:v>364</c:v>
                </c:pt>
                <c:pt idx="98">
                  <c:v>219</c:v>
                </c:pt>
                <c:pt idx="99">
                  <c:v>259</c:v>
                </c:pt>
                <c:pt idx="100">
                  <c:v>296</c:v>
                </c:pt>
                <c:pt idx="101">
                  <c:v>878</c:v>
                </c:pt>
                <c:pt idx="102">
                  <c:v>643</c:v>
                </c:pt>
                <c:pt idx="103">
                  <c:v>550</c:v>
                </c:pt>
                <c:pt idx="104">
                  <c:v>761</c:v>
                </c:pt>
                <c:pt idx="105">
                  <c:v>1378</c:v>
                </c:pt>
                <c:pt idx="106">
                  <c:v>1216</c:v>
                </c:pt>
                <c:pt idx="107">
                  <c:v>119</c:v>
                </c:pt>
                <c:pt idx="108">
                  <c:v>314</c:v>
                </c:pt>
                <c:pt idx="109">
                  <c:v>358</c:v>
                </c:pt>
                <c:pt idx="110">
                  <c:v>678</c:v>
                </c:pt>
                <c:pt idx="111">
                  <c:v>814</c:v>
                </c:pt>
                <c:pt idx="112">
                  <c:v>661</c:v>
                </c:pt>
                <c:pt idx="113">
                  <c:v>84</c:v>
                </c:pt>
                <c:pt idx="114">
                  <c:v>102</c:v>
                </c:pt>
                <c:pt idx="115">
                  <c:v>92</c:v>
                </c:pt>
                <c:pt idx="116">
                  <c:v>107</c:v>
                </c:pt>
                <c:pt idx="117">
                  <c:v>83</c:v>
                </c:pt>
                <c:pt idx="118">
                  <c:v>84</c:v>
                </c:pt>
                <c:pt idx="119">
                  <c:v>221</c:v>
                </c:pt>
                <c:pt idx="120">
                  <c:v>213</c:v>
                </c:pt>
                <c:pt idx="121">
                  <c:v>296</c:v>
                </c:pt>
                <c:pt idx="122">
                  <c:v>302</c:v>
                </c:pt>
                <c:pt idx="123">
                  <c:v>296</c:v>
                </c:pt>
                <c:pt idx="124">
                  <c:v>878</c:v>
                </c:pt>
                <c:pt idx="125">
                  <c:v>771</c:v>
                </c:pt>
                <c:pt idx="126">
                  <c:v>454</c:v>
                </c:pt>
                <c:pt idx="127">
                  <c:v>571</c:v>
                </c:pt>
                <c:pt idx="128">
                  <c:v>1779</c:v>
                </c:pt>
                <c:pt idx="129">
                  <c:v>1407</c:v>
                </c:pt>
                <c:pt idx="130">
                  <c:v>358</c:v>
                </c:pt>
                <c:pt idx="131">
                  <c:v>643</c:v>
                </c:pt>
                <c:pt idx="132">
                  <c:v>599</c:v>
                </c:pt>
                <c:pt idx="133">
                  <c:v>1380</c:v>
                </c:pt>
                <c:pt idx="134">
                  <c:v>221</c:v>
                </c:pt>
                <c:pt idx="135">
                  <c:v>213</c:v>
                </c:pt>
                <c:pt idx="136">
                  <c:v>290</c:v>
                </c:pt>
                <c:pt idx="137">
                  <c:v>219</c:v>
                </c:pt>
                <c:pt idx="138">
                  <c:v>281</c:v>
                </c:pt>
                <c:pt idx="139">
                  <c:v>534</c:v>
                </c:pt>
                <c:pt idx="140">
                  <c:v>524</c:v>
                </c:pt>
                <c:pt idx="141">
                  <c:v>761</c:v>
                </c:pt>
                <c:pt idx="142">
                  <c:v>454</c:v>
                </c:pt>
                <c:pt idx="143">
                  <c:v>571</c:v>
                </c:pt>
                <c:pt idx="144">
                  <c:v>1216</c:v>
                </c:pt>
                <c:pt idx="145">
                  <c:v>599</c:v>
                </c:pt>
                <c:pt idx="146">
                  <c:v>1407</c:v>
                </c:pt>
                <c:pt idx="147">
                  <c:v>878</c:v>
                </c:pt>
                <c:pt idx="148">
                  <c:v>555</c:v>
                </c:pt>
                <c:pt idx="149">
                  <c:v>761</c:v>
                </c:pt>
                <c:pt idx="150">
                  <c:v>550</c:v>
                </c:pt>
                <c:pt idx="151">
                  <c:v>737</c:v>
                </c:pt>
                <c:pt idx="152">
                  <c:v>1004</c:v>
                </c:pt>
                <c:pt idx="153">
                  <c:v>1216</c:v>
                </c:pt>
                <c:pt idx="154">
                  <c:v>1004</c:v>
                </c:pt>
                <c:pt idx="155">
                  <c:v>1216</c:v>
                </c:pt>
                <c:pt idx="156">
                  <c:v>27</c:v>
                </c:pt>
                <c:pt idx="157">
                  <c:v>131</c:v>
                </c:pt>
                <c:pt idx="158">
                  <c:v>379</c:v>
                </c:pt>
                <c:pt idx="159">
                  <c:v>678</c:v>
                </c:pt>
                <c:pt idx="160">
                  <c:v>746</c:v>
                </c:pt>
                <c:pt idx="161">
                  <c:v>1380</c:v>
                </c:pt>
                <c:pt idx="162">
                  <c:v>27</c:v>
                </c:pt>
                <c:pt idx="163">
                  <c:v>15</c:v>
                </c:pt>
                <c:pt idx="164">
                  <c:v>21</c:v>
                </c:pt>
                <c:pt idx="165">
                  <c:v>15</c:v>
                </c:pt>
                <c:pt idx="166">
                  <c:v>15</c:v>
                </c:pt>
                <c:pt idx="167">
                  <c:v>16</c:v>
                </c:pt>
                <c:pt idx="168">
                  <c:v>130</c:v>
                </c:pt>
                <c:pt idx="169">
                  <c:v>74</c:v>
                </c:pt>
                <c:pt idx="170">
                  <c:v>107</c:v>
                </c:pt>
                <c:pt idx="171">
                  <c:v>83</c:v>
                </c:pt>
                <c:pt idx="172">
                  <c:v>84</c:v>
                </c:pt>
                <c:pt idx="173">
                  <c:v>231</c:v>
                </c:pt>
                <c:pt idx="174">
                  <c:v>216</c:v>
                </c:pt>
                <c:pt idx="175">
                  <c:v>364</c:v>
                </c:pt>
                <c:pt idx="176">
                  <c:v>219</c:v>
                </c:pt>
                <c:pt idx="177">
                  <c:v>259</c:v>
                </c:pt>
                <c:pt idx="178">
                  <c:v>296</c:v>
                </c:pt>
                <c:pt idx="179">
                  <c:v>878</c:v>
                </c:pt>
                <c:pt idx="180">
                  <c:v>643</c:v>
                </c:pt>
                <c:pt idx="181">
                  <c:v>550</c:v>
                </c:pt>
                <c:pt idx="182">
                  <c:v>761</c:v>
                </c:pt>
                <c:pt idx="183">
                  <c:v>1378</c:v>
                </c:pt>
                <c:pt idx="184">
                  <c:v>1216</c:v>
                </c:pt>
                <c:pt idx="185">
                  <c:v>119</c:v>
                </c:pt>
                <c:pt idx="186">
                  <c:v>314</c:v>
                </c:pt>
                <c:pt idx="187">
                  <c:v>358</c:v>
                </c:pt>
                <c:pt idx="188">
                  <c:v>678</c:v>
                </c:pt>
                <c:pt idx="189">
                  <c:v>814</c:v>
                </c:pt>
                <c:pt idx="190">
                  <c:v>661</c:v>
                </c:pt>
                <c:pt idx="191">
                  <c:v>84</c:v>
                </c:pt>
                <c:pt idx="192">
                  <c:v>102</c:v>
                </c:pt>
                <c:pt idx="193">
                  <c:v>92</c:v>
                </c:pt>
                <c:pt idx="194">
                  <c:v>107</c:v>
                </c:pt>
                <c:pt idx="195">
                  <c:v>83</c:v>
                </c:pt>
                <c:pt idx="196">
                  <c:v>84</c:v>
                </c:pt>
                <c:pt idx="197">
                  <c:v>221</c:v>
                </c:pt>
                <c:pt idx="198">
                  <c:v>213</c:v>
                </c:pt>
                <c:pt idx="199">
                  <c:v>296</c:v>
                </c:pt>
                <c:pt idx="200">
                  <c:v>302</c:v>
                </c:pt>
                <c:pt idx="201">
                  <c:v>296</c:v>
                </c:pt>
                <c:pt idx="202">
                  <c:v>878</c:v>
                </c:pt>
                <c:pt idx="203">
                  <c:v>771</c:v>
                </c:pt>
                <c:pt idx="204">
                  <c:v>454</c:v>
                </c:pt>
                <c:pt idx="205">
                  <c:v>571</c:v>
                </c:pt>
                <c:pt idx="206">
                  <c:v>1779</c:v>
                </c:pt>
                <c:pt idx="207">
                  <c:v>1407</c:v>
                </c:pt>
                <c:pt idx="208">
                  <c:v>358</c:v>
                </c:pt>
                <c:pt idx="209">
                  <c:v>643</c:v>
                </c:pt>
              </c:numCache>
            </c:numRef>
          </c:xVal>
          <c:yVal>
            <c:numRef>
              <c:f>'graphtotal_timevnumber critical'!$C$2:$C$211</c:f>
              <c:numCache>
                <c:formatCode>General</c:formatCode>
                <c:ptCount val="210"/>
                <c:pt idx="0">
                  <c:v>0.89100000000000001</c:v>
                </c:pt>
                <c:pt idx="1">
                  <c:v>0.88100000000000001</c:v>
                </c:pt>
                <c:pt idx="2">
                  <c:v>34.371000000000002</c:v>
                </c:pt>
                <c:pt idx="3">
                  <c:v>18.817</c:v>
                </c:pt>
                <c:pt idx="4">
                  <c:v>33.146000000000001</c:v>
                </c:pt>
                <c:pt idx="5">
                  <c:v>385.226</c:v>
                </c:pt>
                <c:pt idx="6">
                  <c:v>466.45600000000002</c:v>
                </c:pt>
                <c:pt idx="7">
                  <c:v>188.495</c:v>
                </c:pt>
                <c:pt idx="8">
                  <c:v>324.553</c:v>
                </c:pt>
                <c:pt idx="9">
                  <c:v>1918.9590000000001</c:v>
                </c:pt>
                <c:pt idx="10">
                  <c:v>1972.38</c:v>
                </c:pt>
                <c:pt idx="11">
                  <c:v>1291.9010000000001</c:v>
                </c:pt>
                <c:pt idx="12">
                  <c:v>2170.3670000000002</c:v>
                </c:pt>
                <c:pt idx="13">
                  <c:v>1541.8320000000001</c:v>
                </c:pt>
                <c:pt idx="14">
                  <c:v>743.81899999999996</c:v>
                </c:pt>
                <c:pt idx="15">
                  <c:v>7955.5219999999999</c:v>
                </c:pt>
                <c:pt idx="16">
                  <c:v>0.57699999999999996</c:v>
                </c:pt>
                <c:pt idx="17">
                  <c:v>0.59599999999999997</c:v>
                </c:pt>
                <c:pt idx="18">
                  <c:v>0.73499999999999999</c:v>
                </c:pt>
                <c:pt idx="19">
                  <c:v>0.73</c:v>
                </c:pt>
                <c:pt idx="20">
                  <c:v>0.59199999999999997</c:v>
                </c:pt>
                <c:pt idx="21">
                  <c:v>0.46899999999999997</c:v>
                </c:pt>
                <c:pt idx="22">
                  <c:v>0.55500000000000005</c:v>
                </c:pt>
                <c:pt idx="23">
                  <c:v>0.76800000000000002</c:v>
                </c:pt>
                <c:pt idx="24">
                  <c:v>0.59599999999999997</c:v>
                </c:pt>
                <c:pt idx="25">
                  <c:v>0.52600000000000002</c:v>
                </c:pt>
                <c:pt idx="26">
                  <c:v>0.53</c:v>
                </c:pt>
                <c:pt idx="27">
                  <c:v>0.52300000000000002</c:v>
                </c:pt>
                <c:pt idx="28">
                  <c:v>0.46600000000000003</c:v>
                </c:pt>
                <c:pt idx="29">
                  <c:v>0.90200000000000002</c:v>
                </c:pt>
                <c:pt idx="30">
                  <c:v>0.51300000000000001</c:v>
                </c:pt>
                <c:pt idx="31">
                  <c:v>0.60099999999999998</c:v>
                </c:pt>
                <c:pt idx="32">
                  <c:v>0.52100000000000002</c:v>
                </c:pt>
                <c:pt idx="33">
                  <c:v>0.55600000000000005</c:v>
                </c:pt>
                <c:pt idx="34">
                  <c:v>10.401</c:v>
                </c:pt>
                <c:pt idx="35">
                  <c:v>6.6509999999999998</c:v>
                </c:pt>
                <c:pt idx="36">
                  <c:v>39.75</c:v>
                </c:pt>
                <c:pt idx="37">
                  <c:v>11.382</c:v>
                </c:pt>
                <c:pt idx="38">
                  <c:v>6.2080000000000002</c:v>
                </c:pt>
                <c:pt idx="39">
                  <c:v>7.2069999999999999</c:v>
                </c:pt>
                <c:pt idx="40">
                  <c:v>10.069000000000001</c:v>
                </c:pt>
                <c:pt idx="41">
                  <c:v>16.806999999999999</c:v>
                </c:pt>
                <c:pt idx="42">
                  <c:v>10.555</c:v>
                </c:pt>
                <c:pt idx="43">
                  <c:v>8.5990000000000002</c:v>
                </c:pt>
                <c:pt idx="44">
                  <c:v>9.9269999999999996</c:v>
                </c:pt>
                <c:pt idx="45">
                  <c:v>8.3109999999999999</c:v>
                </c:pt>
                <c:pt idx="46">
                  <c:v>15.840999999999999</c:v>
                </c:pt>
                <c:pt idx="47">
                  <c:v>9.6110000000000007</c:v>
                </c:pt>
                <c:pt idx="48">
                  <c:v>10.513999999999999</c:v>
                </c:pt>
                <c:pt idx="49">
                  <c:v>9.1790000000000003</c:v>
                </c:pt>
                <c:pt idx="50">
                  <c:v>9.2970000000000006</c:v>
                </c:pt>
                <c:pt idx="51">
                  <c:v>136.06</c:v>
                </c:pt>
                <c:pt idx="52">
                  <c:v>51.917999999999999</c:v>
                </c:pt>
                <c:pt idx="53">
                  <c:v>391.60199999999998</c:v>
                </c:pt>
                <c:pt idx="54">
                  <c:v>95.021000000000001</c:v>
                </c:pt>
                <c:pt idx="55">
                  <c:v>69.906000000000006</c:v>
                </c:pt>
                <c:pt idx="56">
                  <c:v>103.93</c:v>
                </c:pt>
                <c:pt idx="57">
                  <c:v>207.57900000000001</c:v>
                </c:pt>
                <c:pt idx="58">
                  <c:v>138.83500000000001</c:v>
                </c:pt>
                <c:pt idx="59">
                  <c:v>174.43299999999999</c:v>
                </c:pt>
                <c:pt idx="60">
                  <c:v>90.491</c:v>
                </c:pt>
                <c:pt idx="61">
                  <c:v>77.269000000000005</c:v>
                </c:pt>
                <c:pt idx="62">
                  <c:v>191.26400000000001</c:v>
                </c:pt>
                <c:pt idx="63">
                  <c:v>126.21899999999999</c:v>
                </c:pt>
                <c:pt idx="64">
                  <c:v>102.261</c:v>
                </c:pt>
                <c:pt idx="65">
                  <c:v>98.795000000000002</c:v>
                </c:pt>
                <c:pt idx="66">
                  <c:v>92.412999999999997</c:v>
                </c:pt>
                <c:pt idx="67">
                  <c:v>990.70500000000004</c:v>
                </c:pt>
                <c:pt idx="68">
                  <c:v>497.30599999999998</c:v>
                </c:pt>
                <c:pt idx="69">
                  <c:v>2319.0439999999999</c:v>
                </c:pt>
                <c:pt idx="70">
                  <c:v>483.31900000000002</c:v>
                </c:pt>
                <c:pt idx="71">
                  <c:v>464.31700000000001</c:v>
                </c:pt>
                <c:pt idx="72">
                  <c:v>1226.731</c:v>
                </c:pt>
                <c:pt idx="73">
                  <c:v>2003.6010000000001</c:v>
                </c:pt>
                <c:pt idx="74">
                  <c:v>1352.2059999999999</c:v>
                </c:pt>
                <c:pt idx="75">
                  <c:v>978.47199999999998</c:v>
                </c:pt>
                <c:pt idx="76">
                  <c:v>889.88699999999994</c:v>
                </c:pt>
                <c:pt idx="77">
                  <c:v>550.69600000000003</c:v>
                </c:pt>
                <c:pt idx="78">
                  <c:v>1378.8340000000001</c:v>
                </c:pt>
                <c:pt idx="79">
                  <c:v>886.55399999999997</c:v>
                </c:pt>
                <c:pt idx="80">
                  <c:v>616.524</c:v>
                </c:pt>
                <c:pt idx="81">
                  <c:v>5472.4390000000003</c:v>
                </c:pt>
                <c:pt idx="82">
                  <c:v>3236.462</c:v>
                </c:pt>
                <c:pt idx="83">
                  <c:v>10288.888999999999</c:v>
                </c:pt>
                <c:pt idx="84">
                  <c:v>2987.0340000000001</c:v>
                </c:pt>
                <c:pt idx="85">
                  <c:v>3115.2330000000002</c:v>
                </c:pt>
                <c:pt idx="86">
                  <c:v>5426.317</c:v>
                </c:pt>
                <c:pt idx="87">
                  <c:v>35.610999999999997</c:v>
                </c:pt>
                <c:pt idx="88">
                  <c:v>22.24</c:v>
                </c:pt>
                <c:pt idx="89">
                  <c:v>22.081</c:v>
                </c:pt>
                <c:pt idx="90">
                  <c:v>318.262</c:v>
                </c:pt>
                <c:pt idx="91">
                  <c:v>180.58199999999999</c:v>
                </c:pt>
                <c:pt idx="92">
                  <c:v>536.79999999999995</c:v>
                </c:pt>
                <c:pt idx="93">
                  <c:v>223.654</c:v>
                </c:pt>
                <c:pt idx="94">
                  <c:v>283.49400000000003</c:v>
                </c:pt>
                <c:pt idx="95">
                  <c:v>224.50899999999999</c:v>
                </c:pt>
                <c:pt idx="96">
                  <c:v>1964.799</c:v>
                </c:pt>
                <c:pt idx="97">
                  <c:v>1534.3920000000001</c:v>
                </c:pt>
                <c:pt idx="98">
                  <c:v>2483.288</c:v>
                </c:pt>
                <c:pt idx="99">
                  <c:v>1537.683</c:v>
                </c:pt>
                <c:pt idx="100">
                  <c:v>1492.8330000000001</c:v>
                </c:pt>
                <c:pt idx="101">
                  <c:v>1494.4059999999999</c:v>
                </c:pt>
                <c:pt idx="102">
                  <c:v>1515.298</c:v>
                </c:pt>
                <c:pt idx="103">
                  <c:v>1403.2529999999999</c:v>
                </c:pt>
                <c:pt idx="104">
                  <c:v>8754.6260000000002</c:v>
                </c:pt>
                <c:pt idx="105">
                  <c:v>20.94</c:v>
                </c:pt>
                <c:pt idx="106">
                  <c:v>8.0909999999999993</c:v>
                </c:pt>
                <c:pt idx="107">
                  <c:v>30.806999999999999</c:v>
                </c:pt>
                <c:pt idx="108">
                  <c:v>8.1880000000000006</c:v>
                </c:pt>
                <c:pt idx="109">
                  <c:v>6.7359999999999998</c:v>
                </c:pt>
                <c:pt idx="110">
                  <c:v>6.2480000000000002</c:v>
                </c:pt>
                <c:pt idx="111">
                  <c:v>11.259</c:v>
                </c:pt>
                <c:pt idx="112">
                  <c:v>10.302</c:v>
                </c:pt>
                <c:pt idx="113">
                  <c:v>20.143000000000001</c:v>
                </c:pt>
                <c:pt idx="114">
                  <c:v>12.023999999999999</c:v>
                </c:pt>
                <c:pt idx="115">
                  <c:v>8.6289999999999996</c:v>
                </c:pt>
                <c:pt idx="116">
                  <c:v>8.9610000000000003</c:v>
                </c:pt>
                <c:pt idx="117">
                  <c:v>7.8179999999999996</c:v>
                </c:pt>
                <c:pt idx="118">
                  <c:v>12.289</c:v>
                </c:pt>
                <c:pt idx="119">
                  <c:v>9.0489999999999995</c:v>
                </c:pt>
                <c:pt idx="120">
                  <c:v>10.916</c:v>
                </c:pt>
                <c:pt idx="121">
                  <c:v>12.37</c:v>
                </c:pt>
                <c:pt idx="122">
                  <c:v>233.89599999999999</c:v>
                </c:pt>
                <c:pt idx="123">
                  <c:v>70.284000000000006</c:v>
                </c:pt>
                <c:pt idx="124">
                  <c:v>390.64499999999998</c:v>
                </c:pt>
                <c:pt idx="125">
                  <c:v>121.318</c:v>
                </c:pt>
                <c:pt idx="126">
                  <c:v>69.477999999999994</c:v>
                </c:pt>
                <c:pt idx="127">
                  <c:v>219.60599999999999</c:v>
                </c:pt>
                <c:pt idx="128">
                  <c:v>267.899</c:v>
                </c:pt>
                <c:pt idx="129">
                  <c:v>141.96899999999999</c:v>
                </c:pt>
                <c:pt idx="130">
                  <c:v>99.167000000000002</c:v>
                </c:pt>
                <c:pt idx="131">
                  <c:v>71.501999999999995</c:v>
                </c:pt>
                <c:pt idx="132">
                  <c:v>121.372</c:v>
                </c:pt>
                <c:pt idx="133">
                  <c:v>120.866</c:v>
                </c:pt>
                <c:pt idx="134">
                  <c:v>106.952</c:v>
                </c:pt>
                <c:pt idx="135">
                  <c:v>132.04</c:v>
                </c:pt>
                <c:pt idx="136">
                  <c:v>1715.386</c:v>
                </c:pt>
                <c:pt idx="137">
                  <c:v>555.75400000000002</c:v>
                </c:pt>
                <c:pt idx="138">
                  <c:v>2546.3649999999998</c:v>
                </c:pt>
                <c:pt idx="139">
                  <c:v>712.577</c:v>
                </c:pt>
                <c:pt idx="140">
                  <c:v>560.572</c:v>
                </c:pt>
                <c:pt idx="141">
                  <c:v>2217.3049999999998</c:v>
                </c:pt>
                <c:pt idx="142">
                  <c:v>2221.8449999999998</c:v>
                </c:pt>
                <c:pt idx="143">
                  <c:v>1570.9639999999999</c:v>
                </c:pt>
                <c:pt idx="144">
                  <c:v>497.33499999999998</c:v>
                </c:pt>
                <c:pt idx="145">
                  <c:v>1121.269</c:v>
                </c:pt>
                <c:pt idx="146">
                  <c:v>953.30399999999997</c:v>
                </c:pt>
                <c:pt idx="147">
                  <c:v>981.12400000000002</c:v>
                </c:pt>
                <c:pt idx="148">
                  <c:v>10321.299999999999</c:v>
                </c:pt>
                <c:pt idx="149">
                  <c:v>3950.9940000000001</c:v>
                </c:pt>
                <c:pt idx="150">
                  <c:v>12774.397999999999</c:v>
                </c:pt>
                <c:pt idx="151">
                  <c:v>4333.058</c:v>
                </c:pt>
                <c:pt idx="152">
                  <c:v>3684.145</c:v>
                </c:pt>
                <c:pt idx="153">
                  <c:v>7592.1540000000005</c:v>
                </c:pt>
                <c:pt idx="154">
                  <c:v>274.44799999999998</c:v>
                </c:pt>
                <c:pt idx="155">
                  <c:v>184.38</c:v>
                </c:pt>
                <c:pt idx="156">
                  <c:v>145.899</c:v>
                </c:pt>
                <c:pt idx="157">
                  <c:v>257.298</c:v>
                </c:pt>
                <c:pt idx="158">
                  <c:v>1934.586</c:v>
                </c:pt>
                <c:pt idx="159">
                  <c:v>1803.452</c:v>
                </c:pt>
                <c:pt idx="160">
                  <c:v>1362.4369999999999</c:v>
                </c:pt>
                <c:pt idx="161">
                  <c:v>1615.327</c:v>
                </c:pt>
                <c:pt idx="162">
                  <c:v>1384.845</c:v>
                </c:pt>
                <c:pt idx="163">
                  <c:v>1763.0029999999999</c:v>
                </c:pt>
                <c:pt idx="164">
                  <c:v>1439.8820000000001</c:v>
                </c:pt>
                <c:pt idx="165">
                  <c:v>8992.0529999999999</c:v>
                </c:pt>
                <c:pt idx="166">
                  <c:v>9798.5069999999996</c:v>
                </c:pt>
                <c:pt idx="167">
                  <c:v>131.86199999999999</c:v>
                </c:pt>
                <c:pt idx="168">
                  <c:v>50.441000000000003</c:v>
                </c:pt>
                <c:pt idx="169">
                  <c:v>232.119</c:v>
                </c:pt>
                <c:pt idx="170">
                  <c:v>132.727</c:v>
                </c:pt>
                <c:pt idx="171">
                  <c:v>70.132000000000005</c:v>
                </c:pt>
                <c:pt idx="172">
                  <c:v>181.37100000000001</c:v>
                </c:pt>
                <c:pt idx="173">
                  <c:v>361.62400000000002</c:v>
                </c:pt>
                <c:pt idx="174">
                  <c:v>221.19200000000001</c:v>
                </c:pt>
                <c:pt idx="175">
                  <c:v>106.983</c:v>
                </c:pt>
                <c:pt idx="176">
                  <c:v>82.792000000000002</c:v>
                </c:pt>
                <c:pt idx="177">
                  <c:v>81.616</c:v>
                </c:pt>
                <c:pt idx="178">
                  <c:v>93.558999999999997</c:v>
                </c:pt>
                <c:pt idx="179">
                  <c:v>162.40100000000001</c:v>
                </c:pt>
                <c:pt idx="180">
                  <c:v>110.64</c:v>
                </c:pt>
                <c:pt idx="181">
                  <c:v>174.08799999999999</c:v>
                </c:pt>
                <c:pt idx="182">
                  <c:v>126.649</c:v>
                </c:pt>
                <c:pt idx="183">
                  <c:v>1074.277</c:v>
                </c:pt>
                <c:pt idx="184">
                  <c:v>369.91199999999998</c:v>
                </c:pt>
                <c:pt idx="185">
                  <c:v>2926.8939999999998</c:v>
                </c:pt>
                <c:pt idx="186">
                  <c:v>858.25400000000002</c:v>
                </c:pt>
                <c:pt idx="187">
                  <c:v>553.94600000000003</c:v>
                </c:pt>
                <c:pt idx="188">
                  <c:v>1792.2929999999999</c:v>
                </c:pt>
                <c:pt idx="189">
                  <c:v>1701.875</c:v>
                </c:pt>
                <c:pt idx="190">
                  <c:v>2190.5210000000002</c:v>
                </c:pt>
                <c:pt idx="191">
                  <c:v>1231.7719999999999</c:v>
                </c:pt>
                <c:pt idx="192">
                  <c:v>518.36800000000005</c:v>
                </c:pt>
                <c:pt idx="193">
                  <c:v>914.14400000000001</c:v>
                </c:pt>
                <c:pt idx="194">
                  <c:v>1917.7919999999999</c:v>
                </c:pt>
                <c:pt idx="195">
                  <c:v>931.06399999999996</c:v>
                </c:pt>
                <c:pt idx="196">
                  <c:v>8935.8490000000002</c:v>
                </c:pt>
                <c:pt idx="197">
                  <c:v>3185.4279999999999</c:v>
                </c:pt>
                <c:pt idx="198">
                  <c:v>5257.0379999999996</c:v>
                </c:pt>
                <c:pt idx="199">
                  <c:v>4290.8549999999996</c:v>
                </c:pt>
                <c:pt idx="200">
                  <c:v>1115.999</c:v>
                </c:pt>
                <c:pt idx="201">
                  <c:v>1252.441</c:v>
                </c:pt>
                <c:pt idx="202">
                  <c:v>1171.01</c:v>
                </c:pt>
                <c:pt idx="203">
                  <c:v>1311.1759999999999</c:v>
                </c:pt>
                <c:pt idx="204">
                  <c:v>10206.713</c:v>
                </c:pt>
                <c:pt idx="205">
                  <c:v>1053.5419999999999</c:v>
                </c:pt>
                <c:pt idx="206">
                  <c:v>389.07900000000001</c:v>
                </c:pt>
                <c:pt idx="207">
                  <c:v>2647.8290000000002</c:v>
                </c:pt>
                <c:pt idx="208">
                  <c:v>867.96500000000003</c:v>
                </c:pt>
                <c:pt idx="209">
                  <c:v>652.87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0B-D84D-B538-AB0849352D5F}"/>
            </c:ext>
          </c:extLst>
        </c:ser>
        <c:ser>
          <c:idx val="2"/>
          <c:order val="2"/>
          <c:tx>
            <c:strRef>
              <c:f>'graphtotal_timevnumber critical'!$D$1</c:f>
              <c:strCache>
                <c:ptCount val="1"/>
                <c:pt idx="0">
                  <c:v>Total time: no pruning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spPr>
              <a:ln w="7620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'graphtotal_timevnumber critical'!$A$2:$A$211</c:f>
              <c:numCache>
                <c:formatCode>General</c:formatCode>
                <c:ptCount val="210"/>
                <c:pt idx="0">
                  <c:v>27</c:v>
                </c:pt>
                <c:pt idx="1">
                  <c:v>131</c:v>
                </c:pt>
                <c:pt idx="2">
                  <c:v>379</c:v>
                </c:pt>
                <c:pt idx="3">
                  <c:v>678</c:v>
                </c:pt>
                <c:pt idx="4">
                  <c:v>746</c:v>
                </c:pt>
                <c:pt idx="5">
                  <c:v>1380</c:v>
                </c:pt>
                <c:pt idx="6">
                  <c:v>27</c:v>
                </c:pt>
                <c:pt idx="7">
                  <c:v>15</c:v>
                </c:pt>
                <c:pt idx="8">
                  <c:v>21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130</c:v>
                </c:pt>
                <c:pt idx="13">
                  <c:v>74</c:v>
                </c:pt>
                <c:pt idx="14">
                  <c:v>107</c:v>
                </c:pt>
                <c:pt idx="15">
                  <c:v>83</c:v>
                </c:pt>
                <c:pt idx="16">
                  <c:v>84</c:v>
                </c:pt>
                <c:pt idx="17">
                  <c:v>231</c:v>
                </c:pt>
                <c:pt idx="18">
                  <c:v>216</c:v>
                </c:pt>
                <c:pt idx="19">
                  <c:v>364</c:v>
                </c:pt>
                <c:pt idx="20">
                  <c:v>219</c:v>
                </c:pt>
                <c:pt idx="21">
                  <c:v>259</c:v>
                </c:pt>
                <c:pt idx="22">
                  <c:v>296</c:v>
                </c:pt>
                <c:pt idx="23">
                  <c:v>878</c:v>
                </c:pt>
                <c:pt idx="24">
                  <c:v>643</c:v>
                </c:pt>
                <c:pt idx="25">
                  <c:v>550</c:v>
                </c:pt>
                <c:pt idx="26">
                  <c:v>761</c:v>
                </c:pt>
                <c:pt idx="27">
                  <c:v>1378</c:v>
                </c:pt>
                <c:pt idx="28">
                  <c:v>1216</c:v>
                </c:pt>
                <c:pt idx="29">
                  <c:v>119</c:v>
                </c:pt>
                <c:pt idx="30">
                  <c:v>314</c:v>
                </c:pt>
                <c:pt idx="31">
                  <c:v>358</c:v>
                </c:pt>
                <c:pt idx="32">
                  <c:v>678</c:v>
                </c:pt>
                <c:pt idx="33">
                  <c:v>814</c:v>
                </c:pt>
                <c:pt idx="34">
                  <c:v>661</c:v>
                </c:pt>
                <c:pt idx="35">
                  <c:v>84</c:v>
                </c:pt>
                <c:pt idx="36">
                  <c:v>102</c:v>
                </c:pt>
                <c:pt idx="37">
                  <c:v>92</c:v>
                </c:pt>
                <c:pt idx="38">
                  <c:v>107</c:v>
                </c:pt>
                <c:pt idx="39">
                  <c:v>83</c:v>
                </c:pt>
                <c:pt idx="40">
                  <c:v>84</c:v>
                </c:pt>
                <c:pt idx="41">
                  <c:v>221</c:v>
                </c:pt>
                <c:pt idx="42">
                  <c:v>213</c:v>
                </c:pt>
                <c:pt idx="43">
                  <c:v>296</c:v>
                </c:pt>
                <c:pt idx="44">
                  <c:v>302</c:v>
                </c:pt>
                <c:pt idx="45">
                  <c:v>296</c:v>
                </c:pt>
                <c:pt idx="46">
                  <c:v>878</c:v>
                </c:pt>
                <c:pt idx="47">
                  <c:v>771</c:v>
                </c:pt>
                <c:pt idx="48">
                  <c:v>454</c:v>
                </c:pt>
                <c:pt idx="49">
                  <c:v>571</c:v>
                </c:pt>
                <c:pt idx="50">
                  <c:v>1779</c:v>
                </c:pt>
                <c:pt idx="51">
                  <c:v>1407</c:v>
                </c:pt>
                <c:pt idx="52">
                  <c:v>358</c:v>
                </c:pt>
                <c:pt idx="53">
                  <c:v>643</c:v>
                </c:pt>
                <c:pt idx="54">
                  <c:v>599</c:v>
                </c:pt>
                <c:pt idx="55">
                  <c:v>1380</c:v>
                </c:pt>
                <c:pt idx="56">
                  <c:v>221</c:v>
                </c:pt>
                <c:pt idx="57">
                  <c:v>213</c:v>
                </c:pt>
                <c:pt idx="58">
                  <c:v>290</c:v>
                </c:pt>
                <c:pt idx="59">
                  <c:v>219</c:v>
                </c:pt>
                <c:pt idx="60">
                  <c:v>281</c:v>
                </c:pt>
                <c:pt idx="61">
                  <c:v>534</c:v>
                </c:pt>
                <c:pt idx="62">
                  <c:v>524</c:v>
                </c:pt>
                <c:pt idx="63">
                  <c:v>761</c:v>
                </c:pt>
                <c:pt idx="64">
                  <c:v>454</c:v>
                </c:pt>
                <c:pt idx="65">
                  <c:v>571</c:v>
                </c:pt>
                <c:pt idx="66">
                  <c:v>1216</c:v>
                </c:pt>
                <c:pt idx="67">
                  <c:v>599</c:v>
                </c:pt>
                <c:pt idx="68">
                  <c:v>1407</c:v>
                </c:pt>
                <c:pt idx="69">
                  <c:v>878</c:v>
                </c:pt>
                <c:pt idx="70">
                  <c:v>555</c:v>
                </c:pt>
                <c:pt idx="71">
                  <c:v>761</c:v>
                </c:pt>
                <c:pt idx="72">
                  <c:v>550</c:v>
                </c:pt>
                <c:pt idx="73">
                  <c:v>737</c:v>
                </c:pt>
                <c:pt idx="74">
                  <c:v>1004</c:v>
                </c:pt>
                <c:pt idx="75">
                  <c:v>1216</c:v>
                </c:pt>
                <c:pt idx="76">
                  <c:v>1004</c:v>
                </c:pt>
                <c:pt idx="77">
                  <c:v>1216</c:v>
                </c:pt>
                <c:pt idx="78">
                  <c:v>27</c:v>
                </c:pt>
                <c:pt idx="79">
                  <c:v>131</c:v>
                </c:pt>
                <c:pt idx="80">
                  <c:v>379</c:v>
                </c:pt>
                <c:pt idx="81">
                  <c:v>678</c:v>
                </c:pt>
                <c:pt idx="82">
                  <c:v>746</c:v>
                </c:pt>
                <c:pt idx="83">
                  <c:v>1380</c:v>
                </c:pt>
                <c:pt idx="84">
                  <c:v>27</c:v>
                </c:pt>
                <c:pt idx="85">
                  <c:v>15</c:v>
                </c:pt>
                <c:pt idx="86">
                  <c:v>21</c:v>
                </c:pt>
                <c:pt idx="87">
                  <c:v>15</c:v>
                </c:pt>
                <c:pt idx="88">
                  <c:v>15</c:v>
                </c:pt>
                <c:pt idx="89">
                  <c:v>16</c:v>
                </c:pt>
                <c:pt idx="90">
                  <c:v>130</c:v>
                </c:pt>
                <c:pt idx="91">
                  <c:v>74</c:v>
                </c:pt>
                <c:pt idx="92">
                  <c:v>107</c:v>
                </c:pt>
                <c:pt idx="93">
                  <c:v>83</c:v>
                </c:pt>
                <c:pt idx="94">
                  <c:v>84</c:v>
                </c:pt>
                <c:pt idx="95">
                  <c:v>231</c:v>
                </c:pt>
                <c:pt idx="96">
                  <c:v>216</c:v>
                </c:pt>
                <c:pt idx="97">
                  <c:v>364</c:v>
                </c:pt>
                <c:pt idx="98">
                  <c:v>219</c:v>
                </c:pt>
                <c:pt idx="99">
                  <c:v>259</c:v>
                </c:pt>
                <c:pt idx="100">
                  <c:v>296</c:v>
                </c:pt>
                <c:pt idx="101">
                  <c:v>878</c:v>
                </c:pt>
                <c:pt idx="102">
                  <c:v>643</c:v>
                </c:pt>
                <c:pt idx="103">
                  <c:v>550</c:v>
                </c:pt>
                <c:pt idx="104">
                  <c:v>761</c:v>
                </c:pt>
                <c:pt idx="105">
                  <c:v>1378</c:v>
                </c:pt>
                <c:pt idx="106">
                  <c:v>1216</c:v>
                </c:pt>
                <c:pt idx="107">
                  <c:v>119</c:v>
                </c:pt>
                <c:pt idx="108">
                  <c:v>314</c:v>
                </c:pt>
                <c:pt idx="109">
                  <c:v>358</c:v>
                </c:pt>
                <c:pt idx="110">
                  <c:v>678</c:v>
                </c:pt>
                <c:pt idx="111">
                  <c:v>814</c:v>
                </c:pt>
                <c:pt idx="112">
                  <c:v>661</c:v>
                </c:pt>
                <c:pt idx="113">
                  <c:v>84</c:v>
                </c:pt>
                <c:pt idx="114">
                  <c:v>102</c:v>
                </c:pt>
                <c:pt idx="115">
                  <c:v>92</c:v>
                </c:pt>
                <c:pt idx="116">
                  <c:v>107</c:v>
                </c:pt>
                <c:pt idx="117">
                  <c:v>83</c:v>
                </c:pt>
                <c:pt idx="118">
                  <c:v>84</c:v>
                </c:pt>
                <c:pt idx="119">
                  <c:v>221</c:v>
                </c:pt>
                <c:pt idx="120">
                  <c:v>213</c:v>
                </c:pt>
                <c:pt idx="121">
                  <c:v>296</c:v>
                </c:pt>
                <c:pt idx="122">
                  <c:v>302</c:v>
                </c:pt>
                <c:pt idx="123">
                  <c:v>296</c:v>
                </c:pt>
                <c:pt idx="124">
                  <c:v>878</c:v>
                </c:pt>
                <c:pt idx="125">
                  <c:v>771</c:v>
                </c:pt>
                <c:pt idx="126">
                  <c:v>454</c:v>
                </c:pt>
                <c:pt idx="127">
                  <c:v>571</c:v>
                </c:pt>
                <c:pt idx="128">
                  <c:v>1779</c:v>
                </c:pt>
                <c:pt idx="129">
                  <c:v>1407</c:v>
                </c:pt>
                <c:pt idx="130">
                  <c:v>358</c:v>
                </c:pt>
                <c:pt idx="131">
                  <c:v>643</c:v>
                </c:pt>
                <c:pt idx="132">
                  <c:v>599</c:v>
                </c:pt>
                <c:pt idx="133">
                  <c:v>1380</c:v>
                </c:pt>
                <c:pt idx="134">
                  <c:v>221</c:v>
                </c:pt>
                <c:pt idx="135">
                  <c:v>213</c:v>
                </c:pt>
                <c:pt idx="136">
                  <c:v>290</c:v>
                </c:pt>
                <c:pt idx="137">
                  <c:v>219</c:v>
                </c:pt>
                <c:pt idx="138">
                  <c:v>281</c:v>
                </c:pt>
                <c:pt idx="139">
                  <c:v>534</c:v>
                </c:pt>
                <c:pt idx="140">
                  <c:v>524</c:v>
                </c:pt>
                <c:pt idx="141">
                  <c:v>761</c:v>
                </c:pt>
                <c:pt idx="142">
                  <c:v>454</c:v>
                </c:pt>
                <c:pt idx="143">
                  <c:v>571</c:v>
                </c:pt>
                <c:pt idx="144">
                  <c:v>1216</c:v>
                </c:pt>
                <c:pt idx="145">
                  <c:v>599</c:v>
                </c:pt>
                <c:pt idx="146">
                  <c:v>1407</c:v>
                </c:pt>
                <c:pt idx="147">
                  <c:v>878</c:v>
                </c:pt>
                <c:pt idx="148">
                  <c:v>555</c:v>
                </c:pt>
                <c:pt idx="149">
                  <c:v>761</c:v>
                </c:pt>
                <c:pt idx="150">
                  <c:v>550</c:v>
                </c:pt>
                <c:pt idx="151">
                  <c:v>737</c:v>
                </c:pt>
                <c:pt idx="152">
                  <c:v>1004</c:v>
                </c:pt>
                <c:pt idx="153">
                  <c:v>1216</c:v>
                </c:pt>
                <c:pt idx="154">
                  <c:v>1004</c:v>
                </c:pt>
                <c:pt idx="155">
                  <c:v>1216</c:v>
                </c:pt>
                <c:pt idx="156">
                  <c:v>27</c:v>
                </c:pt>
                <c:pt idx="157">
                  <c:v>131</c:v>
                </c:pt>
                <c:pt idx="158">
                  <c:v>379</c:v>
                </c:pt>
                <c:pt idx="159">
                  <c:v>678</c:v>
                </c:pt>
                <c:pt idx="160">
                  <c:v>746</c:v>
                </c:pt>
                <c:pt idx="161">
                  <c:v>1380</c:v>
                </c:pt>
                <c:pt idx="162">
                  <c:v>27</c:v>
                </c:pt>
                <c:pt idx="163">
                  <c:v>15</c:v>
                </c:pt>
                <c:pt idx="164">
                  <c:v>21</c:v>
                </c:pt>
                <c:pt idx="165">
                  <c:v>15</c:v>
                </c:pt>
                <c:pt idx="166">
                  <c:v>15</c:v>
                </c:pt>
                <c:pt idx="167">
                  <c:v>16</c:v>
                </c:pt>
                <c:pt idx="168">
                  <c:v>130</c:v>
                </c:pt>
                <c:pt idx="169">
                  <c:v>74</c:v>
                </c:pt>
                <c:pt idx="170">
                  <c:v>107</c:v>
                </c:pt>
                <c:pt idx="171">
                  <c:v>83</c:v>
                </c:pt>
                <c:pt idx="172">
                  <c:v>84</c:v>
                </c:pt>
                <c:pt idx="173">
                  <c:v>231</c:v>
                </c:pt>
                <c:pt idx="174">
                  <c:v>216</c:v>
                </c:pt>
                <c:pt idx="175">
                  <c:v>364</c:v>
                </c:pt>
                <c:pt idx="176">
                  <c:v>219</c:v>
                </c:pt>
                <c:pt idx="177">
                  <c:v>259</c:v>
                </c:pt>
                <c:pt idx="178">
                  <c:v>296</c:v>
                </c:pt>
                <c:pt idx="179">
                  <c:v>878</c:v>
                </c:pt>
                <c:pt idx="180">
                  <c:v>643</c:v>
                </c:pt>
                <c:pt idx="181">
                  <c:v>550</c:v>
                </c:pt>
                <c:pt idx="182">
                  <c:v>761</c:v>
                </c:pt>
                <c:pt idx="183">
                  <c:v>1378</c:v>
                </c:pt>
                <c:pt idx="184">
                  <c:v>1216</c:v>
                </c:pt>
                <c:pt idx="185">
                  <c:v>119</c:v>
                </c:pt>
                <c:pt idx="186">
                  <c:v>314</c:v>
                </c:pt>
                <c:pt idx="187">
                  <c:v>358</c:v>
                </c:pt>
                <c:pt idx="188">
                  <c:v>678</c:v>
                </c:pt>
                <c:pt idx="189">
                  <c:v>814</c:v>
                </c:pt>
                <c:pt idx="190">
                  <c:v>661</c:v>
                </c:pt>
                <c:pt idx="191">
                  <c:v>84</c:v>
                </c:pt>
                <c:pt idx="192">
                  <c:v>102</c:v>
                </c:pt>
                <c:pt idx="193">
                  <c:v>92</c:v>
                </c:pt>
                <c:pt idx="194">
                  <c:v>107</c:v>
                </c:pt>
                <c:pt idx="195">
                  <c:v>83</c:v>
                </c:pt>
                <c:pt idx="196">
                  <c:v>84</c:v>
                </c:pt>
                <c:pt idx="197">
                  <c:v>221</c:v>
                </c:pt>
                <c:pt idx="198">
                  <c:v>213</c:v>
                </c:pt>
                <c:pt idx="199">
                  <c:v>296</c:v>
                </c:pt>
                <c:pt idx="200">
                  <c:v>302</c:v>
                </c:pt>
                <c:pt idx="201">
                  <c:v>296</c:v>
                </c:pt>
                <c:pt idx="202">
                  <c:v>878</c:v>
                </c:pt>
                <c:pt idx="203">
                  <c:v>771</c:v>
                </c:pt>
                <c:pt idx="204">
                  <c:v>454</c:v>
                </c:pt>
                <c:pt idx="205">
                  <c:v>571</c:v>
                </c:pt>
                <c:pt idx="206">
                  <c:v>1779</c:v>
                </c:pt>
                <c:pt idx="207">
                  <c:v>1407</c:v>
                </c:pt>
                <c:pt idx="208">
                  <c:v>358</c:v>
                </c:pt>
                <c:pt idx="209">
                  <c:v>643</c:v>
                </c:pt>
              </c:numCache>
            </c:numRef>
          </c:xVal>
          <c:yVal>
            <c:numRef>
              <c:f>'graphtotal_timevnumber critical'!$D$2:$D$211</c:f>
              <c:numCache>
                <c:formatCode>General</c:formatCode>
                <c:ptCount val="210"/>
                <c:pt idx="0">
                  <c:v>3.4849999999999999</c:v>
                </c:pt>
                <c:pt idx="1">
                  <c:v>4.1260000000000003</c:v>
                </c:pt>
                <c:pt idx="2">
                  <c:v>161.453</c:v>
                </c:pt>
                <c:pt idx="3">
                  <c:v>85.584999999999994</c:v>
                </c:pt>
                <c:pt idx="4">
                  <c:v>188.35</c:v>
                </c:pt>
                <c:pt idx="5">
                  <c:v>2513.2959999999998</c:v>
                </c:pt>
                <c:pt idx="6">
                  <c:v>2096.2809999999999</c:v>
                </c:pt>
                <c:pt idx="7">
                  <c:v>938.80499999999995</c:v>
                </c:pt>
                <c:pt idx="8">
                  <c:v>1919.3889999999999</c:v>
                </c:pt>
                <c:pt idx="9">
                  <c:v>13081.912</c:v>
                </c:pt>
                <c:pt idx="10">
                  <c:v>12834.044</c:v>
                </c:pt>
                <c:pt idx="11">
                  <c:v>6618.973</c:v>
                </c:pt>
                <c:pt idx="12">
                  <c:v>12008.013999999999</c:v>
                </c:pt>
                <c:pt idx="13">
                  <c:v>9765.0439999999999</c:v>
                </c:pt>
                <c:pt idx="14">
                  <c:v>5298.5290000000005</c:v>
                </c:pt>
                <c:pt idx="15">
                  <c:v>54132.065000000002</c:v>
                </c:pt>
                <c:pt idx="16">
                  <c:v>1.4950000000000001</c:v>
                </c:pt>
                <c:pt idx="17">
                  <c:v>1.5549999999999999</c:v>
                </c:pt>
                <c:pt idx="18">
                  <c:v>2.6819999999999999</c:v>
                </c:pt>
                <c:pt idx="19">
                  <c:v>2.7490000000000001</c:v>
                </c:pt>
                <c:pt idx="20">
                  <c:v>1.52</c:v>
                </c:pt>
                <c:pt idx="21">
                  <c:v>1.6859999999999999</c:v>
                </c:pt>
                <c:pt idx="22">
                  <c:v>1.5629999999999999</c:v>
                </c:pt>
                <c:pt idx="23">
                  <c:v>2.4540000000000002</c:v>
                </c:pt>
                <c:pt idx="24">
                  <c:v>1.6419999999999999</c:v>
                </c:pt>
                <c:pt idx="25">
                  <c:v>1.583</c:v>
                </c:pt>
                <c:pt idx="26">
                  <c:v>1.508</c:v>
                </c:pt>
                <c:pt idx="27">
                  <c:v>1.53</c:v>
                </c:pt>
                <c:pt idx="28">
                  <c:v>1.476</c:v>
                </c:pt>
                <c:pt idx="29">
                  <c:v>3.512</c:v>
                </c:pt>
                <c:pt idx="30">
                  <c:v>1.4830000000000001</c:v>
                </c:pt>
                <c:pt idx="31">
                  <c:v>1.542</c:v>
                </c:pt>
                <c:pt idx="32">
                  <c:v>1.704</c:v>
                </c:pt>
                <c:pt idx="33">
                  <c:v>1.4710000000000001</c:v>
                </c:pt>
                <c:pt idx="34">
                  <c:v>52.573999999999998</c:v>
                </c:pt>
                <c:pt idx="35">
                  <c:v>43.987000000000002</c:v>
                </c:pt>
                <c:pt idx="36">
                  <c:v>181.833</c:v>
                </c:pt>
                <c:pt idx="37">
                  <c:v>72.733999999999995</c:v>
                </c:pt>
                <c:pt idx="38">
                  <c:v>36.612000000000002</c:v>
                </c:pt>
                <c:pt idx="39">
                  <c:v>43.165999999999997</c:v>
                </c:pt>
                <c:pt idx="40">
                  <c:v>59.783000000000001</c:v>
                </c:pt>
                <c:pt idx="41">
                  <c:v>97.448999999999998</c:v>
                </c:pt>
                <c:pt idx="42">
                  <c:v>64.744</c:v>
                </c:pt>
                <c:pt idx="43">
                  <c:v>51.784999999999997</c:v>
                </c:pt>
                <c:pt idx="44">
                  <c:v>59.862000000000002</c:v>
                </c:pt>
                <c:pt idx="45">
                  <c:v>55.988999999999997</c:v>
                </c:pt>
                <c:pt idx="46">
                  <c:v>123.786</c:v>
                </c:pt>
                <c:pt idx="47">
                  <c:v>70.415999999999997</c:v>
                </c:pt>
                <c:pt idx="48">
                  <c:v>65.271000000000001</c:v>
                </c:pt>
                <c:pt idx="49">
                  <c:v>55.494</c:v>
                </c:pt>
                <c:pt idx="50">
                  <c:v>58.838999999999999</c:v>
                </c:pt>
                <c:pt idx="51">
                  <c:v>727.01099999999997</c:v>
                </c:pt>
                <c:pt idx="52">
                  <c:v>543.59100000000001</c:v>
                </c:pt>
                <c:pt idx="53">
                  <c:v>1769.605</c:v>
                </c:pt>
                <c:pt idx="54">
                  <c:v>676.85599999999999</c:v>
                </c:pt>
                <c:pt idx="55">
                  <c:v>597.51400000000001</c:v>
                </c:pt>
                <c:pt idx="56">
                  <c:v>719.22900000000004</c:v>
                </c:pt>
                <c:pt idx="57">
                  <c:v>1290.953</c:v>
                </c:pt>
                <c:pt idx="58">
                  <c:v>1074.701</c:v>
                </c:pt>
                <c:pt idx="59">
                  <c:v>1101.827</c:v>
                </c:pt>
                <c:pt idx="60">
                  <c:v>734.154</c:v>
                </c:pt>
                <c:pt idx="61">
                  <c:v>643.41499999999996</c:v>
                </c:pt>
                <c:pt idx="62">
                  <c:v>1497.835</c:v>
                </c:pt>
                <c:pt idx="63">
                  <c:v>991.84400000000005</c:v>
                </c:pt>
                <c:pt idx="64">
                  <c:v>779.43700000000001</c:v>
                </c:pt>
                <c:pt idx="65">
                  <c:v>664.93200000000002</c:v>
                </c:pt>
                <c:pt idx="66">
                  <c:v>758.65200000000004</c:v>
                </c:pt>
                <c:pt idx="67">
                  <c:v>5228.6670000000004</c:v>
                </c:pt>
                <c:pt idx="68">
                  <c:v>4804.4229999999998</c:v>
                </c:pt>
                <c:pt idx="69">
                  <c:v>10015.02</c:v>
                </c:pt>
                <c:pt idx="70">
                  <c:v>4555.12</c:v>
                </c:pt>
                <c:pt idx="71">
                  <c:v>4449.3</c:v>
                </c:pt>
                <c:pt idx="72">
                  <c:v>8846.9069999999992</c:v>
                </c:pt>
                <c:pt idx="73">
                  <c:v>12469.47</c:v>
                </c:pt>
                <c:pt idx="74">
                  <c:v>10078.276</c:v>
                </c:pt>
                <c:pt idx="75">
                  <c:v>6806.567</c:v>
                </c:pt>
                <c:pt idx="76">
                  <c:v>6438.5420000000004</c:v>
                </c:pt>
                <c:pt idx="77">
                  <c:v>4240.28</c:v>
                </c:pt>
                <c:pt idx="78">
                  <c:v>10477.495999999999</c:v>
                </c:pt>
                <c:pt idx="79">
                  <c:v>6012.9679999999998</c:v>
                </c:pt>
                <c:pt idx="80">
                  <c:v>5262.46</c:v>
                </c:pt>
                <c:pt idx="81">
                  <c:v>27766.151000000002</c:v>
                </c:pt>
                <c:pt idx="82">
                  <c:v>30240.044999999998</c:v>
                </c:pt>
                <c:pt idx="83">
                  <c:v>46661.527000000002</c:v>
                </c:pt>
                <c:pt idx="84">
                  <c:v>23529.73</c:v>
                </c:pt>
                <c:pt idx="85">
                  <c:v>26318.432000000001</c:v>
                </c:pt>
                <c:pt idx="86">
                  <c:v>36732.095000000001</c:v>
                </c:pt>
                <c:pt idx="87">
                  <c:v>187.37100000000001</c:v>
                </c:pt>
                <c:pt idx="88">
                  <c:v>106.152</c:v>
                </c:pt>
                <c:pt idx="89">
                  <c:v>127.48699999999999</c:v>
                </c:pt>
                <c:pt idx="90">
                  <c:v>2104.0540000000001</c:v>
                </c:pt>
                <c:pt idx="91">
                  <c:v>1196.405</c:v>
                </c:pt>
                <c:pt idx="92">
                  <c:v>2474.87</c:v>
                </c:pt>
                <c:pt idx="93">
                  <c:v>1160.8019999999999</c:v>
                </c:pt>
                <c:pt idx="94">
                  <c:v>1847.17</c:v>
                </c:pt>
                <c:pt idx="95">
                  <c:v>1305.1199999999999</c:v>
                </c:pt>
                <c:pt idx="96">
                  <c:v>13284.916999999999</c:v>
                </c:pt>
                <c:pt idx="97">
                  <c:v>10771.245000000001</c:v>
                </c:pt>
                <c:pt idx="98">
                  <c:v>16000.784</c:v>
                </c:pt>
                <c:pt idx="99">
                  <c:v>8260.2150000000001</c:v>
                </c:pt>
                <c:pt idx="100">
                  <c:v>10303.136</c:v>
                </c:pt>
                <c:pt idx="101">
                  <c:v>11878.087</c:v>
                </c:pt>
                <c:pt idx="102">
                  <c:v>9915.759</c:v>
                </c:pt>
                <c:pt idx="103">
                  <c:v>8589.8809999999994</c:v>
                </c:pt>
                <c:pt idx="104">
                  <c:v>59299.091999999997</c:v>
                </c:pt>
                <c:pt idx="105">
                  <c:v>108.71299999999999</c:v>
                </c:pt>
                <c:pt idx="106">
                  <c:v>49.48</c:v>
                </c:pt>
                <c:pt idx="107">
                  <c:v>149.21</c:v>
                </c:pt>
                <c:pt idx="108">
                  <c:v>49.777999999999999</c:v>
                </c:pt>
                <c:pt idx="109">
                  <c:v>36.404000000000003</c:v>
                </c:pt>
                <c:pt idx="110">
                  <c:v>40.167999999999999</c:v>
                </c:pt>
                <c:pt idx="111">
                  <c:v>62.779000000000003</c:v>
                </c:pt>
                <c:pt idx="112">
                  <c:v>61.91</c:v>
                </c:pt>
                <c:pt idx="113">
                  <c:v>110.703</c:v>
                </c:pt>
                <c:pt idx="114">
                  <c:v>67.83</c:v>
                </c:pt>
                <c:pt idx="115">
                  <c:v>51.231000000000002</c:v>
                </c:pt>
                <c:pt idx="116">
                  <c:v>53.753999999999998</c:v>
                </c:pt>
                <c:pt idx="117">
                  <c:v>54.895000000000003</c:v>
                </c:pt>
                <c:pt idx="118">
                  <c:v>84.070999999999998</c:v>
                </c:pt>
                <c:pt idx="119">
                  <c:v>70.813000000000002</c:v>
                </c:pt>
                <c:pt idx="120">
                  <c:v>65.096000000000004</c:v>
                </c:pt>
                <c:pt idx="121">
                  <c:v>77.341999999999999</c:v>
                </c:pt>
                <c:pt idx="122">
                  <c:v>1321.1</c:v>
                </c:pt>
                <c:pt idx="123">
                  <c:v>667.221</c:v>
                </c:pt>
                <c:pt idx="124">
                  <c:v>1828.1120000000001</c:v>
                </c:pt>
                <c:pt idx="125">
                  <c:v>814.63</c:v>
                </c:pt>
                <c:pt idx="126">
                  <c:v>631.93100000000004</c:v>
                </c:pt>
                <c:pt idx="127">
                  <c:v>1237.4839999999999</c:v>
                </c:pt>
                <c:pt idx="128">
                  <c:v>1483.5540000000001</c:v>
                </c:pt>
                <c:pt idx="129">
                  <c:v>1107.1579999999999</c:v>
                </c:pt>
                <c:pt idx="130">
                  <c:v>903.178</c:v>
                </c:pt>
                <c:pt idx="131">
                  <c:v>647.07500000000005</c:v>
                </c:pt>
                <c:pt idx="132">
                  <c:v>1047.152</c:v>
                </c:pt>
                <c:pt idx="133">
                  <c:v>982.06299999999999</c:v>
                </c:pt>
                <c:pt idx="134">
                  <c:v>773.01</c:v>
                </c:pt>
                <c:pt idx="135">
                  <c:v>982.88699999999994</c:v>
                </c:pt>
                <c:pt idx="136">
                  <c:v>9272.02</c:v>
                </c:pt>
                <c:pt idx="137">
                  <c:v>5209.9229999999998</c:v>
                </c:pt>
                <c:pt idx="138">
                  <c:v>11432.892</c:v>
                </c:pt>
                <c:pt idx="139">
                  <c:v>5348.3339999999998</c:v>
                </c:pt>
                <c:pt idx="140">
                  <c:v>5270.692</c:v>
                </c:pt>
                <c:pt idx="141">
                  <c:v>13563.585999999999</c:v>
                </c:pt>
                <c:pt idx="142">
                  <c:v>11603.525</c:v>
                </c:pt>
                <c:pt idx="143">
                  <c:v>11557.334000000001</c:v>
                </c:pt>
                <c:pt idx="144">
                  <c:v>4475.1639999999998</c:v>
                </c:pt>
                <c:pt idx="145">
                  <c:v>9813.5830000000005</c:v>
                </c:pt>
                <c:pt idx="146">
                  <c:v>6195.5360000000001</c:v>
                </c:pt>
                <c:pt idx="147">
                  <c:v>7099.2659999999996</c:v>
                </c:pt>
                <c:pt idx="148">
                  <c:v>51752.343999999997</c:v>
                </c:pt>
                <c:pt idx="149">
                  <c:v>33767.184999999998</c:v>
                </c:pt>
                <c:pt idx="150">
                  <c:v>56212.906000000003</c:v>
                </c:pt>
                <c:pt idx="151">
                  <c:v>28561.834999999999</c:v>
                </c:pt>
                <c:pt idx="152">
                  <c:v>30874.687999999998</c:v>
                </c:pt>
                <c:pt idx="153">
                  <c:v>50145.966</c:v>
                </c:pt>
                <c:pt idx="154">
                  <c:v>1887.079</c:v>
                </c:pt>
                <c:pt idx="155">
                  <c:v>1196.0840000000001</c:v>
                </c:pt>
                <c:pt idx="156">
                  <c:v>781.04899999999998</c:v>
                </c:pt>
                <c:pt idx="157">
                  <c:v>1799.7070000000001</c:v>
                </c:pt>
                <c:pt idx="158">
                  <c:v>13625.416999999999</c:v>
                </c:pt>
                <c:pt idx="159">
                  <c:v>11231.121999999999</c:v>
                </c:pt>
                <c:pt idx="160">
                  <c:v>7181.9430000000002</c:v>
                </c:pt>
                <c:pt idx="161">
                  <c:v>11350.545</c:v>
                </c:pt>
                <c:pt idx="162">
                  <c:v>11554.954</c:v>
                </c:pt>
                <c:pt idx="163">
                  <c:v>12964.102999999999</c:v>
                </c:pt>
                <c:pt idx="164">
                  <c:v>8425.0589999999993</c:v>
                </c:pt>
                <c:pt idx="165">
                  <c:v>60603.008999999998</c:v>
                </c:pt>
                <c:pt idx="166">
                  <c:v>60767.993999999999</c:v>
                </c:pt>
                <c:pt idx="167">
                  <c:v>730.06799999999998</c:v>
                </c:pt>
                <c:pt idx="168">
                  <c:v>481.78300000000002</c:v>
                </c:pt>
                <c:pt idx="169">
                  <c:v>1010.744</c:v>
                </c:pt>
                <c:pt idx="170">
                  <c:v>909.82500000000005</c:v>
                </c:pt>
                <c:pt idx="171">
                  <c:v>605.79899999999998</c:v>
                </c:pt>
                <c:pt idx="172">
                  <c:v>1025.4580000000001</c:v>
                </c:pt>
                <c:pt idx="173">
                  <c:v>1697.223</c:v>
                </c:pt>
                <c:pt idx="174">
                  <c:v>1161.1389999999999</c:v>
                </c:pt>
                <c:pt idx="175">
                  <c:v>852.18700000000001</c:v>
                </c:pt>
                <c:pt idx="176">
                  <c:v>830.44399999999996</c:v>
                </c:pt>
                <c:pt idx="177">
                  <c:v>652.53599999999994</c:v>
                </c:pt>
                <c:pt idx="178">
                  <c:v>786.70399999999995</c:v>
                </c:pt>
                <c:pt idx="179">
                  <c:v>1538.037</c:v>
                </c:pt>
                <c:pt idx="180">
                  <c:v>749.90099999999995</c:v>
                </c:pt>
                <c:pt idx="181">
                  <c:v>1109.962</c:v>
                </c:pt>
                <c:pt idx="182">
                  <c:v>1006.34</c:v>
                </c:pt>
                <c:pt idx="183">
                  <c:v>5928.1490000000003</c:v>
                </c:pt>
                <c:pt idx="184">
                  <c:v>4208.3890000000001</c:v>
                </c:pt>
                <c:pt idx="185">
                  <c:v>14023.950999999999</c:v>
                </c:pt>
                <c:pt idx="186">
                  <c:v>6653.857</c:v>
                </c:pt>
                <c:pt idx="187">
                  <c:v>5205.527</c:v>
                </c:pt>
                <c:pt idx="188">
                  <c:v>10595.495000000001</c:v>
                </c:pt>
                <c:pt idx="189">
                  <c:v>11520.89</c:v>
                </c:pt>
                <c:pt idx="190">
                  <c:v>11414.862999999999</c:v>
                </c:pt>
                <c:pt idx="191">
                  <c:v>9978.6689999999999</c:v>
                </c:pt>
                <c:pt idx="192">
                  <c:v>4437.4459999999999</c:v>
                </c:pt>
                <c:pt idx="193">
                  <c:v>7954.7560000000003</c:v>
                </c:pt>
                <c:pt idx="194">
                  <c:v>11383.41</c:v>
                </c:pt>
                <c:pt idx="195">
                  <c:v>7301.567</c:v>
                </c:pt>
                <c:pt idx="196">
                  <c:v>43972.362000000001</c:v>
                </c:pt>
                <c:pt idx="197">
                  <c:v>29642.946</c:v>
                </c:pt>
                <c:pt idx="198">
                  <c:v>38841.214</c:v>
                </c:pt>
                <c:pt idx="199">
                  <c:v>33491.709000000003</c:v>
                </c:pt>
                <c:pt idx="200">
                  <c:v>5743.9269999999997</c:v>
                </c:pt>
                <c:pt idx="201">
                  <c:v>9871.9210000000003</c:v>
                </c:pt>
                <c:pt idx="202">
                  <c:v>7863.9030000000002</c:v>
                </c:pt>
                <c:pt idx="203">
                  <c:v>8082.0439999999999</c:v>
                </c:pt>
                <c:pt idx="204">
                  <c:v>60782.078999999998</c:v>
                </c:pt>
                <c:pt idx="205">
                  <c:v>5531.7430000000004</c:v>
                </c:pt>
                <c:pt idx="206">
                  <c:v>4038.4169999999999</c:v>
                </c:pt>
                <c:pt idx="207">
                  <c:v>13123.438</c:v>
                </c:pt>
                <c:pt idx="208">
                  <c:v>6558.27</c:v>
                </c:pt>
                <c:pt idx="209">
                  <c:v>5519.8119999999999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0B-D84D-B538-AB0849352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696990"/>
        <c:axId val="463462485"/>
      </c:scatterChart>
      <c:valAx>
        <c:axId val="10756969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number of critical points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3462485"/>
        <c:crosses val="autoZero"/>
        <c:crossBetween val="midCat"/>
      </c:valAx>
      <c:valAx>
        <c:axId val="463462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in seconds</a:t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569699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crit pts vs total times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'graphtotal_timevnumber critical'!$B$1</c:f>
              <c:strCache>
                <c:ptCount val="1"/>
                <c:pt idx="0">
                  <c:v>Total time: All pruning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7620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'graphtotal_timevnumber critical'!$A$2:$A$211</c:f>
              <c:numCache>
                <c:formatCode>General</c:formatCode>
                <c:ptCount val="210"/>
                <c:pt idx="0">
                  <c:v>27</c:v>
                </c:pt>
                <c:pt idx="1">
                  <c:v>131</c:v>
                </c:pt>
                <c:pt idx="2">
                  <c:v>379</c:v>
                </c:pt>
                <c:pt idx="3">
                  <c:v>678</c:v>
                </c:pt>
                <c:pt idx="4">
                  <c:v>746</c:v>
                </c:pt>
                <c:pt idx="5">
                  <c:v>1380</c:v>
                </c:pt>
                <c:pt idx="6">
                  <c:v>27</c:v>
                </c:pt>
                <c:pt idx="7">
                  <c:v>15</c:v>
                </c:pt>
                <c:pt idx="8">
                  <c:v>21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130</c:v>
                </c:pt>
                <c:pt idx="13">
                  <c:v>74</c:v>
                </c:pt>
                <c:pt idx="14">
                  <c:v>107</c:v>
                </c:pt>
                <c:pt idx="15">
                  <c:v>83</c:v>
                </c:pt>
                <c:pt idx="16">
                  <c:v>84</c:v>
                </c:pt>
                <c:pt idx="17">
                  <c:v>231</c:v>
                </c:pt>
                <c:pt idx="18">
                  <c:v>216</c:v>
                </c:pt>
                <c:pt idx="19">
                  <c:v>364</c:v>
                </c:pt>
                <c:pt idx="20">
                  <c:v>219</c:v>
                </c:pt>
                <c:pt idx="21">
                  <c:v>259</c:v>
                </c:pt>
                <c:pt idx="22">
                  <c:v>296</c:v>
                </c:pt>
                <c:pt idx="23">
                  <c:v>878</c:v>
                </c:pt>
                <c:pt idx="24">
                  <c:v>643</c:v>
                </c:pt>
                <c:pt idx="25">
                  <c:v>550</c:v>
                </c:pt>
                <c:pt idx="26">
                  <c:v>761</c:v>
                </c:pt>
                <c:pt idx="27">
                  <c:v>1378</c:v>
                </c:pt>
                <c:pt idx="28">
                  <c:v>1216</c:v>
                </c:pt>
                <c:pt idx="29">
                  <c:v>119</c:v>
                </c:pt>
                <c:pt idx="30">
                  <c:v>314</c:v>
                </c:pt>
                <c:pt idx="31">
                  <c:v>358</c:v>
                </c:pt>
                <c:pt idx="32">
                  <c:v>678</c:v>
                </c:pt>
                <c:pt idx="33">
                  <c:v>814</c:v>
                </c:pt>
                <c:pt idx="34">
                  <c:v>661</c:v>
                </c:pt>
                <c:pt idx="35">
                  <c:v>84</c:v>
                </c:pt>
                <c:pt idx="36">
                  <c:v>102</c:v>
                </c:pt>
                <c:pt idx="37">
                  <c:v>92</c:v>
                </c:pt>
                <c:pt idx="38">
                  <c:v>107</c:v>
                </c:pt>
                <c:pt idx="39">
                  <c:v>83</c:v>
                </c:pt>
                <c:pt idx="40">
                  <c:v>84</c:v>
                </c:pt>
                <c:pt idx="41">
                  <c:v>221</c:v>
                </c:pt>
                <c:pt idx="42">
                  <c:v>213</c:v>
                </c:pt>
                <c:pt idx="43">
                  <c:v>296</c:v>
                </c:pt>
                <c:pt idx="44">
                  <c:v>302</c:v>
                </c:pt>
                <c:pt idx="45">
                  <c:v>296</c:v>
                </c:pt>
                <c:pt idx="46">
                  <c:v>878</c:v>
                </c:pt>
                <c:pt idx="47">
                  <c:v>771</c:v>
                </c:pt>
                <c:pt idx="48">
                  <c:v>454</c:v>
                </c:pt>
                <c:pt idx="49">
                  <c:v>571</c:v>
                </c:pt>
                <c:pt idx="50">
                  <c:v>1779</c:v>
                </c:pt>
                <c:pt idx="51">
                  <c:v>1407</c:v>
                </c:pt>
                <c:pt idx="52">
                  <c:v>358</c:v>
                </c:pt>
                <c:pt idx="53">
                  <c:v>643</c:v>
                </c:pt>
                <c:pt idx="54">
                  <c:v>599</c:v>
                </c:pt>
                <c:pt idx="55">
                  <c:v>1380</c:v>
                </c:pt>
                <c:pt idx="56">
                  <c:v>221</c:v>
                </c:pt>
                <c:pt idx="57">
                  <c:v>213</c:v>
                </c:pt>
                <c:pt idx="58">
                  <c:v>290</c:v>
                </c:pt>
                <c:pt idx="59">
                  <c:v>219</c:v>
                </c:pt>
                <c:pt idx="60">
                  <c:v>281</c:v>
                </c:pt>
                <c:pt idx="61">
                  <c:v>534</c:v>
                </c:pt>
                <c:pt idx="62">
                  <c:v>524</c:v>
                </c:pt>
                <c:pt idx="63">
                  <c:v>761</c:v>
                </c:pt>
                <c:pt idx="64">
                  <c:v>454</c:v>
                </c:pt>
                <c:pt idx="65">
                  <c:v>571</c:v>
                </c:pt>
                <c:pt idx="66">
                  <c:v>1216</c:v>
                </c:pt>
                <c:pt idx="67">
                  <c:v>599</c:v>
                </c:pt>
                <c:pt idx="68">
                  <c:v>1407</c:v>
                </c:pt>
                <c:pt idx="69">
                  <c:v>878</c:v>
                </c:pt>
                <c:pt idx="70">
                  <c:v>555</c:v>
                </c:pt>
                <c:pt idx="71">
                  <c:v>761</c:v>
                </c:pt>
                <c:pt idx="72">
                  <c:v>550</c:v>
                </c:pt>
                <c:pt idx="73">
                  <c:v>737</c:v>
                </c:pt>
                <c:pt idx="74">
                  <c:v>1004</c:v>
                </c:pt>
                <c:pt idx="75">
                  <c:v>1216</c:v>
                </c:pt>
                <c:pt idx="76">
                  <c:v>1004</c:v>
                </c:pt>
                <c:pt idx="77">
                  <c:v>1216</c:v>
                </c:pt>
                <c:pt idx="78">
                  <c:v>27</c:v>
                </c:pt>
                <c:pt idx="79">
                  <c:v>131</c:v>
                </c:pt>
                <c:pt idx="80">
                  <c:v>379</c:v>
                </c:pt>
                <c:pt idx="81">
                  <c:v>678</c:v>
                </c:pt>
                <c:pt idx="82">
                  <c:v>746</c:v>
                </c:pt>
                <c:pt idx="83">
                  <c:v>1380</c:v>
                </c:pt>
                <c:pt idx="84">
                  <c:v>27</c:v>
                </c:pt>
                <c:pt idx="85">
                  <c:v>15</c:v>
                </c:pt>
                <c:pt idx="86">
                  <c:v>21</c:v>
                </c:pt>
                <c:pt idx="87">
                  <c:v>15</c:v>
                </c:pt>
                <c:pt idx="88">
                  <c:v>15</c:v>
                </c:pt>
                <c:pt idx="89">
                  <c:v>16</c:v>
                </c:pt>
                <c:pt idx="90">
                  <c:v>130</c:v>
                </c:pt>
                <c:pt idx="91">
                  <c:v>74</c:v>
                </c:pt>
                <c:pt idx="92">
                  <c:v>107</c:v>
                </c:pt>
                <c:pt idx="93">
                  <c:v>83</c:v>
                </c:pt>
                <c:pt idx="94">
                  <c:v>84</c:v>
                </c:pt>
                <c:pt idx="95">
                  <c:v>231</c:v>
                </c:pt>
                <c:pt idx="96">
                  <c:v>216</c:v>
                </c:pt>
                <c:pt idx="97">
                  <c:v>364</c:v>
                </c:pt>
                <c:pt idx="98">
                  <c:v>219</c:v>
                </c:pt>
                <c:pt idx="99">
                  <c:v>259</c:v>
                </c:pt>
                <c:pt idx="100">
                  <c:v>296</c:v>
                </c:pt>
                <c:pt idx="101">
                  <c:v>878</c:v>
                </c:pt>
                <c:pt idx="102">
                  <c:v>643</c:v>
                </c:pt>
                <c:pt idx="103">
                  <c:v>550</c:v>
                </c:pt>
                <c:pt idx="104">
                  <c:v>761</c:v>
                </c:pt>
                <c:pt idx="105">
                  <c:v>1378</c:v>
                </c:pt>
                <c:pt idx="106">
                  <c:v>1216</c:v>
                </c:pt>
                <c:pt idx="107">
                  <c:v>119</c:v>
                </c:pt>
                <c:pt idx="108">
                  <c:v>314</c:v>
                </c:pt>
                <c:pt idx="109">
                  <c:v>358</c:v>
                </c:pt>
                <c:pt idx="110">
                  <c:v>678</c:v>
                </c:pt>
                <c:pt idx="111">
                  <c:v>814</c:v>
                </c:pt>
                <c:pt idx="112">
                  <c:v>661</c:v>
                </c:pt>
                <c:pt idx="113">
                  <c:v>84</c:v>
                </c:pt>
                <c:pt idx="114">
                  <c:v>102</c:v>
                </c:pt>
                <c:pt idx="115">
                  <c:v>92</c:v>
                </c:pt>
                <c:pt idx="116">
                  <c:v>107</c:v>
                </c:pt>
                <c:pt idx="117">
                  <c:v>83</c:v>
                </c:pt>
                <c:pt idx="118">
                  <c:v>84</c:v>
                </c:pt>
                <c:pt idx="119">
                  <c:v>221</c:v>
                </c:pt>
                <c:pt idx="120">
                  <c:v>213</c:v>
                </c:pt>
                <c:pt idx="121">
                  <c:v>296</c:v>
                </c:pt>
                <c:pt idx="122">
                  <c:v>302</c:v>
                </c:pt>
                <c:pt idx="123">
                  <c:v>296</c:v>
                </c:pt>
                <c:pt idx="124">
                  <c:v>878</c:v>
                </c:pt>
                <c:pt idx="125">
                  <c:v>771</c:v>
                </c:pt>
                <c:pt idx="126">
                  <c:v>454</c:v>
                </c:pt>
                <c:pt idx="127">
                  <c:v>571</c:v>
                </c:pt>
                <c:pt idx="128">
                  <c:v>1779</c:v>
                </c:pt>
                <c:pt idx="129">
                  <c:v>1407</c:v>
                </c:pt>
                <c:pt idx="130">
                  <c:v>358</c:v>
                </c:pt>
                <c:pt idx="131">
                  <c:v>643</c:v>
                </c:pt>
                <c:pt idx="132">
                  <c:v>599</c:v>
                </c:pt>
                <c:pt idx="133">
                  <c:v>1380</c:v>
                </c:pt>
                <c:pt idx="134">
                  <c:v>221</c:v>
                </c:pt>
                <c:pt idx="135">
                  <c:v>213</c:v>
                </c:pt>
                <c:pt idx="136">
                  <c:v>290</c:v>
                </c:pt>
                <c:pt idx="137">
                  <c:v>219</c:v>
                </c:pt>
                <c:pt idx="138">
                  <c:v>281</c:v>
                </c:pt>
                <c:pt idx="139">
                  <c:v>534</c:v>
                </c:pt>
                <c:pt idx="140">
                  <c:v>524</c:v>
                </c:pt>
                <c:pt idx="141">
                  <c:v>761</c:v>
                </c:pt>
                <c:pt idx="142">
                  <c:v>454</c:v>
                </c:pt>
                <c:pt idx="143">
                  <c:v>571</c:v>
                </c:pt>
                <c:pt idx="144">
                  <c:v>1216</c:v>
                </c:pt>
                <c:pt idx="145">
                  <c:v>599</c:v>
                </c:pt>
                <c:pt idx="146">
                  <c:v>1407</c:v>
                </c:pt>
                <c:pt idx="147">
                  <c:v>878</c:v>
                </c:pt>
                <c:pt idx="148">
                  <c:v>555</c:v>
                </c:pt>
                <c:pt idx="149">
                  <c:v>761</c:v>
                </c:pt>
                <c:pt idx="150">
                  <c:v>550</c:v>
                </c:pt>
                <c:pt idx="151">
                  <c:v>737</c:v>
                </c:pt>
                <c:pt idx="152">
                  <c:v>1004</c:v>
                </c:pt>
                <c:pt idx="153">
                  <c:v>1216</c:v>
                </c:pt>
                <c:pt idx="154">
                  <c:v>1004</c:v>
                </c:pt>
                <c:pt idx="155">
                  <c:v>1216</c:v>
                </c:pt>
                <c:pt idx="156">
                  <c:v>27</c:v>
                </c:pt>
                <c:pt idx="157">
                  <c:v>131</c:v>
                </c:pt>
                <c:pt idx="158">
                  <c:v>379</c:v>
                </c:pt>
                <c:pt idx="159">
                  <c:v>678</c:v>
                </c:pt>
                <c:pt idx="160">
                  <c:v>746</c:v>
                </c:pt>
                <c:pt idx="161">
                  <c:v>1380</c:v>
                </c:pt>
                <c:pt idx="162">
                  <c:v>27</c:v>
                </c:pt>
                <c:pt idx="163">
                  <c:v>15</c:v>
                </c:pt>
                <c:pt idx="164">
                  <c:v>21</c:v>
                </c:pt>
                <c:pt idx="165">
                  <c:v>15</c:v>
                </c:pt>
                <c:pt idx="166">
                  <c:v>15</c:v>
                </c:pt>
                <c:pt idx="167">
                  <c:v>16</c:v>
                </c:pt>
                <c:pt idx="168">
                  <c:v>130</c:v>
                </c:pt>
                <c:pt idx="169">
                  <c:v>74</c:v>
                </c:pt>
                <c:pt idx="170">
                  <c:v>107</c:v>
                </c:pt>
                <c:pt idx="171">
                  <c:v>83</c:v>
                </c:pt>
                <c:pt idx="172">
                  <c:v>84</c:v>
                </c:pt>
                <c:pt idx="173">
                  <c:v>231</c:v>
                </c:pt>
                <c:pt idx="174">
                  <c:v>216</c:v>
                </c:pt>
                <c:pt idx="175">
                  <c:v>364</c:v>
                </c:pt>
                <c:pt idx="176">
                  <c:v>219</c:v>
                </c:pt>
                <c:pt idx="177">
                  <c:v>259</c:v>
                </c:pt>
                <c:pt idx="178">
                  <c:v>296</c:v>
                </c:pt>
                <c:pt idx="179">
                  <c:v>878</c:v>
                </c:pt>
                <c:pt idx="180">
                  <c:v>643</c:v>
                </c:pt>
                <c:pt idx="181">
                  <c:v>550</c:v>
                </c:pt>
                <c:pt idx="182">
                  <c:v>761</c:v>
                </c:pt>
                <c:pt idx="183">
                  <c:v>1378</c:v>
                </c:pt>
                <c:pt idx="184">
                  <c:v>1216</c:v>
                </c:pt>
                <c:pt idx="185">
                  <c:v>119</c:v>
                </c:pt>
                <c:pt idx="186">
                  <c:v>314</c:v>
                </c:pt>
                <c:pt idx="187">
                  <c:v>358</c:v>
                </c:pt>
                <c:pt idx="188">
                  <c:v>678</c:v>
                </c:pt>
                <c:pt idx="189">
                  <c:v>814</c:v>
                </c:pt>
                <c:pt idx="190">
                  <c:v>661</c:v>
                </c:pt>
                <c:pt idx="191">
                  <c:v>84</c:v>
                </c:pt>
                <c:pt idx="192">
                  <c:v>102</c:v>
                </c:pt>
                <c:pt idx="193">
                  <c:v>92</c:v>
                </c:pt>
                <c:pt idx="194">
                  <c:v>107</c:v>
                </c:pt>
                <c:pt idx="195">
                  <c:v>83</c:v>
                </c:pt>
                <c:pt idx="196">
                  <c:v>84</c:v>
                </c:pt>
                <c:pt idx="197">
                  <c:v>221</c:v>
                </c:pt>
                <c:pt idx="198">
                  <c:v>213</c:v>
                </c:pt>
                <c:pt idx="199">
                  <c:v>296</c:v>
                </c:pt>
                <c:pt idx="200">
                  <c:v>302</c:v>
                </c:pt>
                <c:pt idx="201">
                  <c:v>296</c:v>
                </c:pt>
                <c:pt idx="202">
                  <c:v>878</c:v>
                </c:pt>
                <c:pt idx="203">
                  <c:v>771</c:v>
                </c:pt>
                <c:pt idx="204">
                  <c:v>454</c:v>
                </c:pt>
                <c:pt idx="205">
                  <c:v>571</c:v>
                </c:pt>
                <c:pt idx="206">
                  <c:v>1779</c:v>
                </c:pt>
                <c:pt idx="207">
                  <c:v>1407</c:v>
                </c:pt>
                <c:pt idx="208">
                  <c:v>358</c:v>
                </c:pt>
                <c:pt idx="209">
                  <c:v>643</c:v>
                </c:pt>
              </c:numCache>
            </c:numRef>
          </c:xVal>
          <c:yVal>
            <c:numRef>
              <c:f>'graphtotal_timevnumber critical'!$B$2:$B$211</c:f>
              <c:numCache>
                <c:formatCode>General</c:formatCode>
                <c:ptCount val="210"/>
                <c:pt idx="0">
                  <c:v>0.81299999999999994</c:v>
                </c:pt>
                <c:pt idx="1">
                  <c:v>0.76900000000000002</c:v>
                </c:pt>
                <c:pt idx="2">
                  <c:v>13.377000000000001</c:v>
                </c:pt>
                <c:pt idx="3">
                  <c:v>15.856</c:v>
                </c:pt>
                <c:pt idx="4">
                  <c:v>17.22</c:v>
                </c:pt>
                <c:pt idx="5">
                  <c:v>298.154</c:v>
                </c:pt>
                <c:pt idx="6">
                  <c:v>177.88200000000001</c:v>
                </c:pt>
                <c:pt idx="7">
                  <c:v>155.88399999999999</c:v>
                </c:pt>
                <c:pt idx="8">
                  <c:v>171.154</c:v>
                </c:pt>
                <c:pt idx="9">
                  <c:v>1486.4780000000001</c:v>
                </c:pt>
                <c:pt idx="10">
                  <c:v>763.654</c:v>
                </c:pt>
                <c:pt idx="11">
                  <c:v>841.96299999999997</c:v>
                </c:pt>
                <c:pt idx="12">
                  <c:v>995.24099999999999</c:v>
                </c:pt>
                <c:pt idx="13">
                  <c:v>972.34799999999996</c:v>
                </c:pt>
                <c:pt idx="14">
                  <c:v>200.87200000000001</c:v>
                </c:pt>
                <c:pt idx="15">
                  <c:v>5481.8280000000004</c:v>
                </c:pt>
                <c:pt idx="16">
                  <c:v>0.38200000000000001</c:v>
                </c:pt>
                <c:pt idx="17">
                  <c:v>0.53</c:v>
                </c:pt>
                <c:pt idx="18">
                  <c:v>0.56999999999999995</c:v>
                </c:pt>
                <c:pt idx="19">
                  <c:v>0.61699999999999999</c:v>
                </c:pt>
                <c:pt idx="20">
                  <c:v>0.53800000000000003</c:v>
                </c:pt>
                <c:pt idx="21">
                  <c:v>0.41299999999999998</c:v>
                </c:pt>
                <c:pt idx="22">
                  <c:v>0.46500000000000002</c:v>
                </c:pt>
                <c:pt idx="23">
                  <c:v>0.55900000000000005</c:v>
                </c:pt>
                <c:pt idx="24">
                  <c:v>0.498</c:v>
                </c:pt>
                <c:pt idx="25">
                  <c:v>0.48</c:v>
                </c:pt>
                <c:pt idx="26">
                  <c:v>0.35599999999999998</c:v>
                </c:pt>
                <c:pt idx="27">
                  <c:v>0.34200000000000003</c:v>
                </c:pt>
                <c:pt idx="28">
                  <c:v>0.42299999999999999</c:v>
                </c:pt>
                <c:pt idx="29">
                  <c:v>0.442</c:v>
                </c:pt>
                <c:pt idx="30">
                  <c:v>0.32700000000000001</c:v>
                </c:pt>
                <c:pt idx="31">
                  <c:v>0.54</c:v>
                </c:pt>
                <c:pt idx="32">
                  <c:v>0.40699999999999997</c:v>
                </c:pt>
                <c:pt idx="33">
                  <c:v>0.49</c:v>
                </c:pt>
                <c:pt idx="34">
                  <c:v>5.2590000000000003</c:v>
                </c:pt>
                <c:pt idx="35">
                  <c:v>3.0790000000000002</c:v>
                </c:pt>
                <c:pt idx="36">
                  <c:v>20.994</c:v>
                </c:pt>
                <c:pt idx="37">
                  <c:v>8.0489999999999995</c:v>
                </c:pt>
                <c:pt idx="38">
                  <c:v>4.63</c:v>
                </c:pt>
                <c:pt idx="39">
                  <c:v>6.5410000000000004</c:v>
                </c:pt>
                <c:pt idx="40">
                  <c:v>3.7850000000000001</c:v>
                </c:pt>
                <c:pt idx="41">
                  <c:v>7.266</c:v>
                </c:pt>
                <c:pt idx="42">
                  <c:v>7.7510000000000003</c:v>
                </c:pt>
                <c:pt idx="43">
                  <c:v>7.0940000000000003</c:v>
                </c:pt>
                <c:pt idx="44">
                  <c:v>4.1349999999999998</c:v>
                </c:pt>
                <c:pt idx="45">
                  <c:v>6.6660000000000004</c:v>
                </c:pt>
                <c:pt idx="46">
                  <c:v>4.4800000000000004</c:v>
                </c:pt>
                <c:pt idx="47">
                  <c:v>6.2649999999999997</c:v>
                </c:pt>
                <c:pt idx="48">
                  <c:v>5.9660000000000002</c:v>
                </c:pt>
                <c:pt idx="49">
                  <c:v>5.6929999999999996</c:v>
                </c:pt>
                <c:pt idx="50">
                  <c:v>6.5460000000000003</c:v>
                </c:pt>
                <c:pt idx="51">
                  <c:v>73.942999999999998</c:v>
                </c:pt>
                <c:pt idx="52">
                  <c:v>27.513000000000002</c:v>
                </c:pt>
                <c:pt idx="53">
                  <c:v>147.65199999999999</c:v>
                </c:pt>
                <c:pt idx="54">
                  <c:v>24.640999999999998</c:v>
                </c:pt>
                <c:pt idx="55">
                  <c:v>54.295999999999999</c:v>
                </c:pt>
                <c:pt idx="56">
                  <c:v>46.42</c:v>
                </c:pt>
                <c:pt idx="57">
                  <c:v>95.23</c:v>
                </c:pt>
                <c:pt idx="58">
                  <c:v>61.05</c:v>
                </c:pt>
                <c:pt idx="59">
                  <c:v>31.443999999999999</c:v>
                </c:pt>
                <c:pt idx="60">
                  <c:v>49.100999999999999</c:v>
                </c:pt>
                <c:pt idx="61">
                  <c:v>44.962000000000003</c:v>
                </c:pt>
                <c:pt idx="62">
                  <c:v>26.277999999999999</c:v>
                </c:pt>
                <c:pt idx="63">
                  <c:v>70.653999999999996</c:v>
                </c:pt>
                <c:pt idx="64">
                  <c:v>56.487000000000002</c:v>
                </c:pt>
                <c:pt idx="65">
                  <c:v>57.484000000000002</c:v>
                </c:pt>
                <c:pt idx="66">
                  <c:v>62.01</c:v>
                </c:pt>
                <c:pt idx="67">
                  <c:v>372.327</c:v>
                </c:pt>
                <c:pt idx="68">
                  <c:v>305.464</c:v>
                </c:pt>
                <c:pt idx="69">
                  <c:v>190.761</c:v>
                </c:pt>
                <c:pt idx="70">
                  <c:v>99.816999999999993</c:v>
                </c:pt>
                <c:pt idx="71">
                  <c:v>350.33199999999999</c:v>
                </c:pt>
                <c:pt idx="72">
                  <c:v>561.63900000000001</c:v>
                </c:pt>
                <c:pt idx="73">
                  <c:v>721.82500000000005</c:v>
                </c:pt>
                <c:pt idx="74">
                  <c:v>534.505</c:v>
                </c:pt>
                <c:pt idx="75">
                  <c:v>115.3</c:v>
                </c:pt>
                <c:pt idx="76">
                  <c:v>505.97800000000001</c:v>
                </c:pt>
                <c:pt idx="77">
                  <c:v>241.29499999999999</c:v>
                </c:pt>
                <c:pt idx="78">
                  <c:v>183.46299999999999</c:v>
                </c:pt>
                <c:pt idx="79">
                  <c:v>527.69500000000005</c:v>
                </c:pt>
                <c:pt idx="80">
                  <c:v>447.53699999999998</c:v>
                </c:pt>
                <c:pt idx="81">
                  <c:v>2047.652</c:v>
                </c:pt>
                <c:pt idx="82">
                  <c:v>1888.165</c:v>
                </c:pt>
                <c:pt idx="83">
                  <c:v>674.79100000000005</c:v>
                </c:pt>
                <c:pt idx="84">
                  <c:v>496.18900000000002</c:v>
                </c:pt>
                <c:pt idx="85">
                  <c:v>1811.126</c:v>
                </c:pt>
                <c:pt idx="86">
                  <c:v>1439.798</c:v>
                </c:pt>
                <c:pt idx="87">
                  <c:v>23.527000000000001</c:v>
                </c:pt>
                <c:pt idx="88">
                  <c:v>19.202000000000002</c:v>
                </c:pt>
                <c:pt idx="89">
                  <c:v>14.651</c:v>
                </c:pt>
                <c:pt idx="90">
                  <c:v>245.26599999999999</c:v>
                </c:pt>
                <c:pt idx="91">
                  <c:v>121.134</c:v>
                </c:pt>
                <c:pt idx="92">
                  <c:v>318.42099999999999</c:v>
                </c:pt>
                <c:pt idx="93">
                  <c:v>182.74100000000001</c:v>
                </c:pt>
                <c:pt idx="94">
                  <c:v>78.001000000000005</c:v>
                </c:pt>
                <c:pt idx="95">
                  <c:v>147.501</c:v>
                </c:pt>
                <c:pt idx="96">
                  <c:v>1444.4490000000001</c:v>
                </c:pt>
                <c:pt idx="97">
                  <c:v>1027.164</c:v>
                </c:pt>
                <c:pt idx="98">
                  <c:v>1432.8579999999999</c:v>
                </c:pt>
                <c:pt idx="99">
                  <c:v>973.279</c:v>
                </c:pt>
                <c:pt idx="100">
                  <c:v>306.06900000000002</c:v>
                </c:pt>
                <c:pt idx="101">
                  <c:v>836.67200000000003</c:v>
                </c:pt>
                <c:pt idx="102">
                  <c:v>970.09500000000003</c:v>
                </c:pt>
                <c:pt idx="103">
                  <c:v>399.74700000000001</c:v>
                </c:pt>
                <c:pt idx="104">
                  <c:v>5460.7120000000004</c:v>
                </c:pt>
                <c:pt idx="105">
                  <c:v>11.634</c:v>
                </c:pt>
                <c:pt idx="106">
                  <c:v>5.93</c:v>
                </c:pt>
                <c:pt idx="107">
                  <c:v>14.577999999999999</c:v>
                </c:pt>
                <c:pt idx="108">
                  <c:v>5.2619999999999996</c:v>
                </c:pt>
                <c:pt idx="109">
                  <c:v>5.0549999999999997</c:v>
                </c:pt>
                <c:pt idx="110">
                  <c:v>5.5970000000000004</c:v>
                </c:pt>
                <c:pt idx="111">
                  <c:v>6.1319999999999997</c:v>
                </c:pt>
                <c:pt idx="112">
                  <c:v>5.7460000000000004</c:v>
                </c:pt>
                <c:pt idx="113">
                  <c:v>7.3090000000000002</c:v>
                </c:pt>
                <c:pt idx="114">
                  <c:v>9.2560000000000002</c:v>
                </c:pt>
                <c:pt idx="115">
                  <c:v>7.2670000000000003</c:v>
                </c:pt>
                <c:pt idx="116">
                  <c:v>3.3250000000000002</c:v>
                </c:pt>
                <c:pt idx="117">
                  <c:v>6.2889999999999997</c:v>
                </c:pt>
                <c:pt idx="118">
                  <c:v>3.58</c:v>
                </c:pt>
                <c:pt idx="119">
                  <c:v>6.4379999999999997</c:v>
                </c:pt>
                <c:pt idx="120">
                  <c:v>6.3310000000000004</c:v>
                </c:pt>
                <c:pt idx="121">
                  <c:v>11.07</c:v>
                </c:pt>
                <c:pt idx="122">
                  <c:v>137.66200000000001</c:v>
                </c:pt>
                <c:pt idx="123">
                  <c:v>48.78</c:v>
                </c:pt>
                <c:pt idx="124">
                  <c:v>153.834</c:v>
                </c:pt>
                <c:pt idx="125">
                  <c:v>52.512</c:v>
                </c:pt>
                <c:pt idx="126">
                  <c:v>52.936999999999998</c:v>
                </c:pt>
                <c:pt idx="127">
                  <c:v>127.221</c:v>
                </c:pt>
                <c:pt idx="128">
                  <c:v>117.947</c:v>
                </c:pt>
                <c:pt idx="129">
                  <c:v>65.382999999999996</c:v>
                </c:pt>
                <c:pt idx="130">
                  <c:v>49.131</c:v>
                </c:pt>
                <c:pt idx="131">
                  <c:v>38.844000000000001</c:v>
                </c:pt>
                <c:pt idx="132">
                  <c:v>23.722999999999999</c:v>
                </c:pt>
                <c:pt idx="133">
                  <c:v>70.388999999999996</c:v>
                </c:pt>
                <c:pt idx="134">
                  <c:v>70.088999999999999</c:v>
                </c:pt>
                <c:pt idx="135">
                  <c:v>103.562</c:v>
                </c:pt>
                <c:pt idx="136">
                  <c:v>670.48</c:v>
                </c:pt>
                <c:pt idx="137">
                  <c:v>395.471</c:v>
                </c:pt>
                <c:pt idx="138">
                  <c:v>330.70800000000003</c:v>
                </c:pt>
                <c:pt idx="139">
                  <c:v>247.77699999999999</c:v>
                </c:pt>
                <c:pt idx="140">
                  <c:v>407.58</c:v>
                </c:pt>
                <c:pt idx="141">
                  <c:v>955.69500000000005</c:v>
                </c:pt>
                <c:pt idx="142">
                  <c:v>914.96500000000003</c:v>
                </c:pt>
                <c:pt idx="143">
                  <c:v>580.14300000000003</c:v>
                </c:pt>
                <c:pt idx="144">
                  <c:v>208.62899999999999</c:v>
                </c:pt>
                <c:pt idx="145">
                  <c:v>171.93700000000001</c:v>
                </c:pt>
                <c:pt idx="146">
                  <c:v>609.923</c:v>
                </c:pt>
                <c:pt idx="147">
                  <c:v>776.19299999999998</c:v>
                </c:pt>
                <c:pt idx="148">
                  <c:v>4037.22</c:v>
                </c:pt>
                <c:pt idx="149">
                  <c:v>2638.9279999999999</c:v>
                </c:pt>
                <c:pt idx="150">
                  <c:v>1161.55</c:v>
                </c:pt>
                <c:pt idx="151">
                  <c:v>1057.8620000000001</c:v>
                </c:pt>
                <c:pt idx="152">
                  <c:v>2429.1179999999999</c:v>
                </c:pt>
                <c:pt idx="153">
                  <c:v>2687.5010000000002</c:v>
                </c:pt>
                <c:pt idx="154">
                  <c:v>209.43899999999999</c:v>
                </c:pt>
                <c:pt idx="155">
                  <c:v>95.816999999999993</c:v>
                </c:pt>
                <c:pt idx="156">
                  <c:v>106.07</c:v>
                </c:pt>
                <c:pt idx="157">
                  <c:v>45.741</c:v>
                </c:pt>
                <c:pt idx="158">
                  <c:v>1480.8440000000001</c:v>
                </c:pt>
                <c:pt idx="159">
                  <c:v>1040.47</c:v>
                </c:pt>
                <c:pt idx="160">
                  <c:v>805.822</c:v>
                </c:pt>
                <c:pt idx="161">
                  <c:v>283.98099999999999</c:v>
                </c:pt>
                <c:pt idx="162">
                  <c:v>685.97900000000004</c:v>
                </c:pt>
                <c:pt idx="163">
                  <c:v>1177.779</c:v>
                </c:pt>
                <c:pt idx="164">
                  <c:v>429.803</c:v>
                </c:pt>
                <c:pt idx="165">
                  <c:v>5833.5519999999997</c:v>
                </c:pt>
                <c:pt idx="166">
                  <c:v>5794.0829999999996</c:v>
                </c:pt>
                <c:pt idx="167">
                  <c:v>71.686000000000007</c:v>
                </c:pt>
                <c:pt idx="168">
                  <c:v>28.742000000000001</c:v>
                </c:pt>
                <c:pt idx="169">
                  <c:v>54.308999999999997</c:v>
                </c:pt>
                <c:pt idx="170">
                  <c:v>36.497</c:v>
                </c:pt>
                <c:pt idx="171">
                  <c:v>57.505000000000003</c:v>
                </c:pt>
                <c:pt idx="172">
                  <c:v>102.792</c:v>
                </c:pt>
                <c:pt idx="173">
                  <c:v>151.369</c:v>
                </c:pt>
                <c:pt idx="174">
                  <c:v>115.645</c:v>
                </c:pt>
                <c:pt idx="175">
                  <c:v>67.837999999999994</c:v>
                </c:pt>
                <c:pt idx="176">
                  <c:v>28.948</c:v>
                </c:pt>
                <c:pt idx="177">
                  <c:v>43.418999999999997</c:v>
                </c:pt>
                <c:pt idx="178">
                  <c:v>15.430999999999999</c:v>
                </c:pt>
                <c:pt idx="179">
                  <c:v>97.8</c:v>
                </c:pt>
                <c:pt idx="180">
                  <c:v>72.896000000000001</c:v>
                </c:pt>
                <c:pt idx="181">
                  <c:v>98.254000000000005</c:v>
                </c:pt>
                <c:pt idx="182">
                  <c:v>98.361000000000004</c:v>
                </c:pt>
                <c:pt idx="183">
                  <c:v>453.49599999999998</c:v>
                </c:pt>
                <c:pt idx="184">
                  <c:v>233.203</c:v>
                </c:pt>
                <c:pt idx="185">
                  <c:v>421.53800000000001</c:v>
                </c:pt>
                <c:pt idx="186">
                  <c:v>233.23099999999999</c:v>
                </c:pt>
                <c:pt idx="187">
                  <c:v>408.88600000000002</c:v>
                </c:pt>
                <c:pt idx="188">
                  <c:v>816.22799999999995</c:v>
                </c:pt>
                <c:pt idx="189">
                  <c:v>777.31299999999999</c:v>
                </c:pt>
                <c:pt idx="190">
                  <c:v>1026.713</c:v>
                </c:pt>
                <c:pt idx="191">
                  <c:v>651.11</c:v>
                </c:pt>
                <c:pt idx="192">
                  <c:v>254.06200000000001</c:v>
                </c:pt>
                <c:pt idx="193">
                  <c:v>157.13999999999999</c:v>
                </c:pt>
                <c:pt idx="194">
                  <c:v>1330.162</c:v>
                </c:pt>
                <c:pt idx="195">
                  <c:v>697.07799999999997</c:v>
                </c:pt>
                <c:pt idx="196">
                  <c:v>3786.6579999999999</c:v>
                </c:pt>
                <c:pt idx="197">
                  <c:v>2130.9340000000002</c:v>
                </c:pt>
                <c:pt idx="198">
                  <c:v>1254.298</c:v>
                </c:pt>
                <c:pt idx="199">
                  <c:v>2973.0540000000001</c:v>
                </c:pt>
                <c:pt idx="200">
                  <c:v>688.048</c:v>
                </c:pt>
                <c:pt idx="201">
                  <c:v>667.58299999999997</c:v>
                </c:pt>
                <c:pt idx="202">
                  <c:v>689.31600000000003</c:v>
                </c:pt>
                <c:pt idx="203">
                  <c:v>313.88900000000001</c:v>
                </c:pt>
                <c:pt idx="204">
                  <c:v>5519.0010000000002</c:v>
                </c:pt>
                <c:pt idx="205">
                  <c:v>438.37299999999999</c:v>
                </c:pt>
                <c:pt idx="206">
                  <c:v>227.73599999999999</c:v>
                </c:pt>
                <c:pt idx="207">
                  <c:v>250.98599999999999</c:v>
                </c:pt>
                <c:pt idx="208">
                  <c:v>318.87400000000002</c:v>
                </c:pt>
                <c:pt idx="209">
                  <c:v>99.647999999999996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0F-7B46-8717-C2E33B004592}"/>
            </c:ext>
          </c:extLst>
        </c:ser>
        <c:ser>
          <c:idx val="1"/>
          <c:order val="1"/>
          <c:tx>
            <c:strRef>
              <c:f>'graphtotal_timevnumber critical'!$D$1</c:f>
              <c:strCache>
                <c:ptCount val="1"/>
                <c:pt idx="0">
                  <c:v>Total time: no pruning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7620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'graphtotal_timevnumber critical'!$A$2:$A$211</c:f>
              <c:numCache>
                <c:formatCode>General</c:formatCode>
                <c:ptCount val="210"/>
                <c:pt idx="0">
                  <c:v>27</c:v>
                </c:pt>
                <c:pt idx="1">
                  <c:v>131</c:v>
                </c:pt>
                <c:pt idx="2">
                  <c:v>379</c:v>
                </c:pt>
                <c:pt idx="3">
                  <c:v>678</c:v>
                </c:pt>
                <c:pt idx="4">
                  <c:v>746</c:v>
                </c:pt>
                <c:pt idx="5">
                  <c:v>1380</c:v>
                </c:pt>
                <c:pt idx="6">
                  <c:v>27</c:v>
                </c:pt>
                <c:pt idx="7">
                  <c:v>15</c:v>
                </c:pt>
                <c:pt idx="8">
                  <c:v>21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130</c:v>
                </c:pt>
                <c:pt idx="13">
                  <c:v>74</c:v>
                </c:pt>
                <c:pt idx="14">
                  <c:v>107</c:v>
                </c:pt>
                <c:pt idx="15">
                  <c:v>83</c:v>
                </c:pt>
                <c:pt idx="16">
                  <c:v>84</c:v>
                </c:pt>
                <c:pt idx="17">
                  <c:v>231</c:v>
                </c:pt>
                <c:pt idx="18">
                  <c:v>216</c:v>
                </c:pt>
                <c:pt idx="19">
                  <c:v>364</c:v>
                </c:pt>
                <c:pt idx="20">
                  <c:v>219</c:v>
                </c:pt>
                <c:pt idx="21">
                  <c:v>259</c:v>
                </c:pt>
                <c:pt idx="22">
                  <c:v>296</c:v>
                </c:pt>
                <c:pt idx="23">
                  <c:v>878</c:v>
                </c:pt>
                <c:pt idx="24">
                  <c:v>643</c:v>
                </c:pt>
                <c:pt idx="25">
                  <c:v>550</c:v>
                </c:pt>
                <c:pt idx="26">
                  <c:v>761</c:v>
                </c:pt>
                <c:pt idx="27">
                  <c:v>1378</c:v>
                </c:pt>
                <c:pt idx="28">
                  <c:v>1216</c:v>
                </c:pt>
                <c:pt idx="29">
                  <c:v>119</c:v>
                </c:pt>
                <c:pt idx="30">
                  <c:v>314</c:v>
                </c:pt>
                <c:pt idx="31">
                  <c:v>358</c:v>
                </c:pt>
                <c:pt idx="32">
                  <c:v>678</c:v>
                </c:pt>
                <c:pt idx="33">
                  <c:v>814</c:v>
                </c:pt>
                <c:pt idx="34">
                  <c:v>661</c:v>
                </c:pt>
                <c:pt idx="35">
                  <c:v>84</c:v>
                </c:pt>
                <c:pt idx="36">
                  <c:v>102</c:v>
                </c:pt>
                <c:pt idx="37">
                  <c:v>92</c:v>
                </c:pt>
                <c:pt idx="38">
                  <c:v>107</c:v>
                </c:pt>
                <c:pt idx="39">
                  <c:v>83</c:v>
                </c:pt>
                <c:pt idx="40">
                  <c:v>84</c:v>
                </c:pt>
                <c:pt idx="41">
                  <c:v>221</c:v>
                </c:pt>
                <c:pt idx="42">
                  <c:v>213</c:v>
                </c:pt>
                <c:pt idx="43">
                  <c:v>296</c:v>
                </c:pt>
                <c:pt idx="44">
                  <c:v>302</c:v>
                </c:pt>
                <c:pt idx="45">
                  <c:v>296</c:v>
                </c:pt>
                <c:pt idx="46">
                  <c:v>878</c:v>
                </c:pt>
                <c:pt idx="47">
                  <c:v>771</c:v>
                </c:pt>
                <c:pt idx="48">
                  <c:v>454</c:v>
                </c:pt>
                <c:pt idx="49">
                  <c:v>571</c:v>
                </c:pt>
                <c:pt idx="50">
                  <c:v>1779</c:v>
                </c:pt>
                <c:pt idx="51">
                  <c:v>1407</c:v>
                </c:pt>
                <c:pt idx="52">
                  <c:v>358</c:v>
                </c:pt>
                <c:pt idx="53">
                  <c:v>643</c:v>
                </c:pt>
                <c:pt idx="54">
                  <c:v>599</c:v>
                </c:pt>
                <c:pt idx="55">
                  <c:v>1380</c:v>
                </c:pt>
                <c:pt idx="56">
                  <c:v>221</c:v>
                </c:pt>
                <c:pt idx="57">
                  <c:v>213</c:v>
                </c:pt>
                <c:pt idx="58">
                  <c:v>290</c:v>
                </c:pt>
                <c:pt idx="59">
                  <c:v>219</c:v>
                </c:pt>
                <c:pt idx="60">
                  <c:v>281</c:v>
                </c:pt>
                <c:pt idx="61">
                  <c:v>534</c:v>
                </c:pt>
                <c:pt idx="62">
                  <c:v>524</c:v>
                </c:pt>
                <c:pt idx="63">
                  <c:v>761</c:v>
                </c:pt>
                <c:pt idx="64">
                  <c:v>454</c:v>
                </c:pt>
                <c:pt idx="65">
                  <c:v>571</c:v>
                </c:pt>
                <c:pt idx="66">
                  <c:v>1216</c:v>
                </c:pt>
                <c:pt idx="67">
                  <c:v>599</c:v>
                </c:pt>
                <c:pt idx="68">
                  <c:v>1407</c:v>
                </c:pt>
                <c:pt idx="69">
                  <c:v>878</c:v>
                </c:pt>
                <c:pt idx="70">
                  <c:v>555</c:v>
                </c:pt>
                <c:pt idx="71">
                  <c:v>761</c:v>
                </c:pt>
                <c:pt idx="72">
                  <c:v>550</c:v>
                </c:pt>
                <c:pt idx="73">
                  <c:v>737</c:v>
                </c:pt>
                <c:pt idx="74">
                  <c:v>1004</c:v>
                </c:pt>
                <c:pt idx="75">
                  <c:v>1216</c:v>
                </c:pt>
                <c:pt idx="76">
                  <c:v>1004</c:v>
                </c:pt>
                <c:pt idx="77">
                  <c:v>1216</c:v>
                </c:pt>
                <c:pt idx="78">
                  <c:v>27</c:v>
                </c:pt>
                <c:pt idx="79">
                  <c:v>131</c:v>
                </c:pt>
                <c:pt idx="80">
                  <c:v>379</c:v>
                </c:pt>
                <c:pt idx="81">
                  <c:v>678</c:v>
                </c:pt>
                <c:pt idx="82">
                  <c:v>746</c:v>
                </c:pt>
                <c:pt idx="83">
                  <c:v>1380</c:v>
                </c:pt>
                <c:pt idx="84">
                  <c:v>27</c:v>
                </c:pt>
                <c:pt idx="85">
                  <c:v>15</c:v>
                </c:pt>
                <c:pt idx="86">
                  <c:v>21</c:v>
                </c:pt>
                <c:pt idx="87">
                  <c:v>15</c:v>
                </c:pt>
                <c:pt idx="88">
                  <c:v>15</c:v>
                </c:pt>
                <c:pt idx="89">
                  <c:v>16</c:v>
                </c:pt>
                <c:pt idx="90">
                  <c:v>130</c:v>
                </c:pt>
                <c:pt idx="91">
                  <c:v>74</c:v>
                </c:pt>
                <c:pt idx="92">
                  <c:v>107</c:v>
                </c:pt>
                <c:pt idx="93">
                  <c:v>83</c:v>
                </c:pt>
                <c:pt idx="94">
                  <c:v>84</c:v>
                </c:pt>
                <c:pt idx="95">
                  <c:v>231</c:v>
                </c:pt>
                <c:pt idx="96">
                  <c:v>216</c:v>
                </c:pt>
                <c:pt idx="97">
                  <c:v>364</c:v>
                </c:pt>
                <c:pt idx="98">
                  <c:v>219</c:v>
                </c:pt>
                <c:pt idx="99">
                  <c:v>259</c:v>
                </c:pt>
                <c:pt idx="100">
                  <c:v>296</c:v>
                </c:pt>
                <c:pt idx="101">
                  <c:v>878</c:v>
                </c:pt>
                <c:pt idx="102">
                  <c:v>643</c:v>
                </c:pt>
                <c:pt idx="103">
                  <c:v>550</c:v>
                </c:pt>
                <c:pt idx="104">
                  <c:v>761</c:v>
                </c:pt>
                <c:pt idx="105">
                  <c:v>1378</c:v>
                </c:pt>
                <c:pt idx="106">
                  <c:v>1216</c:v>
                </c:pt>
                <c:pt idx="107">
                  <c:v>119</c:v>
                </c:pt>
                <c:pt idx="108">
                  <c:v>314</c:v>
                </c:pt>
                <c:pt idx="109">
                  <c:v>358</c:v>
                </c:pt>
                <c:pt idx="110">
                  <c:v>678</c:v>
                </c:pt>
                <c:pt idx="111">
                  <c:v>814</c:v>
                </c:pt>
                <c:pt idx="112">
                  <c:v>661</c:v>
                </c:pt>
                <c:pt idx="113">
                  <c:v>84</c:v>
                </c:pt>
                <c:pt idx="114">
                  <c:v>102</c:v>
                </c:pt>
                <c:pt idx="115">
                  <c:v>92</c:v>
                </c:pt>
                <c:pt idx="116">
                  <c:v>107</c:v>
                </c:pt>
                <c:pt idx="117">
                  <c:v>83</c:v>
                </c:pt>
                <c:pt idx="118">
                  <c:v>84</c:v>
                </c:pt>
                <c:pt idx="119">
                  <c:v>221</c:v>
                </c:pt>
                <c:pt idx="120">
                  <c:v>213</c:v>
                </c:pt>
                <c:pt idx="121">
                  <c:v>296</c:v>
                </c:pt>
                <c:pt idx="122">
                  <c:v>302</c:v>
                </c:pt>
                <c:pt idx="123">
                  <c:v>296</c:v>
                </c:pt>
                <c:pt idx="124">
                  <c:v>878</c:v>
                </c:pt>
                <c:pt idx="125">
                  <c:v>771</c:v>
                </c:pt>
                <c:pt idx="126">
                  <c:v>454</c:v>
                </c:pt>
                <c:pt idx="127">
                  <c:v>571</c:v>
                </c:pt>
                <c:pt idx="128">
                  <c:v>1779</c:v>
                </c:pt>
                <c:pt idx="129">
                  <c:v>1407</c:v>
                </c:pt>
                <c:pt idx="130">
                  <c:v>358</c:v>
                </c:pt>
                <c:pt idx="131">
                  <c:v>643</c:v>
                </c:pt>
                <c:pt idx="132">
                  <c:v>599</c:v>
                </c:pt>
                <c:pt idx="133">
                  <c:v>1380</c:v>
                </c:pt>
                <c:pt idx="134">
                  <c:v>221</c:v>
                </c:pt>
                <c:pt idx="135">
                  <c:v>213</c:v>
                </c:pt>
                <c:pt idx="136">
                  <c:v>290</c:v>
                </c:pt>
                <c:pt idx="137">
                  <c:v>219</c:v>
                </c:pt>
                <c:pt idx="138">
                  <c:v>281</c:v>
                </c:pt>
                <c:pt idx="139">
                  <c:v>534</c:v>
                </c:pt>
                <c:pt idx="140">
                  <c:v>524</c:v>
                </c:pt>
                <c:pt idx="141">
                  <c:v>761</c:v>
                </c:pt>
                <c:pt idx="142">
                  <c:v>454</c:v>
                </c:pt>
                <c:pt idx="143">
                  <c:v>571</c:v>
                </c:pt>
                <c:pt idx="144">
                  <c:v>1216</c:v>
                </c:pt>
                <c:pt idx="145">
                  <c:v>599</c:v>
                </c:pt>
                <c:pt idx="146">
                  <c:v>1407</c:v>
                </c:pt>
                <c:pt idx="147">
                  <c:v>878</c:v>
                </c:pt>
                <c:pt idx="148">
                  <c:v>555</c:v>
                </c:pt>
                <c:pt idx="149">
                  <c:v>761</c:v>
                </c:pt>
                <c:pt idx="150">
                  <c:v>550</c:v>
                </c:pt>
                <c:pt idx="151">
                  <c:v>737</c:v>
                </c:pt>
                <c:pt idx="152">
                  <c:v>1004</c:v>
                </c:pt>
                <c:pt idx="153">
                  <c:v>1216</c:v>
                </c:pt>
                <c:pt idx="154">
                  <c:v>1004</c:v>
                </c:pt>
                <c:pt idx="155">
                  <c:v>1216</c:v>
                </c:pt>
                <c:pt idx="156">
                  <c:v>27</c:v>
                </c:pt>
                <c:pt idx="157">
                  <c:v>131</c:v>
                </c:pt>
                <c:pt idx="158">
                  <c:v>379</c:v>
                </c:pt>
                <c:pt idx="159">
                  <c:v>678</c:v>
                </c:pt>
                <c:pt idx="160">
                  <c:v>746</c:v>
                </c:pt>
                <c:pt idx="161">
                  <c:v>1380</c:v>
                </c:pt>
                <c:pt idx="162">
                  <c:v>27</c:v>
                </c:pt>
                <c:pt idx="163">
                  <c:v>15</c:v>
                </c:pt>
                <c:pt idx="164">
                  <c:v>21</c:v>
                </c:pt>
                <c:pt idx="165">
                  <c:v>15</c:v>
                </c:pt>
                <c:pt idx="166">
                  <c:v>15</c:v>
                </c:pt>
                <c:pt idx="167">
                  <c:v>16</c:v>
                </c:pt>
                <c:pt idx="168">
                  <c:v>130</c:v>
                </c:pt>
                <c:pt idx="169">
                  <c:v>74</c:v>
                </c:pt>
                <c:pt idx="170">
                  <c:v>107</c:v>
                </c:pt>
                <c:pt idx="171">
                  <c:v>83</c:v>
                </c:pt>
                <c:pt idx="172">
                  <c:v>84</c:v>
                </c:pt>
                <c:pt idx="173">
                  <c:v>231</c:v>
                </c:pt>
                <c:pt idx="174">
                  <c:v>216</c:v>
                </c:pt>
                <c:pt idx="175">
                  <c:v>364</c:v>
                </c:pt>
                <c:pt idx="176">
                  <c:v>219</c:v>
                </c:pt>
                <c:pt idx="177">
                  <c:v>259</c:v>
                </c:pt>
                <c:pt idx="178">
                  <c:v>296</c:v>
                </c:pt>
                <c:pt idx="179">
                  <c:v>878</c:v>
                </c:pt>
                <c:pt idx="180">
                  <c:v>643</c:v>
                </c:pt>
                <c:pt idx="181">
                  <c:v>550</c:v>
                </c:pt>
                <c:pt idx="182">
                  <c:v>761</c:v>
                </c:pt>
                <c:pt idx="183">
                  <c:v>1378</c:v>
                </c:pt>
                <c:pt idx="184">
                  <c:v>1216</c:v>
                </c:pt>
                <c:pt idx="185">
                  <c:v>119</c:v>
                </c:pt>
                <c:pt idx="186">
                  <c:v>314</c:v>
                </c:pt>
                <c:pt idx="187">
                  <c:v>358</c:v>
                </c:pt>
                <c:pt idx="188">
                  <c:v>678</c:v>
                </c:pt>
                <c:pt idx="189">
                  <c:v>814</c:v>
                </c:pt>
                <c:pt idx="190">
                  <c:v>661</c:v>
                </c:pt>
                <c:pt idx="191">
                  <c:v>84</c:v>
                </c:pt>
                <c:pt idx="192">
                  <c:v>102</c:v>
                </c:pt>
                <c:pt idx="193">
                  <c:v>92</c:v>
                </c:pt>
                <c:pt idx="194">
                  <c:v>107</c:v>
                </c:pt>
                <c:pt idx="195">
                  <c:v>83</c:v>
                </c:pt>
                <c:pt idx="196">
                  <c:v>84</c:v>
                </c:pt>
                <c:pt idx="197">
                  <c:v>221</c:v>
                </c:pt>
                <c:pt idx="198">
                  <c:v>213</c:v>
                </c:pt>
                <c:pt idx="199">
                  <c:v>296</c:v>
                </c:pt>
                <c:pt idx="200">
                  <c:v>302</c:v>
                </c:pt>
                <c:pt idx="201">
                  <c:v>296</c:v>
                </c:pt>
                <c:pt idx="202">
                  <c:v>878</c:v>
                </c:pt>
                <c:pt idx="203">
                  <c:v>771</c:v>
                </c:pt>
                <c:pt idx="204">
                  <c:v>454</c:v>
                </c:pt>
                <c:pt idx="205">
                  <c:v>571</c:v>
                </c:pt>
                <c:pt idx="206">
                  <c:v>1779</c:v>
                </c:pt>
                <c:pt idx="207">
                  <c:v>1407</c:v>
                </c:pt>
                <c:pt idx="208">
                  <c:v>358</c:v>
                </c:pt>
                <c:pt idx="209">
                  <c:v>643</c:v>
                </c:pt>
              </c:numCache>
            </c:numRef>
          </c:xVal>
          <c:yVal>
            <c:numRef>
              <c:f>'graphtotal_timevnumber critical'!$D$2:$D$211</c:f>
              <c:numCache>
                <c:formatCode>General</c:formatCode>
                <c:ptCount val="210"/>
                <c:pt idx="0">
                  <c:v>3.4849999999999999</c:v>
                </c:pt>
                <c:pt idx="1">
                  <c:v>4.1260000000000003</c:v>
                </c:pt>
                <c:pt idx="2">
                  <c:v>161.453</c:v>
                </c:pt>
                <c:pt idx="3">
                  <c:v>85.584999999999994</c:v>
                </c:pt>
                <c:pt idx="4">
                  <c:v>188.35</c:v>
                </c:pt>
                <c:pt idx="5">
                  <c:v>2513.2959999999998</c:v>
                </c:pt>
                <c:pt idx="6">
                  <c:v>2096.2809999999999</c:v>
                </c:pt>
                <c:pt idx="7">
                  <c:v>938.80499999999995</c:v>
                </c:pt>
                <c:pt idx="8">
                  <c:v>1919.3889999999999</c:v>
                </c:pt>
                <c:pt idx="9">
                  <c:v>13081.912</c:v>
                </c:pt>
                <c:pt idx="10">
                  <c:v>12834.044</c:v>
                </c:pt>
                <c:pt idx="11">
                  <c:v>6618.973</c:v>
                </c:pt>
                <c:pt idx="12">
                  <c:v>12008.013999999999</c:v>
                </c:pt>
                <c:pt idx="13">
                  <c:v>9765.0439999999999</c:v>
                </c:pt>
                <c:pt idx="14">
                  <c:v>5298.5290000000005</c:v>
                </c:pt>
                <c:pt idx="15">
                  <c:v>54132.065000000002</c:v>
                </c:pt>
                <c:pt idx="16">
                  <c:v>1.4950000000000001</c:v>
                </c:pt>
                <c:pt idx="17">
                  <c:v>1.5549999999999999</c:v>
                </c:pt>
                <c:pt idx="18">
                  <c:v>2.6819999999999999</c:v>
                </c:pt>
                <c:pt idx="19">
                  <c:v>2.7490000000000001</c:v>
                </c:pt>
                <c:pt idx="20">
                  <c:v>1.52</c:v>
                </c:pt>
                <c:pt idx="21">
                  <c:v>1.6859999999999999</c:v>
                </c:pt>
                <c:pt idx="22">
                  <c:v>1.5629999999999999</c:v>
                </c:pt>
                <c:pt idx="23">
                  <c:v>2.4540000000000002</c:v>
                </c:pt>
                <c:pt idx="24">
                  <c:v>1.6419999999999999</c:v>
                </c:pt>
                <c:pt idx="25">
                  <c:v>1.583</c:v>
                </c:pt>
                <c:pt idx="26">
                  <c:v>1.508</c:v>
                </c:pt>
                <c:pt idx="27">
                  <c:v>1.53</c:v>
                </c:pt>
                <c:pt idx="28">
                  <c:v>1.476</c:v>
                </c:pt>
                <c:pt idx="29">
                  <c:v>3.512</c:v>
                </c:pt>
                <c:pt idx="30">
                  <c:v>1.4830000000000001</c:v>
                </c:pt>
                <c:pt idx="31">
                  <c:v>1.542</c:v>
                </c:pt>
                <c:pt idx="32">
                  <c:v>1.704</c:v>
                </c:pt>
                <c:pt idx="33">
                  <c:v>1.4710000000000001</c:v>
                </c:pt>
                <c:pt idx="34">
                  <c:v>52.573999999999998</c:v>
                </c:pt>
                <c:pt idx="35">
                  <c:v>43.987000000000002</c:v>
                </c:pt>
                <c:pt idx="36">
                  <c:v>181.833</c:v>
                </c:pt>
                <c:pt idx="37">
                  <c:v>72.733999999999995</c:v>
                </c:pt>
                <c:pt idx="38">
                  <c:v>36.612000000000002</c:v>
                </c:pt>
                <c:pt idx="39">
                  <c:v>43.165999999999997</c:v>
                </c:pt>
                <c:pt idx="40">
                  <c:v>59.783000000000001</c:v>
                </c:pt>
                <c:pt idx="41">
                  <c:v>97.448999999999998</c:v>
                </c:pt>
                <c:pt idx="42">
                  <c:v>64.744</c:v>
                </c:pt>
                <c:pt idx="43">
                  <c:v>51.784999999999997</c:v>
                </c:pt>
                <c:pt idx="44">
                  <c:v>59.862000000000002</c:v>
                </c:pt>
                <c:pt idx="45">
                  <c:v>55.988999999999997</c:v>
                </c:pt>
                <c:pt idx="46">
                  <c:v>123.786</c:v>
                </c:pt>
                <c:pt idx="47">
                  <c:v>70.415999999999997</c:v>
                </c:pt>
                <c:pt idx="48">
                  <c:v>65.271000000000001</c:v>
                </c:pt>
                <c:pt idx="49">
                  <c:v>55.494</c:v>
                </c:pt>
                <c:pt idx="50">
                  <c:v>58.838999999999999</c:v>
                </c:pt>
                <c:pt idx="51">
                  <c:v>727.01099999999997</c:v>
                </c:pt>
                <c:pt idx="52">
                  <c:v>543.59100000000001</c:v>
                </c:pt>
                <c:pt idx="53">
                  <c:v>1769.605</c:v>
                </c:pt>
                <c:pt idx="54">
                  <c:v>676.85599999999999</c:v>
                </c:pt>
                <c:pt idx="55">
                  <c:v>597.51400000000001</c:v>
                </c:pt>
                <c:pt idx="56">
                  <c:v>719.22900000000004</c:v>
                </c:pt>
                <c:pt idx="57">
                  <c:v>1290.953</c:v>
                </c:pt>
                <c:pt idx="58">
                  <c:v>1074.701</c:v>
                </c:pt>
                <c:pt idx="59">
                  <c:v>1101.827</c:v>
                </c:pt>
                <c:pt idx="60">
                  <c:v>734.154</c:v>
                </c:pt>
                <c:pt idx="61">
                  <c:v>643.41499999999996</c:v>
                </c:pt>
                <c:pt idx="62">
                  <c:v>1497.835</c:v>
                </c:pt>
                <c:pt idx="63">
                  <c:v>991.84400000000005</c:v>
                </c:pt>
                <c:pt idx="64">
                  <c:v>779.43700000000001</c:v>
                </c:pt>
                <c:pt idx="65">
                  <c:v>664.93200000000002</c:v>
                </c:pt>
                <c:pt idx="66">
                  <c:v>758.65200000000004</c:v>
                </c:pt>
                <c:pt idx="67">
                  <c:v>5228.6670000000004</c:v>
                </c:pt>
                <c:pt idx="68">
                  <c:v>4804.4229999999998</c:v>
                </c:pt>
                <c:pt idx="69">
                  <c:v>10015.02</c:v>
                </c:pt>
                <c:pt idx="70">
                  <c:v>4555.12</c:v>
                </c:pt>
                <c:pt idx="71">
                  <c:v>4449.3</c:v>
                </c:pt>
                <c:pt idx="72">
                  <c:v>8846.9069999999992</c:v>
                </c:pt>
                <c:pt idx="73">
                  <c:v>12469.47</c:v>
                </c:pt>
                <c:pt idx="74">
                  <c:v>10078.276</c:v>
                </c:pt>
                <c:pt idx="75">
                  <c:v>6806.567</c:v>
                </c:pt>
                <c:pt idx="76">
                  <c:v>6438.5420000000004</c:v>
                </c:pt>
                <c:pt idx="77">
                  <c:v>4240.28</c:v>
                </c:pt>
                <c:pt idx="78">
                  <c:v>10477.495999999999</c:v>
                </c:pt>
                <c:pt idx="79">
                  <c:v>6012.9679999999998</c:v>
                </c:pt>
                <c:pt idx="80">
                  <c:v>5262.46</c:v>
                </c:pt>
                <c:pt idx="81">
                  <c:v>27766.151000000002</c:v>
                </c:pt>
                <c:pt idx="82">
                  <c:v>30240.044999999998</c:v>
                </c:pt>
                <c:pt idx="83">
                  <c:v>46661.527000000002</c:v>
                </c:pt>
                <c:pt idx="84">
                  <c:v>23529.73</c:v>
                </c:pt>
                <c:pt idx="85">
                  <c:v>26318.432000000001</c:v>
                </c:pt>
                <c:pt idx="86">
                  <c:v>36732.095000000001</c:v>
                </c:pt>
                <c:pt idx="87">
                  <c:v>187.37100000000001</c:v>
                </c:pt>
                <c:pt idx="88">
                  <c:v>106.152</c:v>
                </c:pt>
                <c:pt idx="89">
                  <c:v>127.48699999999999</c:v>
                </c:pt>
                <c:pt idx="90">
                  <c:v>2104.0540000000001</c:v>
                </c:pt>
                <c:pt idx="91">
                  <c:v>1196.405</c:v>
                </c:pt>
                <c:pt idx="92">
                  <c:v>2474.87</c:v>
                </c:pt>
                <c:pt idx="93">
                  <c:v>1160.8019999999999</c:v>
                </c:pt>
                <c:pt idx="94">
                  <c:v>1847.17</c:v>
                </c:pt>
                <c:pt idx="95">
                  <c:v>1305.1199999999999</c:v>
                </c:pt>
                <c:pt idx="96">
                  <c:v>13284.916999999999</c:v>
                </c:pt>
                <c:pt idx="97">
                  <c:v>10771.245000000001</c:v>
                </c:pt>
                <c:pt idx="98">
                  <c:v>16000.784</c:v>
                </c:pt>
                <c:pt idx="99">
                  <c:v>8260.2150000000001</c:v>
                </c:pt>
                <c:pt idx="100">
                  <c:v>10303.136</c:v>
                </c:pt>
                <c:pt idx="101">
                  <c:v>11878.087</c:v>
                </c:pt>
                <c:pt idx="102">
                  <c:v>9915.759</c:v>
                </c:pt>
                <c:pt idx="103">
                  <c:v>8589.8809999999994</c:v>
                </c:pt>
                <c:pt idx="104">
                  <c:v>59299.091999999997</c:v>
                </c:pt>
                <c:pt idx="105">
                  <c:v>108.71299999999999</c:v>
                </c:pt>
                <c:pt idx="106">
                  <c:v>49.48</c:v>
                </c:pt>
                <c:pt idx="107">
                  <c:v>149.21</c:v>
                </c:pt>
                <c:pt idx="108">
                  <c:v>49.777999999999999</c:v>
                </c:pt>
                <c:pt idx="109">
                  <c:v>36.404000000000003</c:v>
                </c:pt>
                <c:pt idx="110">
                  <c:v>40.167999999999999</c:v>
                </c:pt>
                <c:pt idx="111">
                  <c:v>62.779000000000003</c:v>
                </c:pt>
                <c:pt idx="112">
                  <c:v>61.91</c:v>
                </c:pt>
                <c:pt idx="113">
                  <c:v>110.703</c:v>
                </c:pt>
                <c:pt idx="114">
                  <c:v>67.83</c:v>
                </c:pt>
                <c:pt idx="115">
                  <c:v>51.231000000000002</c:v>
                </c:pt>
                <c:pt idx="116">
                  <c:v>53.753999999999998</c:v>
                </c:pt>
                <c:pt idx="117">
                  <c:v>54.895000000000003</c:v>
                </c:pt>
                <c:pt idx="118">
                  <c:v>84.070999999999998</c:v>
                </c:pt>
                <c:pt idx="119">
                  <c:v>70.813000000000002</c:v>
                </c:pt>
                <c:pt idx="120">
                  <c:v>65.096000000000004</c:v>
                </c:pt>
                <c:pt idx="121">
                  <c:v>77.341999999999999</c:v>
                </c:pt>
                <c:pt idx="122">
                  <c:v>1321.1</c:v>
                </c:pt>
                <c:pt idx="123">
                  <c:v>667.221</c:v>
                </c:pt>
                <c:pt idx="124">
                  <c:v>1828.1120000000001</c:v>
                </c:pt>
                <c:pt idx="125">
                  <c:v>814.63</c:v>
                </c:pt>
                <c:pt idx="126">
                  <c:v>631.93100000000004</c:v>
                </c:pt>
                <c:pt idx="127">
                  <c:v>1237.4839999999999</c:v>
                </c:pt>
                <c:pt idx="128">
                  <c:v>1483.5540000000001</c:v>
                </c:pt>
                <c:pt idx="129">
                  <c:v>1107.1579999999999</c:v>
                </c:pt>
                <c:pt idx="130">
                  <c:v>903.178</c:v>
                </c:pt>
                <c:pt idx="131">
                  <c:v>647.07500000000005</c:v>
                </c:pt>
                <c:pt idx="132">
                  <c:v>1047.152</c:v>
                </c:pt>
                <c:pt idx="133">
                  <c:v>982.06299999999999</c:v>
                </c:pt>
                <c:pt idx="134">
                  <c:v>773.01</c:v>
                </c:pt>
                <c:pt idx="135">
                  <c:v>982.88699999999994</c:v>
                </c:pt>
                <c:pt idx="136">
                  <c:v>9272.02</c:v>
                </c:pt>
                <c:pt idx="137">
                  <c:v>5209.9229999999998</c:v>
                </c:pt>
                <c:pt idx="138">
                  <c:v>11432.892</c:v>
                </c:pt>
                <c:pt idx="139">
                  <c:v>5348.3339999999998</c:v>
                </c:pt>
                <c:pt idx="140">
                  <c:v>5270.692</c:v>
                </c:pt>
                <c:pt idx="141">
                  <c:v>13563.585999999999</c:v>
                </c:pt>
                <c:pt idx="142">
                  <c:v>11603.525</c:v>
                </c:pt>
                <c:pt idx="143">
                  <c:v>11557.334000000001</c:v>
                </c:pt>
                <c:pt idx="144">
                  <c:v>4475.1639999999998</c:v>
                </c:pt>
                <c:pt idx="145">
                  <c:v>9813.5830000000005</c:v>
                </c:pt>
                <c:pt idx="146">
                  <c:v>6195.5360000000001</c:v>
                </c:pt>
                <c:pt idx="147">
                  <c:v>7099.2659999999996</c:v>
                </c:pt>
                <c:pt idx="148">
                  <c:v>51752.343999999997</c:v>
                </c:pt>
                <c:pt idx="149">
                  <c:v>33767.184999999998</c:v>
                </c:pt>
                <c:pt idx="150">
                  <c:v>56212.906000000003</c:v>
                </c:pt>
                <c:pt idx="151">
                  <c:v>28561.834999999999</c:v>
                </c:pt>
                <c:pt idx="152">
                  <c:v>30874.687999999998</c:v>
                </c:pt>
                <c:pt idx="153">
                  <c:v>50145.966</c:v>
                </c:pt>
                <c:pt idx="154">
                  <c:v>1887.079</c:v>
                </c:pt>
                <c:pt idx="155">
                  <c:v>1196.0840000000001</c:v>
                </c:pt>
                <c:pt idx="156">
                  <c:v>781.04899999999998</c:v>
                </c:pt>
                <c:pt idx="157">
                  <c:v>1799.7070000000001</c:v>
                </c:pt>
                <c:pt idx="158">
                  <c:v>13625.416999999999</c:v>
                </c:pt>
                <c:pt idx="159">
                  <c:v>11231.121999999999</c:v>
                </c:pt>
                <c:pt idx="160">
                  <c:v>7181.9430000000002</c:v>
                </c:pt>
                <c:pt idx="161">
                  <c:v>11350.545</c:v>
                </c:pt>
                <c:pt idx="162">
                  <c:v>11554.954</c:v>
                </c:pt>
                <c:pt idx="163">
                  <c:v>12964.102999999999</c:v>
                </c:pt>
                <c:pt idx="164">
                  <c:v>8425.0589999999993</c:v>
                </c:pt>
                <c:pt idx="165">
                  <c:v>60603.008999999998</c:v>
                </c:pt>
                <c:pt idx="166">
                  <c:v>60767.993999999999</c:v>
                </c:pt>
                <c:pt idx="167">
                  <c:v>730.06799999999998</c:v>
                </c:pt>
                <c:pt idx="168">
                  <c:v>481.78300000000002</c:v>
                </c:pt>
                <c:pt idx="169">
                  <c:v>1010.744</c:v>
                </c:pt>
                <c:pt idx="170">
                  <c:v>909.82500000000005</c:v>
                </c:pt>
                <c:pt idx="171">
                  <c:v>605.79899999999998</c:v>
                </c:pt>
                <c:pt idx="172">
                  <c:v>1025.4580000000001</c:v>
                </c:pt>
                <c:pt idx="173">
                  <c:v>1697.223</c:v>
                </c:pt>
                <c:pt idx="174">
                  <c:v>1161.1389999999999</c:v>
                </c:pt>
                <c:pt idx="175">
                  <c:v>852.18700000000001</c:v>
                </c:pt>
                <c:pt idx="176">
                  <c:v>830.44399999999996</c:v>
                </c:pt>
                <c:pt idx="177">
                  <c:v>652.53599999999994</c:v>
                </c:pt>
                <c:pt idx="178">
                  <c:v>786.70399999999995</c:v>
                </c:pt>
                <c:pt idx="179">
                  <c:v>1538.037</c:v>
                </c:pt>
                <c:pt idx="180">
                  <c:v>749.90099999999995</c:v>
                </c:pt>
                <c:pt idx="181">
                  <c:v>1109.962</c:v>
                </c:pt>
                <c:pt idx="182">
                  <c:v>1006.34</c:v>
                </c:pt>
                <c:pt idx="183">
                  <c:v>5928.1490000000003</c:v>
                </c:pt>
                <c:pt idx="184">
                  <c:v>4208.3890000000001</c:v>
                </c:pt>
                <c:pt idx="185">
                  <c:v>14023.950999999999</c:v>
                </c:pt>
                <c:pt idx="186">
                  <c:v>6653.857</c:v>
                </c:pt>
                <c:pt idx="187">
                  <c:v>5205.527</c:v>
                </c:pt>
                <c:pt idx="188">
                  <c:v>10595.495000000001</c:v>
                </c:pt>
                <c:pt idx="189">
                  <c:v>11520.89</c:v>
                </c:pt>
                <c:pt idx="190">
                  <c:v>11414.862999999999</c:v>
                </c:pt>
                <c:pt idx="191">
                  <c:v>9978.6689999999999</c:v>
                </c:pt>
                <c:pt idx="192">
                  <c:v>4437.4459999999999</c:v>
                </c:pt>
                <c:pt idx="193">
                  <c:v>7954.7560000000003</c:v>
                </c:pt>
                <c:pt idx="194">
                  <c:v>11383.41</c:v>
                </c:pt>
                <c:pt idx="195">
                  <c:v>7301.567</c:v>
                </c:pt>
                <c:pt idx="196">
                  <c:v>43972.362000000001</c:v>
                </c:pt>
                <c:pt idx="197">
                  <c:v>29642.946</c:v>
                </c:pt>
                <c:pt idx="198">
                  <c:v>38841.214</c:v>
                </c:pt>
                <c:pt idx="199">
                  <c:v>33491.709000000003</c:v>
                </c:pt>
                <c:pt idx="200">
                  <c:v>5743.9269999999997</c:v>
                </c:pt>
                <c:pt idx="201">
                  <c:v>9871.9210000000003</c:v>
                </c:pt>
                <c:pt idx="202">
                  <c:v>7863.9030000000002</c:v>
                </c:pt>
                <c:pt idx="203">
                  <c:v>8082.0439999999999</c:v>
                </c:pt>
                <c:pt idx="204">
                  <c:v>60782.078999999998</c:v>
                </c:pt>
                <c:pt idx="205">
                  <c:v>5531.7430000000004</c:v>
                </c:pt>
                <c:pt idx="206">
                  <c:v>4038.4169999999999</c:v>
                </c:pt>
                <c:pt idx="207">
                  <c:v>13123.438</c:v>
                </c:pt>
                <c:pt idx="208">
                  <c:v>6558.27</c:v>
                </c:pt>
                <c:pt idx="209">
                  <c:v>5519.8119999999999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0F-7B46-8717-C2E33B004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831749"/>
        <c:axId val="2012890799"/>
      </c:scatterChart>
      <c:valAx>
        <c:axId val="20918317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number of critical points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2890799"/>
        <c:crosses val="autoZero"/>
        <c:crossBetween val="midCat"/>
      </c:valAx>
      <c:valAx>
        <c:axId val="2012890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in seconds</a:t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183174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crit pts vs total times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'graphtotal_timevnumber critical'!$B$1</c:f>
              <c:strCache>
                <c:ptCount val="1"/>
                <c:pt idx="0">
                  <c:v>Total time: All pruning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7620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'graphtotal_timevnumber critical'!$A$2:$A$211</c:f>
              <c:numCache>
                <c:formatCode>General</c:formatCode>
                <c:ptCount val="210"/>
                <c:pt idx="0">
                  <c:v>27</c:v>
                </c:pt>
                <c:pt idx="1">
                  <c:v>131</c:v>
                </c:pt>
                <c:pt idx="2">
                  <c:v>379</c:v>
                </c:pt>
                <c:pt idx="3">
                  <c:v>678</c:v>
                </c:pt>
                <c:pt idx="4">
                  <c:v>746</c:v>
                </c:pt>
                <c:pt idx="5">
                  <c:v>1380</c:v>
                </c:pt>
                <c:pt idx="6">
                  <c:v>27</c:v>
                </c:pt>
                <c:pt idx="7">
                  <c:v>15</c:v>
                </c:pt>
                <c:pt idx="8">
                  <c:v>21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130</c:v>
                </c:pt>
                <c:pt idx="13">
                  <c:v>74</c:v>
                </c:pt>
                <c:pt idx="14">
                  <c:v>107</c:v>
                </c:pt>
                <c:pt idx="15">
                  <c:v>83</c:v>
                </c:pt>
                <c:pt idx="16">
                  <c:v>84</c:v>
                </c:pt>
                <c:pt idx="17">
                  <c:v>231</c:v>
                </c:pt>
                <c:pt idx="18">
                  <c:v>216</c:v>
                </c:pt>
                <c:pt idx="19">
                  <c:v>364</c:v>
                </c:pt>
                <c:pt idx="20">
                  <c:v>219</c:v>
                </c:pt>
                <c:pt idx="21">
                  <c:v>259</c:v>
                </c:pt>
                <c:pt idx="22">
                  <c:v>296</c:v>
                </c:pt>
                <c:pt idx="23">
                  <c:v>878</c:v>
                </c:pt>
                <c:pt idx="24">
                  <c:v>643</c:v>
                </c:pt>
                <c:pt idx="25">
                  <c:v>550</c:v>
                </c:pt>
                <c:pt idx="26">
                  <c:v>761</c:v>
                </c:pt>
                <c:pt idx="27">
                  <c:v>1378</c:v>
                </c:pt>
                <c:pt idx="28">
                  <c:v>1216</c:v>
                </c:pt>
                <c:pt idx="29">
                  <c:v>119</c:v>
                </c:pt>
                <c:pt idx="30">
                  <c:v>314</c:v>
                </c:pt>
                <c:pt idx="31">
                  <c:v>358</c:v>
                </c:pt>
                <c:pt idx="32">
                  <c:v>678</c:v>
                </c:pt>
                <c:pt idx="33">
                  <c:v>814</c:v>
                </c:pt>
                <c:pt idx="34">
                  <c:v>661</c:v>
                </c:pt>
                <c:pt idx="35">
                  <c:v>84</c:v>
                </c:pt>
                <c:pt idx="36">
                  <c:v>102</c:v>
                </c:pt>
                <c:pt idx="37">
                  <c:v>92</c:v>
                </c:pt>
                <c:pt idx="38">
                  <c:v>107</c:v>
                </c:pt>
                <c:pt idx="39">
                  <c:v>83</c:v>
                </c:pt>
                <c:pt idx="40">
                  <c:v>84</c:v>
                </c:pt>
                <c:pt idx="41">
                  <c:v>221</c:v>
                </c:pt>
                <c:pt idx="42">
                  <c:v>213</c:v>
                </c:pt>
                <c:pt idx="43">
                  <c:v>296</c:v>
                </c:pt>
                <c:pt idx="44">
                  <c:v>302</c:v>
                </c:pt>
                <c:pt idx="45">
                  <c:v>296</c:v>
                </c:pt>
                <c:pt idx="46">
                  <c:v>878</c:v>
                </c:pt>
                <c:pt idx="47">
                  <c:v>771</c:v>
                </c:pt>
                <c:pt idx="48">
                  <c:v>454</c:v>
                </c:pt>
                <c:pt idx="49">
                  <c:v>571</c:v>
                </c:pt>
                <c:pt idx="50">
                  <c:v>1779</c:v>
                </c:pt>
                <c:pt idx="51">
                  <c:v>1407</c:v>
                </c:pt>
                <c:pt idx="52">
                  <c:v>358</c:v>
                </c:pt>
                <c:pt idx="53">
                  <c:v>643</c:v>
                </c:pt>
                <c:pt idx="54">
                  <c:v>599</c:v>
                </c:pt>
                <c:pt idx="55">
                  <c:v>1380</c:v>
                </c:pt>
                <c:pt idx="56">
                  <c:v>221</c:v>
                </c:pt>
                <c:pt idx="57">
                  <c:v>213</c:v>
                </c:pt>
                <c:pt idx="58">
                  <c:v>290</c:v>
                </c:pt>
                <c:pt idx="59">
                  <c:v>219</c:v>
                </c:pt>
                <c:pt idx="60">
                  <c:v>281</c:v>
                </c:pt>
                <c:pt idx="61">
                  <c:v>534</c:v>
                </c:pt>
                <c:pt idx="62">
                  <c:v>524</c:v>
                </c:pt>
                <c:pt idx="63">
                  <c:v>761</c:v>
                </c:pt>
                <c:pt idx="64">
                  <c:v>454</c:v>
                </c:pt>
                <c:pt idx="65">
                  <c:v>571</c:v>
                </c:pt>
                <c:pt idx="66">
                  <c:v>1216</c:v>
                </c:pt>
                <c:pt idx="67">
                  <c:v>599</c:v>
                </c:pt>
                <c:pt idx="68">
                  <c:v>1407</c:v>
                </c:pt>
                <c:pt idx="69">
                  <c:v>878</c:v>
                </c:pt>
                <c:pt idx="70">
                  <c:v>555</c:v>
                </c:pt>
                <c:pt idx="71">
                  <c:v>761</c:v>
                </c:pt>
                <c:pt idx="72">
                  <c:v>550</c:v>
                </c:pt>
                <c:pt idx="73">
                  <c:v>737</c:v>
                </c:pt>
                <c:pt idx="74">
                  <c:v>1004</c:v>
                </c:pt>
                <c:pt idx="75">
                  <c:v>1216</c:v>
                </c:pt>
                <c:pt idx="76">
                  <c:v>1004</c:v>
                </c:pt>
                <c:pt idx="77">
                  <c:v>1216</c:v>
                </c:pt>
                <c:pt idx="78">
                  <c:v>27</c:v>
                </c:pt>
                <c:pt idx="79">
                  <c:v>131</c:v>
                </c:pt>
                <c:pt idx="80">
                  <c:v>379</c:v>
                </c:pt>
                <c:pt idx="81">
                  <c:v>678</c:v>
                </c:pt>
                <c:pt idx="82">
                  <c:v>746</c:v>
                </c:pt>
                <c:pt idx="83">
                  <c:v>1380</c:v>
                </c:pt>
                <c:pt idx="84">
                  <c:v>27</c:v>
                </c:pt>
                <c:pt idx="85">
                  <c:v>15</c:v>
                </c:pt>
                <c:pt idx="86">
                  <c:v>21</c:v>
                </c:pt>
                <c:pt idx="87">
                  <c:v>15</c:v>
                </c:pt>
                <c:pt idx="88">
                  <c:v>15</c:v>
                </c:pt>
                <c:pt idx="89">
                  <c:v>16</c:v>
                </c:pt>
                <c:pt idx="90">
                  <c:v>130</c:v>
                </c:pt>
                <c:pt idx="91">
                  <c:v>74</c:v>
                </c:pt>
                <c:pt idx="92">
                  <c:v>107</c:v>
                </c:pt>
                <c:pt idx="93">
                  <c:v>83</c:v>
                </c:pt>
                <c:pt idx="94">
                  <c:v>84</c:v>
                </c:pt>
                <c:pt idx="95">
                  <c:v>231</c:v>
                </c:pt>
                <c:pt idx="96">
                  <c:v>216</c:v>
                </c:pt>
                <c:pt idx="97">
                  <c:v>364</c:v>
                </c:pt>
                <c:pt idx="98">
                  <c:v>219</c:v>
                </c:pt>
                <c:pt idx="99">
                  <c:v>259</c:v>
                </c:pt>
                <c:pt idx="100">
                  <c:v>296</c:v>
                </c:pt>
                <c:pt idx="101">
                  <c:v>878</c:v>
                </c:pt>
                <c:pt idx="102">
                  <c:v>643</c:v>
                </c:pt>
                <c:pt idx="103">
                  <c:v>550</c:v>
                </c:pt>
                <c:pt idx="104">
                  <c:v>761</c:v>
                </c:pt>
                <c:pt idx="105">
                  <c:v>1378</c:v>
                </c:pt>
                <c:pt idx="106">
                  <c:v>1216</c:v>
                </c:pt>
                <c:pt idx="107">
                  <c:v>119</c:v>
                </c:pt>
                <c:pt idx="108">
                  <c:v>314</c:v>
                </c:pt>
                <c:pt idx="109">
                  <c:v>358</c:v>
                </c:pt>
                <c:pt idx="110">
                  <c:v>678</c:v>
                </c:pt>
                <c:pt idx="111">
                  <c:v>814</c:v>
                </c:pt>
                <c:pt idx="112">
                  <c:v>661</c:v>
                </c:pt>
                <c:pt idx="113">
                  <c:v>84</c:v>
                </c:pt>
                <c:pt idx="114">
                  <c:v>102</c:v>
                </c:pt>
                <c:pt idx="115">
                  <c:v>92</c:v>
                </c:pt>
                <c:pt idx="116">
                  <c:v>107</c:v>
                </c:pt>
                <c:pt idx="117">
                  <c:v>83</c:v>
                </c:pt>
                <c:pt idx="118">
                  <c:v>84</c:v>
                </c:pt>
                <c:pt idx="119">
                  <c:v>221</c:v>
                </c:pt>
                <c:pt idx="120">
                  <c:v>213</c:v>
                </c:pt>
                <c:pt idx="121">
                  <c:v>296</c:v>
                </c:pt>
                <c:pt idx="122">
                  <c:v>302</c:v>
                </c:pt>
                <c:pt idx="123">
                  <c:v>296</c:v>
                </c:pt>
                <c:pt idx="124">
                  <c:v>878</c:v>
                </c:pt>
                <c:pt idx="125">
                  <c:v>771</c:v>
                </c:pt>
                <c:pt idx="126">
                  <c:v>454</c:v>
                </c:pt>
                <c:pt idx="127">
                  <c:v>571</c:v>
                </c:pt>
                <c:pt idx="128">
                  <c:v>1779</c:v>
                </c:pt>
                <c:pt idx="129">
                  <c:v>1407</c:v>
                </c:pt>
                <c:pt idx="130">
                  <c:v>358</c:v>
                </c:pt>
                <c:pt idx="131">
                  <c:v>643</c:v>
                </c:pt>
                <c:pt idx="132">
                  <c:v>599</c:v>
                </c:pt>
                <c:pt idx="133">
                  <c:v>1380</c:v>
                </c:pt>
                <c:pt idx="134">
                  <c:v>221</c:v>
                </c:pt>
                <c:pt idx="135">
                  <c:v>213</c:v>
                </c:pt>
                <c:pt idx="136">
                  <c:v>290</c:v>
                </c:pt>
                <c:pt idx="137">
                  <c:v>219</c:v>
                </c:pt>
                <c:pt idx="138">
                  <c:v>281</c:v>
                </c:pt>
                <c:pt idx="139">
                  <c:v>534</c:v>
                </c:pt>
                <c:pt idx="140">
                  <c:v>524</c:v>
                </c:pt>
                <c:pt idx="141">
                  <c:v>761</c:v>
                </c:pt>
                <c:pt idx="142">
                  <c:v>454</c:v>
                </c:pt>
                <c:pt idx="143">
                  <c:v>571</c:v>
                </c:pt>
                <c:pt idx="144">
                  <c:v>1216</c:v>
                </c:pt>
                <c:pt idx="145">
                  <c:v>599</c:v>
                </c:pt>
                <c:pt idx="146">
                  <c:v>1407</c:v>
                </c:pt>
                <c:pt idx="147">
                  <c:v>878</c:v>
                </c:pt>
                <c:pt idx="148">
                  <c:v>555</c:v>
                </c:pt>
                <c:pt idx="149">
                  <c:v>761</c:v>
                </c:pt>
                <c:pt idx="150">
                  <c:v>550</c:v>
                </c:pt>
                <c:pt idx="151">
                  <c:v>737</c:v>
                </c:pt>
                <c:pt idx="152">
                  <c:v>1004</c:v>
                </c:pt>
                <c:pt idx="153">
                  <c:v>1216</c:v>
                </c:pt>
                <c:pt idx="154">
                  <c:v>1004</c:v>
                </c:pt>
                <c:pt idx="155">
                  <c:v>1216</c:v>
                </c:pt>
                <c:pt idx="156">
                  <c:v>27</c:v>
                </c:pt>
                <c:pt idx="157">
                  <c:v>131</c:v>
                </c:pt>
                <c:pt idx="158">
                  <c:v>379</c:v>
                </c:pt>
                <c:pt idx="159">
                  <c:v>678</c:v>
                </c:pt>
                <c:pt idx="160">
                  <c:v>746</c:v>
                </c:pt>
                <c:pt idx="161">
                  <c:v>1380</c:v>
                </c:pt>
                <c:pt idx="162">
                  <c:v>27</c:v>
                </c:pt>
                <c:pt idx="163">
                  <c:v>15</c:v>
                </c:pt>
                <c:pt idx="164">
                  <c:v>21</c:v>
                </c:pt>
                <c:pt idx="165">
                  <c:v>15</c:v>
                </c:pt>
                <c:pt idx="166">
                  <c:v>15</c:v>
                </c:pt>
                <c:pt idx="167">
                  <c:v>16</c:v>
                </c:pt>
                <c:pt idx="168">
                  <c:v>130</c:v>
                </c:pt>
                <c:pt idx="169">
                  <c:v>74</c:v>
                </c:pt>
                <c:pt idx="170">
                  <c:v>107</c:v>
                </c:pt>
                <c:pt idx="171">
                  <c:v>83</c:v>
                </c:pt>
                <c:pt idx="172">
                  <c:v>84</c:v>
                </c:pt>
                <c:pt idx="173">
                  <c:v>231</c:v>
                </c:pt>
                <c:pt idx="174">
                  <c:v>216</c:v>
                </c:pt>
                <c:pt idx="175">
                  <c:v>364</c:v>
                </c:pt>
                <c:pt idx="176">
                  <c:v>219</c:v>
                </c:pt>
                <c:pt idx="177">
                  <c:v>259</c:v>
                </c:pt>
                <c:pt idx="178">
                  <c:v>296</c:v>
                </c:pt>
                <c:pt idx="179">
                  <c:v>878</c:v>
                </c:pt>
                <c:pt idx="180">
                  <c:v>643</c:v>
                </c:pt>
                <c:pt idx="181">
                  <c:v>550</c:v>
                </c:pt>
                <c:pt idx="182">
                  <c:v>761</c:v>
                </c:pt>
                <c:pt idx="183">
                  <c:v>1378</c:v>
                </c:pt>
                <c:pt idx="184">
                  <c:v>1216</c:v>
                </c:pt>
                <c:pt idx="185">
                  <c:v>119</c:v>
                </c:pt>
                <c:pt idx="186">
                  <c:v>314</c:v>
                </c:pt>
                <c:pt idx="187">
                  <c:v>358</c:v>
                </c:pt>
                <c:pt idx="188">
                  <c:v>678</c:v>
                </c:pt>
                <c:pt idx="189">
                  <c:v>814</c:v>
                </c:pt>
                <c:pt idx="190">
                  <c:v>661</c:v>
                </c:pt>
                <c:pt idx="191">
                  <c:v>84</c:v>
                </c:pt>
                <c:pt idx="192">
                  <c:v>102</c:v>
                </c:pt>
                <c:pt idx="193">
                  <c:v>92</c:v>
                </c:pt>
                <c:pt idx="194">
                  <c:v>107</c:v>
                </c:pt>
                <c:pt idx="195">
                  <c:v>83</c:v>
                </c:pt>
                <c:pt idx="196">
                  <c:v>84</c:v>
                </c:pt>
                <c:pt idx="197">
                  <c:v>221</c:v>
                </c:pt>
                <c:pt idx="198">
                  <c:v>213</c:v>
                </c:pt>
                <c:pt idx="199">
                  <c:v>296</c:v>
                </c:pt>
                <c:pt idx="200">
                  <c:v>302</c:v>
                </c:pt>
                <c:pt idx="201">
                  <c:v>296</c:v>
                </c:pt>
                <c:pt idx="202">
                  <c:v>878</c:v>
                </c:pt>
                <c:pt idx="203">
                  <c:v>771</c:v>
                </c:pt>
                <c:pt idx="204">
                  <c:v>454</c:v>
                </c:pt>
                <c:pt idx="205">
                  <c:v>571</c:v>
                </c:pt>
                <c:pt idx="206">
                  <c:v>1779</c:v>
                </c:pt>
                <c:pt idx="207">
                  <c:v>1407</c:v>
                </c:pt>
                <c:pt idx="208">
                  <c:v>358</c:v>
                </c:pt>
                <c:pt idx="209">
                  <c:v>643</c:v>
                </c:pt>
              </c:numCache>
            </c:numRef>
          </c:xVal>
          <c:yVal>
            <c:numRef>
              <c:f>'graphtotal_timevnumber critical'!$B$2:$B$211</c:f>
              <c:numCache>
                <c:formatCode>General</c:formatCode>
                <c:ptCount val="210"/>
                <c:pt idx="0">
                  <c:v>0.81299999999999994</c:v>
                </c:pt>
                <c:pt idx="1">
                  <c:v>0.76900000000000002</c:v>
                </c:pt>
                <c:pt idx="2">
                  <c:v>13.377000000000001</c:v>
                </c:pt>
                <c:pt idx="3">
                  <c:v>15.856</c:v>
                </c:pt>
                <c:pt idx="4">
                  <c:v>17.22</c:v>
                </c:pt>
                <c:pt idx="5">
                  <c:v>298.154</c:v>
                </c:pt>
                <c:pt idx="6">
                  <c:v>177.88200000000001</c:v>
                </c:pt>
                <c:pt idx="7">
                  <c:v>155.88399999999999</c:v>
                </c:pt>
                <c:pt idx="8">
                  <c:v>171.154</c:v>
                </c:pt>
                <c:pt idx="9">
                  <c:v>1486.4780000000001</c:v>
                </c:pt>
                <c:pt idx="10">
                  <c:v>763.654</c:v>
                </c:pt>
                <c:pt idx="11">
                  <c:v>841.96299999999997</c:v>
                </c:pt>
                <c:pt idx="12">
                  <c:v>995.24099999999999</c:v>
                </c:pt>
                <c:pt idx="13">
                  <c:v>972.34799999999996</c:v>
                </c:pt>
                <c:pt idx="14">
                  <c:v>200.87200000000001</c:v>
                </c:pt>
                <c:pt idx="15">
                  <c:v>5481.8280000000004</c:v>
                </c:pt>
                <c:pt idx="16">
                  <c:v>0.38200000000000001</c:v>
                </c:pt>
                <c:pt idx="17">
                  <c:v>0.53</c:v>
                </c:pt>
                <c:pt idx="18">
                  <c:v>0.56999999999999995</c:v>
                </c:pt>
                <c:pt idx="19">
                  <c:v>0.61699999999999999</c:v>
                </c:pt>
                <c:pt idx="20">
                  <c:v>0.53800000000000003</c:v>
                </c:pt>
                <c:pt idx="21">
                  <c:v>0.41299999999999998</c:v>
                </c:pt>
                <c:pt idx="22">
                  <c:v>0.46500000000000002</c:v>
                </c:pt>
                <c:pt idx="23">
                  <c:v>0.55900000000000005</c:v>
                </c:pt>
                <c:pt idx="24">
                  <c:v>0.498</c:v>
                </c:pt>
                <c:pt idx="25">
                  <c:v>0.48</c:v>
                </c:pt>
                <c:pt idx="26">
                  <c:v>0.35599999999999998</c:v>
                </c:pt>
                <c:pt idx="27">
                  <c:v>0.34200000000000003</c:v>
                </c:pt>
                <c:pt idx="28">
                  <c:v>0.42299999999999999</c:v>
                </c:pt>
                <c:pt idx="29">
                  <c:v>0.442</c:v>
                </c:pt>
                <c:pt idx="30">
                  <c:v>0.32700000000000001</c:v>
                </c:pt>
                <c:pt idx="31">
                  <c:v>0.54</c:v>
                </c:pt>
                <c:pt idx="32">
                  <c:v>0.40699999999999997</c:v>
                </c:pt>
                <c:pt idx="33">
                  <c:v>0.49</c:v>
                </c:pt>
                <c:pt idx="34">
                  <c:v>5.2590000000000003</c:v>
                </c:pt>
                <c:pt idx="35">
                  <c:v>3.0790000000000002</c:v>
                </c:pt>
                <c:pt idx="36">
                  <c:v>20.994</c:v>
                </c:pt>
                <c:pt idx="37">
                  <c:v>8.0489999999999995</c:v>
                </c:pt>
                <c:pt idx="38">
                  <c:v>4.63</c:v>
                </c:pt>
                <c:pt idx="39">
                  <c:v>6.5410000000000004</c:v>
                </c:pt>
                <c:pt idx="40">
                  <c:v>3.7850000000000001</c:v>
                </c:pt>
                <c:pt idx="41">
                  <c:v>7.266</c:v>
                </c:pt>
                <c:pt idx="42">
                  <c:v>7.7510000000000003</c:v>
                </c:pt>
                <c:pt idx="43">
                  <c:v>7.0940000000000003</c:v>
                </c:pt>
                <c:pt idx="44">
                  <c:v>4.1349999999999998</c:v>
                </c:pt>
                <c:pt idx="45">
                  <c:v>6.6660000000000004</c:v>
                </c:pt>
                <c:pt idx="46">
                  <c:v>4.4800000000000004</c:v>
                </c:pt>
                <c:pt idx="47">
                  <c:v>6.2649999999999997</c:v>
                </c:pt>
                <c:pt idx="48">
                  <c:v>5.9660000000000002</c:v>
                </c:pt>
                <c:pt idx="49">
                  <c:v>5.6929999999999996</c:v>
                </c:pt>
                <c:pt idx="50">
                  <c:v>6.5460000000000003</c:v>
                </c:pt>
                <c:pt idx="51">
                  <c:v>73.942999999999998</c:v>
                </c:pt>
                <c:pt idx="52">
                  <c:v>27.513000000000002</c:v>
                </c:pt>
                <c:pt idx="53">
                  <c:v>147.65199999999999</c:v>
                </c:pt>
                <c:pt idx="54">
                  <c:v>24.640999999999998</c:v>
                </c:pt>
                <c:pt idx="55">
                  <c:v>54.295999999999999</c:v>
                </c:pt>
                <c:pt idx="56">
                  <c:v>46.42</c:v>
                </c:pt>
                <c:pt idx="57">
                  <c:v>95.23</c:v>
                </c:pt>
                <c:pt idx="58">
                  <c:v>61.05</c:v>
                </c:pt>
                <c:pt idx="59">
                  <c:v>31.443999999999999</c:v>
                </c:pt>
                <c:pt idx="60">
                  <c:v>49.100999999999999</c:v>
                </c:pt>
                <c:pt idx="61">
                  <c:v>44.962000000000003</c:v>
                </c:pt>
                <c:pt idx="62">
                  <c:v>26.277999999999999</c:v>
                </c:pt>
                <c:pt idx="63">
                  <c:v>70.653999999999996</c:v>
                </c:pt>
                <c:pt idx="64">
                  <c:v>56.487000000000002</c:v>
                </c:pt>
                <c:pt idx="65">
                  <c:v>57.484000000000002</c:v>
                </c:pt>
                <c:pt idx="66">
                  <c:v>62.01</c:v>
                </c:pt>
                <c:pt idx="67">
                  <c:v>372.327</c:v>
                </c:pt>
                <c:pt idx="68">
                  <c:v>305.464</c:v>
                </c:pt>
                <c:pt idx="69">
                  <c:v>190.761</c:v>
                </c:pt>
                <c:pt idx="70">
                  <c:v>99.816999999999993</c:v>
                </c:pt>
                <c:pt idx="71">
                  <c:v>350.33199999999999</c:v>
                </c:pt>
                <c:pt idx="72">
                  <c:v>561.63900000000001</c:v>
                </c:pt>
                <c:pt idx="73">
                  <c:v>721.82500000000005</c:v>
                </c:pt>
                <c:pt idx="74">
                  <c:v>534.505</c:v>
                </c:pt>
                <c:pt idx="75">
                  <c:v>115.3</c:v>
                </c:pt>
                <c:pt idx="76">
                  <c:v>505.97800000000001</c:v>
                </c:pt>
                <c:pt idx="77">
                  <c:v>241.29499999999999</c:v>
                </c:pt>
                <c:pt idx="78">
                  <c:v>183.46299999999999</c:v>
                </c:pt>
                <c:pt idx="79">
                  <c:v>527.69500000000005</c:v>
                </c:pt>
                <c:pt idx="80">
                  <c:v>447.53699999999998</c:v>
                </c:pt>
                <c:pt idx="81">
                  <c:v>2047.652</c:v>
                </c:pt>
                <c:pt idx="82">
                  <c:v>1888.165</c:v>
                </c:pt>
                <c:pt idx="83">
                  <c:v>674.79100000000005</c:v>
                </c:pt>
                <c:pt idx="84">
                  <c:v>496.18900000000002</c:v>
                </c:pt>
                <c:pt idx="85">
                  <c:v>1811.126</c:v>
                </c:pt>
                <c:pt idx="86">
                  <c:v>1439.798</c:v>
                </c:pt>
                <c:pt idx="87">
                  <c:v>23.527000000000001</c:v>
                </c:pt>
                <c:pt idx="88">
                  <c:v>19.202000000000002</c:v>
                </c:pt>
                <c:pt idx="89">
                  <c:v>14.651</c:v>
                </c:pt>
                <c:pt idx="90">
                  <c:v>245.26599999999999</c:v>
                </c:pt>
                <c:pt idx="91">
                  <c:v>121.134</c:v>
                </c:pt>
                <c:pt idx="92">
                  <c:v>318.42099999999999</c:v>
                </c:pt>
                <c:pt idx="93">
                  <c:v>182.74100000000001</c:v>
                </c:pt>
                <c:pt idx="94">
                  <c:v>78.001000000000005</c:v>
                </c:pt>
                <c:pt idx="95">
                  <c:v>147.501</c:v>
                </c:pt>
                <c:pt idx="96">
                  <c:v>1444.4490000000001</c:v>
                </c:pt>
                <c:pt idx="97">
                  <c:v>1027.164</c:v>
                </c:pt>
                <c:pt idx="98">
                  <c:v>1432.8579999999999</c:v>
                </c:pt>
                <c:pt idx="99">
                  <c:v>973.279</c:v>
                </c:pt>
                <c:pt idx="100">
                  <c:v>306.06900000000002</c:v>
                </c:pt>
                <c:pt idx="101">
                  <c:v>836.67200000000003</c:v>
                </c:pt>
                <c:pt idx="102">
                  <c:v>970.09500000000003</c:v>
                </c:pt>
                <c:pt idx="103">
                  <c:v>399.74700000000001</c:v>
                </c:pt>
                <c:pt idx="104">
                  <c:v>5460.7120000000004</c:v>
                </c:pt>
                <c:pt idx="105">
                  <c:v>11.634</c:v>
                </c:pt>
                <c:pt idx="106">
                  <c:v>5.93</c:v>
                </c:pt>
                <c:pt idx="107">
                  <c:v>14.577999999999999</c:v>
                </c:pt>
                <c:pt idx="108">
                  <c:v>5.2619999999999996</c:v>
                </c:pt>
                <c:pt idx="109">
                  <c:v>5.0549999999999997</c:v>
                </c:pt>
                <c:pt idx="110">
                  <c:v>5.5970000000000004</c:v>
                </c:pt>
                <c:pt idx="111">
                  <c:v>6.1319999999999997</c:v>
                </c:pt>
                <c:pt idx="112">
                  <c:v>5.7460000000000004</c:v>
                </c:pt>
                <c:pt idx="113">
                  <c:v>7.3090000000000002</c:v>
                </c:pt>
                <c:pt idx="114">
                  <c:v>9.2560000000000002</c:v>
                </c:pt>
                <c:pt idx="115">
                  <c:v>7.2670000000000003</c:v>
                </c:pt>
                <c:pt idx="116">
                  <c:v>3.3250000000000002</c:v>
                </c:pt>
                <c:pt idx="117">
                  <c:v>6.2889999999999997</c:v>
                </c:pt>
                <c:pt idx="118">
                  <c:v>3.58</c:v>
                </c:pt>
                <c:pt idx="119">
                  <c:v>6.4379999999999997</c:v>
                </c:pt>
                <c:pt idx="120">
                  <c:v>6.3310000000000004</c:v>
                </c:pt>
                <c:pt idx="121">
                  <c:v>11.07</c:v>
                </c:pt>
                <c:pt idx="122">
                  <c:v>137.66200000000001</c:v>
                </c:pt>
                <c:pt idx="123">
                  <c:v>48.78</c:v>
                </c:pt>
                <c:pt idx="124">
                  <c:v>153.834</c:v>
                </c:pt>
                <c:pt idx="125">
                  <c:v>52.512</c:v>
                </c:pt>
                <c:pt idx="126">
                  <c:v>52.936999999999998</c:v>
                </c:pt>
                <c:pt idx="127">
                  <c:v>127.221</c:v>
                </c:pt>
                <c:pt idx="128">
                  <c:v>117.947</c:v>
                </c:pt>
                <c:pt idx="129">
                  <c:v>65.382999999999996</c:v>
                </c:pt>
                <c:pt idx="130">
                  <c:v>49.131</c:v>
                </c:pt>
                <c:pt idx="131">
                  <c:v>38.844000000000001</c:v>
                </c:pt>
                <c:pt idx="132">
                  <c:v>23.722999999999999</c:v>
                </c:pt>
                <c:pt idx="133">
                  <c:v>70.388999999999996</c:v>
                </c:pt>
                <c:pt idx="134">
                  <c:v>70.088999999999999</c:v>
                </c:pt>
                <c:pt idx="135">
                  <c:v>103.562</c:v>
                </c:pt>
                <c:pt idx="136">
                  <c:v>670.48</c:v>
                </c:pt>
                <c:pt idx="137">
                  <c:v>395.471</c:v>
                </c:pt>
                <c:pt idx="138">
                  <c:v>330.70800000000003</c:v>
                </c:pt>
                <c:pt idx="139">
                  <c:v>247.77699999999999</c:v>
                </c:pt>
                <c:pt idx="140">
                  <c:v>407.58</c:v>
                </c:pt>
                <c:pt idx="141">
                  <c:v>955.69500000000005</c:v>
                </c:pt>
                <c:pt idx="142">
                  <c:v>914.96500000000003</c:v>
                </c:pt>
                <c:pt idx="143">
                  <c:v>580.14300000000003</c:v>
                </c:pt>
                <c:pt idx="144">
                  <c:v>208.62899999999999</c:v>
                </c:pt>
                <c:pt idx="145">
                  <c:v>171.93700000000001</c:v>
                </c:pt>
                <c:pt idx="146">
                  <c:v>609.923</c:v>
                </c:pt>
                <c:pt idx="147">
                  <c:v>776.19299999999998</c:v>
                </c:pt>
                <c:pt idx="148">
                  <c:v>4037.22</c:v>
                </c:pt>
                <c:pt idx="149">
                  <c:v>2638.9279999999999</c:v>
                </c:pt>
                <c:pt idx="150">
                  <c:v>1161.55</c:v>
                </c:pt>
                <c:pt idx="151">
                  <c:v>1057.8620000000001</c:v>
                </c:pt>
                <c:pt idx="152">
                  <c:v>2429.1179999999999</c:v>
                </c:pt>
                <c:pt idx="153">
                  <c:v>2687.5010000000002</c:v>
                </c:pt>
                <c:pt idx="154">
                  <c:v>209.43899999999999</c:v>
                </c:pt>
                <c:pt idx="155">
                  <c:v>95.816999999999993</c:v>
                </c:pt>
                <c:pt idx="156">
                  <c:v>106.07</c:v>
                </c:pt>
                <c:pt idx="157">
                  <c:v>45.741</c:v>
                </c:pt>
                <c:pt idx="158">
                  <c:v>1480.8440000000001</c:v>
                </c:pt>
                <c:pt idx="159">
                  <c:v>1040.47</c:v>
                </c:pt>
                <c:pt idx="160">
                  <c:v>805.822</c:v>
                </c:pt>
                <c:pt idx="161">
                  <c:v>283.98099999999999</c:v>
                </c:pt>
                <c:pt idx="162">
                  <c:v>685.97900000000004</c:v>
                </c:pt>
                <c:pt idx="163">
                  <c:v>1177.779</c:v>
                </c:pt>
                <c:pt idx="164">
                  <c:v>429.803</c:v>
                </c:pt>
                <c:pt idx="165">
                  <c:v>5833.5519999999997</c:v>
                </c:pt>
                <c:pt idx="166">
                  <c:v>5794.0829999999996</c:v>
                </c:pt>
                <c:pt idx="167">
                  <c:v>71.686000000000007</c:v>
                </c:pt>
                <c:pt idx="168">
                  <c:v>28.742000000000001</c:v>
                </c:pt>
                <c:pt idx="169">
                  <c:v>54.308999999999997</c:v>
                </c:pt>
                <c:pt idx="170">
                  <c:v>36.497</c:v>
                </c:pt>
                <c:pt idx="171">
                  <c:v>57.505000000000003</c:v>
                </c:pt>
                <c:pt idx="172">
                  <c:v>102.792</c:v>
                </c:pt>
                <c:pt idx="173">
                  <c:v>151.369</c:v>
                </c:pt>
                <c:pt idx="174">
                  <c:v>115.645</c:v>
                </c:pt>
                <c:pt idx="175">
                  <c:v>67.837999999999994</c:v>
                </c:pt>
                <c:pt idx="176">
                  <c:v>28.948</c:v>
                </c:pt>
                <c:pt idx="177">
                  <c:v>43.418999999999997</c:v>
                </c:pt>
                <c:pt idx="178">
                  <c:v>15.430999999999999</c:v>
                </c:pt>
                <c:pt idx="179">
                  <c:v>97.8</c:v>
                </c:pt>
                <c:pt idx="180">
                  <c:v>72.896000000000001</c:v>
                </c:pt>
                <c:pt idx="181">
                  <c:v>98.254000000000005</c:v>
                </c:pt>
                <c:pt idx="182">
                  <c:v>98.361000000000004</c:v>
                </c:pt>
                <c:pt idx="183">
                  <c:v>453.49599999999998</c:v>
                </c:pt>
                <c:pt idx="184">
                  <c:v>233.203</c:v>
                </c:pt>
                <c:pt idx="185">
                  <c:v>421.53800000000001</c:v>
                </c:pt>
                <c:pt idx="186">
                  <c:v>233.23099999999999</c:v>
                </c:pt>
                <c:pt idx="187">
                  <c:v>408.88600000000002</c:v>
                </c:pt>
                <c:pt idx="188">
                  <c:v>816.22799999999995</c:v>
                </c:pt>
                <c:pt idx="189">
                  <c:v>777.31299999999999</c:v>
                </c:pt>
                <c:pt idx="190">
                  <c:v>1026.713</c:v>
                </c:pt>
                <c:pt idx="191">
                  <c:v>651.11</c:v>
                </c:pt>
                <c:pt idx="192">
                  <c:v>254.06200000000001</c:v>
                </c:pt>
                <c:pt idx="193">
                  <c:v>157.13999999999999</c:v>
                </c:pt>
                <c:pt idx="194">
                  <c:v>1330.162</c:v>
                </c:pt>
                <c:pt idx="195">
                  <c:v>697.07799999999997</c:v>
                </c:pt>
                <c:pt idx="196">
                  <c:v>3786.6579999999999</c:v>
                </c:pt>
                <c:pt idx="197">
                  <c:v>2130.9340000000002</c:v>
                </c:pt>
                <c:pt idx="198">
                  <c:v>1254.298</c:v>
                </c:pt>
                <c:pt idx="199">
                  <c:v>2973.0540000000001</c:v>
                </c:pt>
                <c:pt idx="200">
                  <c:v>688.048</c:v>
                </c:pt>
                <c:pt idx="201">
                  <c:v>667.58299999999997</c:v>
                </c:pt>
                <c:pt idx="202">
                  <c:v>689.31600000000003</c:v>
                </c:pt>
                <c:pt idx="203">
                  <c:v>313.88900000000001</c:v>
                </c:pt>
                <c:pt idx="204">
                  <c:v>5519.0010000000002</c:v>
                </c:pt>
                <c:pt idx="205">
                  <c:v>438.37299999999999</c:v>
                </c:pt>
                <c:pt idx="206">
                  <c:v>227.73599999999999</c:v>
                </c:pt>
                <c:pt idx="207">
                  <c:v>250.98599999999999</c:v>
                </c:pt>
                <c:pt idx="208">
                  <c:v>318.87400000000002</c:v>
                </c:pt>
                <c:pt idx="209">
                  <c:v>99.647999999999996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18-414F-AC84-B59CF4FCE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416481"/>
        <c:axId val="577450506"/>
      </c:scatterChart>
      <c:valAx>
        <c:axId val="10974164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number of critical points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7450506"/>
        <c:crosses val="autoZero"/>
        <c:crossBetween val="midCat"/>
      </c:valAx>
      <c:valAx>
        <c:axId val="577450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in seconds</a:t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741648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Avrg Time vs M+N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'Avrg time vs sum of rectangles'!$L$2</c:f>
              <c:strCache>
                <c:ptCount val="1"/>
                <c:pt idx="0">
                  <c:v>Avrg Time_bneck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'Avrg time vs sum of rectangles'!$K$3:$K$7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'Avrg time vs sum of rectangles'!$L$3:$L$7</c:f>
              <c:numCache>
                <c:formatCode>General</c:formatCode>
                <c:ptCount val="5"/>
                <c:pt idx="0">
                  <c:v>0.11005000000000002</c:v>
                </c:pt>
                <c:pt idx="1">
                  <c:v>5.5854249999999999</c:v>
                </c:pt>
                <c:pt idx="2">
                  <c:v>76.805133333333316</c:v>
                </c:pt>
                <c:pt idx="3">
                  <c:v>518.53460000000007</c:v>
                </c:pt>
                <c:pt idx="4">
                  <c:v>2405.6147999999998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01-5C4C-BCFA-226AB6F39EB7}"/>
            </c:ext>
          </c:extLst>
        </c:ser>
        <c:ser>
          <c:idx val="1"/>
          <c:order val="1"/>
          <c:tx>
            <c:strRef>
              <c:f>'Avrg time vs sum of rectangles'!$N$2</c:f>
              <c:strCache>
                <c:ptCount val="1"/>
                <c:pt idx="0">
                  <c:v>Avrg time_switch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'Avrg time vs sum of rectangles'!$K$3:$K$7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'Avrg time vs sum of rectangles'!$N$3:$N$7</c:f>
              <c:numCache>
                <c:formatCode>General</c:formatCode>
                <c:ptCount val="5"/>
                <c:pt idx="0">
                  <c:v>0.37229999999999991</c:v>
                </c:pt>
                <c:pt idx="1">
                  <c:v>2.1568500000000004</c:v>
                </c:pt>
                <c:pt idx="2">
                  <c:v>7.1073999999999993</c:v>
                </c:pt>
                <c:pt idx="3">
                  <c:v>16.984925000000004</c:v>
                </c:pt>
                <c:pt idx="4">
                  <c:v>42.390500000000003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01-5C4C-BCFA-226AB6F39EB7}"/>
            </c:ext>
          </c:extLst>
        </c:ser>
        <c:ser>
          <c:idx val="2"/>
          <c:order val="2"/>
          <c:tx>
            <c:strRef>
              <c:f>'Avrg time vs sum of rectangles'!$P$2</c:f>
              <c:strCache>
                <c:ptCount val="1"/>
                <c:pt idx="0">
                  <c:v>Avrg time_match_dist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'Avrg time vs sum of rectangles'!$K$3:$K$7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'Avrg time vs sum of rectangles'!$P$3:$P$7</c:f>
              <c:numCache>
                <c:formatCode>General</c:formatCode>
                <c:ptCount val="5"/>
                <c:pt idx="0">
                  <c:v>0.12575</c:v>
                </c:pt>
                <c:pt idx="1">
                  <c:v>6.3139000000000003</c:v>
                </c:pt>
                <c:pt idx="2">
                  <c:v>85.157049999999984</c:v>
                </c:pt>
                <c:pt idx="3">
                  <c:v>567.96707500000002</c:v>
                </c:pt>
                <c:pt idx="4">
                  <c:v>2634.3815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01-5C4C-BCFA-226AB6F39EB7}"/>
            </c:ext>
          </c:extLst>
        </c:ser>
        <c:ser>
          <c:idx val="3"/>
          <c:order val="3"/>
          <c:tx>
            <c:strRef>
              <c:f>'Avrg time vs sum of rectangles'!$R$2</c:f>
              <c:strCache>
                <c:ptCount val="1"/>
                <c:pt idx="0">
                  <c:v>Avrg total_exact_time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'Avrg time vs sum of rectangles'!$K$3:$K$7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'Avrg time vs sum of rectangles'!$R$3:$R$7</c:f>
              <c:numCache>
                <c:formatCode>General</c:formatCode>
                <c:ptCount val="5"/>
                <c:pt idx="0">
                  <c:v>0.49804999999999999</c:v>
                </c:pt>
                <c:pt idx="1">
                  <c:v>8.4707750000000015</c:v>
                </c:pt>
                <c:pt idx="2">
                  <c:v>92.264600000000002</c:v>
                </c:pt>
                <c:pt idx="3">
                  <c:v>584.95208750000006</c:v>
                </c:pt>
                <c:pt idx="4">
                  <c:v>2676.7824999999998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301-5C4C-BCFA-226AB6F39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79172"/>
        <c:axId val="894839286"/>
      </c:scatterChart>
      <c:valAx>
        <c:axId val="1189791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M+N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4839286"/>
        <c:crosses val="autoZero"/>
        <c:crossBetween val="midCat"/>
      </c:valAx>
      <c:valAx>
        <c:axId val="894839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Avrg Time_bneck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97917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Avrg Switch points vs M+N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'Avrg time vs sum of rectangles'!$N$2</c:f>
              <c:strCache>
                <c:ptCount val="1"/>
                <c:pt idx="0">
                  <c:v>Avrg time_switch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'Avrg time vs sum of rectangles'!$K$3:$K$7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'Avrg time vs sum of rectangles'!$N$3:$N$7</c:f>
              <c:numCache>
                <c:formatCode>General</c:formatCode>
                <c:ptCount val="5"/>
                <c:pt idx="0">
                  <c:v>0.37229999999999991</c:v>
                </c:pt>
                <c:pt idx="1">
                  <c:v>2.1568500000000004</c:v>
                </c:pt>
                <c:pt idx="2">
                  <c:v>7.1073999999999993</c:v>
                </c:pt>
                <c:pt idx="3">
                  <c:v>16.984925000000004</c:v>
                </c:pt>
                <c:pt idx="4">
                  <c:v>42.390500000000003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77-2B49-9DF8-5574FFD76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913315"/>
        <c:axId val="2031823357"/>
      </c:scatterChart>
      <c:valAx>
        <c:axId val="2819133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M+N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1823357"/>
        <c:crosses val="autoZero"/>
        <c:crossBetween val="midCat"/>
      </c:valAx>
      <c:valAx>
        <c:axId val="2031823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Avrg Time_bneck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191331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Avrg Time vs M+N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'Avrg time vs sum of rectangles'!$L$2</c:f>
              <c:strCache>
                <c:ptCount val="1"/>
                <c:pt idx="0">
                  <c:v>Avrg Time_bneck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'Avrg time vs sum of rectangles'!$K$3:$K$7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'Avrg time vs sum of rectangles'!$L$3:$L$7</c:f>
              <c:numCache>
                <c:formatCode>General</c:formatCode>
                <c:ptCount val="5"/>
                <c:pt idx="0">
                  <c:v>0.11005000000000002</c:v>
                </c:pt>
                <c:pt idx="1">
                  <c:v>5.5854249999999999</c:v>
                </c:pt>
                <c:pt idx="2">
                  <c:v>76.805133333333316</c:v>
                </c:pt>
                <c:pt idx="3">
                  <c:v>518.53460000000007</c:v>
                </c:pt>
                <c:pt idx="4">
                  <c:v>2405.6147999999998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83-C440-B938-FA5A221AAE7D}"/>
            </c:ext>
          </c:extLst>
        </c:ser>
        <c:ser>
          <c:idx val="1"/>
          <c:order val="1"/>
          <c:tx>
            <c:strRef>
              <c:f>'Avrg time vs sum of rectangles'!$N$2</c:f>
              <c:strCache>
                <c:ptCount val="1"/>
                <c:pt idx="0">
                  <c:v>Avrg time_switch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'Avrg time vs sum of rectangles'!$K$3:$K$7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'Avrg time vs sum of rectangles'!$N$3:$N$7</c:f>
              <c:numCache>
                <c:formatCode>General</c:formatCode>
                <c:ptCount val="5"/>
                <c:pt idx="0">
                  <c:v>0.37229999999999991</c:v>
                </c:pt>
                <c:pt idx="1">
                  <c:v>2.1568500000000004</c:v>
                </c:pt>
                <c:pt idx="2">
                  <c:v>7.1073999999999993</c:v>
                </c:pt>
                <c:pt idx="3">
                  <c:v>16.984925000000004</c:v>
                </c:pt>
                <c:pt idx="4">
                  <c:v>42.390500000000003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83-C440-B938-FA5A221AAE7D}"/>
            </c:ext>
          </c:extLst>
        </c:ser>
        <c:ser>
          <c:idx val="2"/>
          <c:order val="2"/>
          <c:tx>
            <c:strRef>
              <c:f>'Avrg time vs sum of rectangles'!$P$2</c:f>
              <c:strCache>
                <c:ptCount val="1"/>
                <c:pt idx="0">
                  <c:v>Avrg time_match_dist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'Avrg time vs sum of rectangles'!$K$3:$K$7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'Avrg time vs sum of rectangles'!$P$3:$P$7</c:f>
              <c:numCache>
                <c:formatCode>General</c:formatCode>
                <c:ptCount val="5"/>
                <c:pt idx="0">
                  <c:v>0.12575</c:v>
                </c:pt>
                <c:pt idx="1">
                  <c:v>6.3139000000000003</c:v>
                </c:pt>
                <c:pt idx="2">
                  <c:v>85.157049999999984</c:v>
                </c:pt>
                <c:pt idx="3">
                  <c:v>567.96707500000002</c:v>
                </c:pt>
                <c:pt idx="4">
                  <c:v>2634.3815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83-C440-B938-FA5A221AAE7D}"/>
            </c:ext>
          </c:extLst>
        </c:ser>
        <c:ser>
          <c:idx val="3"/>
          <c:order val="3"/>
          <c:tx>
            <c:strRef>
              <c:f>'Avrg time vs sum of rectangles'!$R$2</c:f>
              <c:strCache>
                <c:ptCount val="1"/>
                <c:pt idx="0">
                  <c:v>Avrg total_exact_time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'Avrg time vs sum of rectangles'!$K$3:$K$7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'Avrg time vs sum of rectangles'!$R$3:$R$7</c:f>
              <c:numCache>
                <c:formatCode>General</c:formatCode>
                <c:ptCount val="5"/>
                <c:pt idx="0">
                  <c:v>0.49804999999999999</c:v>
                </c:pt>
                <c:pt idx="1">
                  <c:v>8.4707750000000015</c:v>
                </c:pt>
                <c:pt idx="2">
                  <c:v>92.264600000000002</c:v>
                </c:pt>
                <c:pt idx="3">
                  <c:v>584.95208750000006</c:v>
                </c:pt>
                <c:pt idx="4">
                  <c:v>2676.7824999999998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783-C440-B938-FA5A221AA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348652"/>
        <c:axId val="1428553116"/>
      </c:scatterChart>
      <c:valAx>
        <c:axId val="8693486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M+N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8553116"/>
        <c:crosses val="autoZero"/>
        <c:crossBetween val="midCat"/>
      </c:valAx>
      <c:valAx>
        <c:axId val="1428553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Avrg Time_bneck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934865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828675</xdr:colOff>
      <xdr:row>11</xdr:row>
      <xdr:rowOff>0</xdr:rowOff>
    </xdr:from>
    <xdr:ext cx="6505575" cy="4019550"/>
    <xdr:graphicFrame macro="">
      <xdr:nvGraphicFramePr>
        <xdr:cNvPr id="2" name="Chart 1" title="Gra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7</xdr:row>
      <xdr:rowOff>28575</xdr:rowOff>
    </xdr:from>
    <xdr:ext cx="5715000" cy="3533775"/>
    <xdr:graphicFrame macro="">
      <xdr:nvGraphicFramePr>
        <xdr:cNvPr id="2" name="Chart 2" title="Gra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228600</xdr:colOff>
      <xdr:row>1</xdr:row>
      <xdr:rowOff>19050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352425</xdr:colOff>
      <xdr:row>1</xdr:row>
      <xdr:rowOff>66675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228600</xdr:colOff>
      <xdr:row>1</xdr:row>
      <xdr:rowOff>19050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742950</xdr:colOff>
      <xdr:row>1</xdr:row>
      <xdr:rowOff>85725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742950</xdr:colOff>
      <xdr:row>19</xdr:row>
      <xdr:rowOff>95250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742950</xdr:colOff>
      <xdr:row>37</xdr:row>
      <xdr:rowOff>152400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8</xdr:row>
      <xdr:rowOff>57150</xdr:rowOff>
    </xdr:from>
    <xdr:ext cx="5715000" cy="3533775"/>
    <xdr:graphicFrame macro="">
      <xdr:nvGraphicFramePr>
        <xdr:cNvPr id="9" name="Chart 9" title="Grafico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152400</xdr:colOff>
      <xdr:row>8</xdr:row>
      <xdr:rowOff>57150</xdr:rowOff>
    </xdr:from>
    <xdr:ext cx="5715000" cy="3533775"/>
    <xdr:graphicFrame macro="">
      <xdr:nvGraphicFramePr>
        <xdr:cNvPr id="10" name="Chart 10" title="Grafico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419100</xdr:colOff>
      <xdr:row>33</xdr:row>
      <xdr:rowOff>152400</xdr:rowOff>
    </xdr:from>
    <xdr:ext cx="5715000" cy="3533775"/>
    <xdr:graphicFrame macro="">
      <xdr:nvGraphicFramePr>
        <xdr:cNvPr id="11" name="Chart 11" title="Grafico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F6DD-5CB6-FC47-B3AE-AC7606B7F484}">
  <dimension ref="A1:B18"/>
  <sheetViews>
    <sheetView tabSelected="1" workbookViewId="0">
      <selection activeCell="C36" sqref="C36"/>
    </sheetView>
  </sheetViews>
  <sheetFormatPr baseColWidth="10" defaultRowHeight="13" x14ac:dyDescent="0.15"/>
  <cols>
    <col min="1" max="1" width="21" customWidth="1"/>
  </cols>
  <sheetData>
    <row r="1" spans="1:2" x14ac:dyDescent="0.15">
      <c r="A1" s="8" t="s">
        <v>73</v>
      </c>
    </row>
    <row r="4" spans="1:2" x14ac:dyDescent="0.15">
      <c r="A4" s="8" t="s">
        <v>74</v>
      </c>
      <c r="B4" s="8" t="s">
        <v>72</v>
      </c>
    </row>
    <row r="6" spans="1:2" x14ac:dyDescent="0.15">
      <c r="A6" s="8" t="s">
        <v>75</v>
      </c>
    </row>
    <row r="7" spans="1:2" x14ac:dyDescent="0.15">
      <c r="A7" s="8" t="s">
        <v>0</v>
      </c>
      <c r="B7" s="8" t="s">
        <v>76</v>
      </c>
    </row>
    <row r="8" spans="1:2" x14ac:dyDescent="0.15">
      <c r="A8" s="8" t="s">
        <v>1</v>
      </c>
      <c r="B8" s="8" t="s">
        <v>77</v>
      </c>
    </row>
    <row r="9" spans="1:2" x14ac:dyDescent="0.15">
      <c r="A9" s="8" t="s">
        <v>78</v>
      </c>
      <c r="B9" s="8" t="s">
        <v>79</v>
      </c>
    </row>
    <row r="10" spans="1:2" x14ac:dyDescent="0.15">
      <c r="A10" s="8" t="s">
        <v>3</v>
      </c>
      <c r="B10" s="8" t="s">
        <v>80</v>
      </c>
    </row>
    <row r="11" spans="1:2" x14ac:dyDescent="0.15">
      <c r="A11" s="9" t="s">
        <v>4</v>
      </c>
      <c r="B11" s="8" t="s">
        <v>81</v>
      </c>
    </row>
    <row r="12" spans="1:2" x14ac:dyDescent="0.15">
      <c r="A12" s="9" t="s">
        <v>5</v>
      </c>
      <c r="B12" s="8"/>
    </row>
    <row r="13" spans="1:2" x14ac:dyDescent="0.15">
      <c r="A13" s="9" t="s">
        <v>6</v>
      </c>
      <c r="B13" s="8" t="s">
        <v>82</v>
      </c>
    </row>
    <row r="14" spans="1:2" x14ac:dyDescent="0.15">
      <c r="A14" s="9" t="s">
        <v>7</v>
      </c>
    </row>
    <row r="15" spans="1:2" x14ac:dyDescent="0.15">
      <c r="A15" s="9" t="s">
        <v>8</v>
      </c>
      <c r="B15" s="8" t="s">
        <v>84</v>
      </c>
    </row>
    <row r="16" spans="1:2" x14ac:dyDescent="0.15">
      <c r="A16" s="9" t="s">
        <v>9</v>
      </c>
    </row>
    <row r="17" spans="1:2" x14ac:dyDescent="0.15">
      <c r="A17" s="9" t="s">
        <v>10</v>
      </c>
      <c r="B17" s="8" t="s">
        <v>85</v>
      </c>
    </row>
    <row r="18" spans="1:2" x14ac:dyDescent="0.15">
      <c r="A18" s="9" t="s">
        <v>11</v>
      </c>
      <c r="B18" s="8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03"/>
  <sheetViews>
    <sheetView topLeftCell="D1" workbookViewId="0">
      <pane ySplit="1" topLeftCell="A2" activePane="bottomLeft" state="frozen"/>
      <selection pane="bottomLeft" activeCell="N1" sqref="N1"/>
    </sheetView>
  </sheetViews>
  <sheetFormatPr baseColWidth="10" defaultColWidth="12.6640625" defaultRowHeight="15.75" customHeight="1" x14ac:dyDescent="0.15"/>
  <cols>
    <col min="4" max="4" width="21.6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</row>
    <row r="2" spans="1:26" ht="15.75" customHeight="1" x14ac:dyDescent="0.15">
      <c r="A2" s="2">
        <v>1</v>
      </c>
      <c r="B2" s="2">
        <v>1</v>
      </c>
      <c r="C2" s="2">
        <v>9</v>
      </c>
      <c r="D2" s="2" t="s">
        <v>13</v>
      </c>
      <c r="E2" s="2">
        <v>27</v>
      </c>
      <c r="F2" s="2">
        <v>7.0000000000000001E-3</v>
      </c>
      <c r="G2" s="2">
        <v>7888</v>
      </c>
      <c r="H2" s="2">
        <v>0.39300000000000002</v>
      </c>
      <c r="I2" s="2">
        <v>0.39400000000000002</v>
      </c>
      <c r="J2" s="2">
        <v>0.41899999999999998</v>
      </c>
      <c r="K2" s="2">
        <v>0.81299999999999994</v>
      </c>
      <c r="L2" s="2" t="s">
        <v>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>
        <v>1</v>
      </c>
      <c r="B3" s="2">
        <v>1</v>
      </c>
      <c r="C3" s="2">
        <v>11</v>
      </c>
      <c r="D3" s="2" t="s">
        <v>15</v>
      </c>
      <c r="E3" s="2">
        <v>18</v>
      </c>
      <c r="F3" s="2">
        <v>1E-3</v>
      </c>
      <c r="G3" s="2">
        <v>6529</v>
      </c>
      <c r="H3" s="2">
        <v>0.39100000000000001</v>
      </c>
      <c r="I3" s="2">
        <v>0.35499999999999998</v>
      </c>
      <c r="J3" s="2">
        <v>0.41399999999999998</v>
      </c>
      <c r="K3" s="2">
        <v>0.76900000000000002</v>
      </c>
      <c r="L3" s="2" t="s">
        <v>14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>
        <v>1</v>
      </c>
      <c r="B4" s="2">
        <v>2</v>
      </c>
      <c r="C4" s="2">
        <v>9</v>
      </c>
      <c r="D4" s="2" t="s">
        <v>16</v>
      </c>
      <c r="E4" s="2">
        <v>119</v>
      </c>
      <c r="F4" s="2">
        <v>8.0000000000000002E-3</v>
      </c>
      <c r="G4" s="2">
        <v>174394</v>
      </c>
      <c r="H4" s="2">
        <v>10.917</v>
      </c>
      <c r="I4" s="2">
        <v>1.5960000000000001</v>
      </c>
      <c r="J4" s="2">
        <v>11.781000000000001</v>
      </c>
      <c r="K4" s="2">
        <v>13.377000000000001</v>
      </c>
      <c r="L4" s="2" t="s">
        <v>14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>
        <v>1</v>
      </c>
      <c r="B5" s="2">
        <v>2</v>
      </c>
      <c r="C5" s="2">
        <v>10</v>
      </c>
      <c r="D5" s="2" t="s">
        <v>17</v>
      </c>
      <c r="E5" s="2">
        <v>131</v>
      </c>
      <c r="F5" s="2">
        <v>5.0000000000000001E-3</v>
      </c>
      <c r="G5" s="2">
        <v>326908</v>
      </c>
      <c r="H5" s="2">
        <v>11.478</v>
      </c>
      <c r="I5" s="2">
        <v>2.7440000000000002</v>
      </c>
      <c r="J5" s="2">
        <v>13.112</v>
      </c>
      <c r="K5" s="2">
        <v>15.856</v>
      </c>
      <c r="L5" s="2" t="s">
        <v>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>
        <v>1</v>
      </c>
      <c r="B6" s="2">
        <v>2</v>
      </c>
      <c r="C6" s="2">
        <v>11</v>
      </c>
      <c r="D6" s="2" t="s">
        <v>18</v>
      </c>
      <c r="E6" s="2">
        <v>101</v>
      </c>
      <c r="F6" s="2">
        <v>8.9999999999999993E-3</v>
      </c>
      <c r="G6" s="2">
        <v>191677</v>
      </c>
      <c r="H6" s="2">
        <v>14.561999999999999</v>
      </c>
      <c r="I6" s="2">
        <v>1.6240000000000001</v>
      </c>
      <c r="J6" s="2">
        <v>15.596</v>
      </c>
      <c r="K6" s="2">
        <v>17.22</v>
      </c>
      <c r="L6" s="2" t="s">
        <v>14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>
        <v>1</v>
      </c>
      <c r="B7" s="2">
        <v>3</v>
      </c>
      <c r="C7" s="2">
        <v>4</v>
      </c>
      <c r="D7" s="2" t="s">
        <v>19</v>
      </c>
      <c r="E7" s="2">
        <v>314</v>
      </c>
      <c r="F7" s="2">
        <v>3.1E-2</v>
      </c>
      <c r="G7" s="2">
        <v>2972808</v>
      </c>
      <c r="H7" s="2">
        <v>274.16699999999997</v>
      </c>
      <c r="I7" s="2">
        <v>9.4990000000000006</v>
      </c>
      <c r="J7" s="2">
        <v>288.654</v>
      </c>
      <c r="K7" s="2">
        <v>298.154</v>
      </c>
      <c r="L7" s="2" t="s">
        <v>14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>
        <v>1</v>
      </c>
      <c r="B8" s="2">
        <v>3</v>
      </c>
      <c r="C8" s="2">
        <v>9</v>
      </c>
      <c r="D8" s="2" t="s">
        <v>16</v>
      </c>
      <c r="E8" s="2">
        <v>379</v>
      </c>
      <c r="F8" s="2">
        <v>2.7E-2</v>
      </c>
      <c r="G8" s="2">
        <v>2355503</v>
      </c>
      <c r="H8" s="2">
        <v>161.11199999999999</v>
      </c>
      <c r="I8" s="2">
        <v>6.117</v>
      </c>
      <c r="J8" s="2">
        <v>171.76499999999999</v>
      </c>
      <c r="K8" s="2">
        <v>177.88200000000001</v>
      </c>
      <c r="L8" s="2" t="s">
        <v>14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>
        <v>1</v>
      </c>
      <c r="B9" s="2">
        <v>3</v>
      </c>
      <c r="C9" s="2">
        <v>10</v>
      </c>
      <c r="D9" s="2" t="s">
        <v>20</v>
      </c>
      <c r="E9" s="2">
        <v>358</v>
      </c>
      <c r="F9" s="2">
        <v>1.2999999999999999E-2</v>
      </c>
      <c r="G9" s="2">
        <v>3874986</v>
      </c>
      <c r="H9" s="2">
        <v>128.25299999999999</v>
      </c>
      <c r="I9" s="2">
        <v>9.7680000000000007</v>
      </c>
      <c r="J9" s="2">
        <v>146.11600000000001</v>
      </c>
      <c r="K9" s="2">
        <v>155.88399999999999</v>
      </c>
      <c r="L9" s="2" t="s">
        <v>14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2">
        <v>1</v>
      </c>
      <c r="B10" s="2">
        <v>3</v>
      </c>
      <c r="C10" s="2">
        <v>11</v>
      </c>
      <c r="D10" s="2" t="s">
        <v>18</v>
      </c>
      <c r="E10" s="2">
        <v>290</v>
      </c>
      <c r="F10" s="2">
        <v>2.3E-2</v>
      </c>
      <c r="G10" s="2">
        <v>2268949</v>
      </c>
      <c r="H10" s="2">
        <v>153.459</v>
      </c>
      <c r="I10" s="2">
        <v>6.3040000000000003</v>
      </c>
      <c r="J10" s="2">
        <v>164.85</v>
      </c>
      <c r="K10" s="2">
        <v>171.154</v>
      </c>
      <c r="L10" s="2" t="s">
        <v>14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>
        <v>1</v>
      </c>
      <c r="B11" s="2">
        <v>4</v>
      </c>
      <c r="C11" s="2">
        <v>4</v>
      </c>
      <c r="D11" s="2" t="s">
        <v>19</v>
      </c>
      <c r="E11" s="2">
        <v>678</v>
      </c>
      <c r="F11" s="2">
        <v>5.0999999999999997E-2</v>
      </c>
      <c r="G11" s="2">
        <v>17396810</v>
      </c>
      <c r="H11" s="2">
        <v>1373.328</v>
      </c>
      <c r="I11" s="2">
        <v>25.016999999999999</v>
      </c>
      <c r="J11" s="2">
        <v>1461.461</v>
      </c>
      <c r="K11" s="2">
        <v>1486.4780000000001</v>
      </c>
      <c r="L11" s="2" t="s">
        <v>14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>
        <v>1</v>
      </c>
      <c r="B12" s="2">
        <v>4</v>
      </c>
      <c r="C12" s="2">
        <v>9</v>
      </c>
      <c r="D12" s="2" t="s">
        <v>16</v>
      </c>
      <c r="E12" s="2">
        <v>761</v>
      </c>
      <c r="F12" s="2">
        <v>5.0999999999999997E-2</v>
      </c>
      <c r="G12" s="2">
        <v>11152198</v>
      </c>
      <c r="H12" s="2">
        <v>692.27</v>
      </c>
      <c r="I12" s="2">
        <v>14.754</v>
      </c>
      <c r="J12" s="2">
        <v>748.899</v>
      </c>
      <c r="K12" s="2">
        <v>763.654</v>
      </c>
      <c r="L12" s="2" t="s">
        <v>14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>
        <v>1</v>
      </c>
      <c r="B13" s="2">
        <v>4</v>
      </c>
      <c r="C13" s="2">
        <v>10</v>
      </c>
      <c r="D13" s="2" t="s">
        <v>20</v>
      </c>
      <c r="E13" s="2">
        <v>814</v>
      </c>
      <c r="F13" s="2">
        <v>3.5000000000000003E-2</v>
      </c>
      <c r="G13" s="2">
        <v>19787552</v>
      </c>
      <c r="H13" s="2">
        <v>730.55499999999995</v>
      </c>
      <c r="I13" s="2">
        <v>22.161999999999999</v>
      </c>
      <c r="J13" s="2">
        <v>819.80100000000004</v>
      </c>
      <c r="K13" s="2">
        <v>841.96299999999997</v>
      </c>
      <c r="L13" s="2" t="s">
        <v>14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1</v>
      </c>
      <c r="B14" s="2">
        <v>4</v>
      </c>
      <c r="C14" s="2">
        <v>11</v>
      </c>
      <c r="D14" s="2" t="s">
        <v>18</v>
      </c>
      <c r="E14" s="2">
        <v>746</v>
      </c>
      <c r="F14" s="2">
        <v>0.05</v>
      </c>
      <c r="G14" s="2">
        <v>13823866</v>
      </c>
      <c r="H14" s="2">
        <v>917.11</v>
      </c>
      <c r="I14" s="2">
        <v>14.782999999999999</v>
      </c>
      <c r="J14" s="2">
        <v>980.45699999999999</v>
      </c>
      <c r="K14" s="2">
        <v>995.24099999999999</v>
      </c>
      <c r="L14" s="2" t="s">
        <v>14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1</v>
      </c>
      <c r="B15" s="2">
        <v>4</v>
      </c>
      <c r="C15" s="2">
        <v>17</v>
      </c>
      <c r="D15" s="2" t="s">
        <v>21</v>
      </c>
      <c r="E15" s="2">
        <v>661</v>
      </c>
      <c r="F15" s="2">
        <v>4.1000000000000002E-2</v>
      </c>
      <c r="G15" s="2">
        <v>15289054</v>
      </c>
      <c r="H15" s="2">
        <v>876.13499999999999</v>
      </c>
      <c r="I15" s="2">
        <v>19.972999999999999</v>
      </c>
      <c r="J15" s="2">
        <v>952.37400000000002</v>
      </c>
      <c r="K15" s="2">
        <v>972.34799999999996</v>
      </c>
      <c r="L15" s="2" t="s">
        <v>14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1</v>
      </c>
      <c r="B16" s="2">
        <v>4</v>
      </c>
      <c r="C16" s="2">
        <v>19</v>
      </c>
      <c r="D16" s="2" t="s">
        <v>22</v>
      </c>
      <c r="E16" s="2">
        <v>702</v>
      </c>
      <c r="F16" s="2">
        <v>2.3E-2</v>
      </c>
      <c r="G16" s="2">
        <v>6140424</v>
      </c>
      <c r="H16" s="2">
        <v>159.85499999999999</v>
      </c>
      <c r="I16" s="2">
        <v>11.821999999999999</v>
      </c>
      <c r="J16" s="2">
        <v>189.05</v>
      </c>
      <c r="K16" s="2">
        <v>200.87200000000001</v>
      </c>
      <c r="L16" s="2" t="s">
        <v>14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>
        <v>1</v>
      </c>
      <c r="B17" s="3">
        <v>5</v>
      </c>
      <c r="C17" s="3">
        <v>4</v>
      </c>
      <c r="D17" s="4" t="s">
        <v>23</v>
      </c>
      <c r="E17" s="3">
        <v>1380</v>
      </c>
      <c r="F17" s="3">
        <v>0.16800000000000001</v>
      </c>
      <c r="G17" s="3">
        <v>70649819</v>
      </c>
      <c r="H17" s="3">
        <v>5088.0959999999995</v>
      </c>
      <c r="I17" s="3">
        <v>46.58</v>
      </c>
      <c r="J17" s="3">
        <v>5435.2309999999998</v>
      </c>
      <c r="K17" s="3">
        <v>5481.8280000000004</v>
      </c>
      <c r="L17" s="4" t="s">
        <v>14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1">
        <v>1</v>
      </c>
      <c r="B18" s="1">
        <v>1</v>
      </c>
      <c r="C18" s="1">
        <v>1</v>
      </c>
      <c r="D18" s="1" t="s">
        <v>24</v>
      </c>
      <c r="E18" s="1">
        <v>16</v>
      </c>
      <c r="F18" s="1">
        <v>0</v>
      </c>
      <c r="G18" s="1">
        <v>2854</v>
      </c>
      <c r="H18" s="1">
        <v>3.5000000000000003E-2</v>
      </c>
      <c r="I18" s="1">
        <v>0.33800000000000002</v>
      </c>
      <c r="J18" s="1">
        <v>4.2999999999999997E-2</v>
      </c>
      <c r="K18" s="1">
        <v>0.38200000000000001</v>
      </c>
      <c r="L18" s="1" t="s">
        <v>14</v>
      </c>
    </row>
    <row r="19" spans="1:26" ht="15.75" customHeight="1" x14ac:dyDescent="0.15">
      <c r="A19" s="1">
        <v>1</v>
      </c>
      <c r="B19" s="1">
        <v>1</v>
      </c>
      <c r="C19" s="1">
        <v>2</v>
      </c>
      <c r="D19" s="1" t="s">
        <v>24</v>
      </c>
      <c r="E19" s="1">
        <v>20</v>
      </c>
      <c r="F19" s="1">
        <v>0</v>
      </c>
      <c r="G19" s="1">
        <v>5519</v>
      </c>
      <c r="H19" s="1">
        <v>8.7999999999999995E-2</v>
      </c>
      <c r="I19" s="1">
        <v>0.41199999999999998</v>
      </c>
      <c r="J19" s="1">
        <v>0.11799999999999999</v>
      </c>
      <c r="K19" s="1">
        <v>0.53</v>
      </c>
      <c r="L19" s="1" t="s">
        <v>14</v>
      </c>
    </row>
    <row r="20" spans="1:26" ht="15.75" customHeight="1" x14ac:dyDescent="0.15">
      <c r="A20" s="1">
        <v>1</v>
      </c>
      <c r="B20" s="1">
        <v>1</v>
      </c>
      <c r="C20" s="1">
        <v>3</v>
      </c>
      <c r="D20" s="1" t="s">
        <v>24</v>
      </c>
      <c r="E20" s="1">
        <v>27</v>
      </c>
      <c r="F20" s="1">
        <v>1E-3</v>
      </c>
      <c r="G20" s="1">
        <v>6563</v>
      </c>
      <c r="H20" s="1">
        <v>0.185</v>
      </c>
      <c r="I20" s="1">
        <v>0.36399999999999999</v>
      </c>
      <c r="J20" s="1">
        <v>0.20699999999999999</v>
      </c>
      <c r="K20" s="1">
        <v>0.56999999999999995</v>
      </c>
      <c r="L20" s="1" t="s">
        <v>14</v>
      </c>
    </row>
    <row r="21" spans="1:26" ht="15.75" customHeight="1" x14ac:dyDescent="0.15">
      <c r="A21" s="1">
        <v>1</v>
      </c>
      <c r="B21" s="1">
        <v>1</v>
      </c>
      <c r="C21" s="1">
        <v>4</v>
      </c>
      <c r="D21" s="1" t="s">
        <v>24</v>
      </c>
      <c r="E21" s="1">
        <v>21</v>
      </c>
      <c r="F21" s="1">
        <v>1E-3</v>
      </c>
      <c r="G21" s="1">
        <v>6688</v>
      </c>
      <c r="H21" s="1">
        <v>0.20300000000000001</v>
      </c>
      <c r="I21" s="1">
        <v>0.39100000000000001</v>
      </c>
      <c r="J21" s="1">
        <v>0.22600000000000001</v>
      </c>
      <c r="K21" s="1">
        <v>0.61699999999999999</v>
      </c>
      <c r="L21" s="1" t="s">
        <v>14</v>
      </c>
    </row>
    <row r="22" spans="1:26" ht="15.75" customHeight="1" x14ac:dyDescent="0.15">
      <c r="A22" s="1">
        <v>1</v>
      </c>
      <c r="B22" s="1">
        <v>1</v>
      </c>
      <c r="C22" s="1">
        <v>5</v>
      </c>
      <c r="D22" s="1" t="s">
        <v>24</v>
      </c>
      <c r="E22" s="1">
        <v>18</v>
      </c>
      <c r="F22" s="1">
        <v>0</v>
      </c>
      <c r="G22" s="1">
        <v>2144</v>
      </c>
      <c r="H22" s="1">
        <v>2.5999999999999999E-2</v>
      </c>
      <c r="I22" s="1">
        <v>0.50700000000000001</v>
      </c>
      <c r="J22" s="1">
        <v>3.1E-2</v>
      </c>
      <c r="K22" s="1">
        <v>0.53800000000000003</v>
      </c>
      <c r="L22" s="1" t="s">
        <v>14</v>
      </c>
    </row>
    <row r="23" spans="1:26" ht="15.75" customHeight="1" x14ac:dyDescent="0.15">
      <c r="A23" s="1">
        <v>1</v>
      </c>
      <c r="B23" s="1">
        <v>1</v>
      </c>
      <c r="C23" s="1">
        <v>6</v>
      </c>
      <c r="D23" s="1" t="s">
        <v>24</v>
      </c>
      <c r="E23" s="1">
        <v>15</v>
      </c>
      <c r="F23" s="1">
        <v>0</v>
      </c>
      <c r="G23" s="1">
        <v>3778</v>
      </c>
      <c r="H23" s="1">
        <v>4.2000000000000003E-2</v>
      </c>
      <c r="I23" s="1">
        <v>0.35799999999999998</v>
      </c>
      <c r="J23" s="1">
        <v>5.5E-2</v>
      </c>
      <c r="K23" s="1">
        <v>0.41299999999999998</v>
      </c>
      <c r="L23" s="1" t="s">
        <v>14</v>
      </c>
    </row>
    <row r="24" spans="1:26" ht="15.75" customHeight="1" x14ac:dyDescent="0.15">
      <c r="A24" s="1">
        <v>1</v>
      </c>
      <c r="B24" s="1">
        <v>1</v>
      </c>
      <c r="C24" s="1">
        <v>7</v>
      </c>
      <c r="D24" s="1" t="s">
        <v>24</v>
      </c>
      <c r="E24" s="1">
        <v>16</v>
      </c>
      <c r="F24" s="1">
        <v>0</v>
      </c>
      <c r="G24" s="1">
        <v>3903</v>
      </c>
      <c r="H24" s="1">
        <v>5.1999999999999998E-2</v>
      </c>
      <c r="I24" s="1">
        <v>0.40100000000000002</v>
      </c>
      <c r="J24" s="1">
        <v>6.4000000000000001E-2</v>
      </c>
      <c r="K24" s="1">
        <v>0.46500000000000002</v>
      </c>
      <c r="L24" s="1" t="s">
        <v>14</v>
      </c>
    </row>
    <row r="25" spans="1:26" ht="15.75" customHeight="1" x14ac:dyDescent="0.15">
      <c r="A25" s="1">
        <v>1</v>
      </c>
      <c r="B25" s="1">
        <v>1</v>
      </c>
      <c r="C25" s="1">
        <v>8</v>
      </c>
      <c r="D25" s="1" t="s">
        <v>24</v>
      </c>
      <c r="E25" s="1">
        <v>24</v>
      </c>
      <c r="F25" s="1">
        <v>1E-3</v>
      </c>
      <c r="G25" s="1">
        <v>5891</v>
      </c>
      <c r="H25" s="1">
        <v>0.20100000000000001</v>
      </c>
      <c r="I25" s="1">
        <v>0.33700000000000002</v>
      </c>
      <c r="J25" s="1">
        <v>0.221</v>
      </c>
      <c r="K25" s="1">
        <v>0.55900000000000005</v>
      </c>
      <c r="L25" s="1" t="s">
        <v>14</v>
      </c>
    </row>
    <row r="26" spans="1:26" ht="15.75" customHeight="1" x14ac:dyDescent="0.15">
      <c r="A26" s="1">
        <v>1</v>
      </c>
      <c r="B26" s="1">
        <v>1</v>
      </c>
      <c r="C26" s="1">
        <v>10</v>
      </c>
      <c r="D26" s="1" t="s">
        <v>24</v>
      </c>
      <c r="E26" s="1">
        <v>21</v>
      </c>
      <c r="F26" s="1">
        <v>1E-3</v>
      </c>
      <c r="G26" s="1">
        <v>6584</v>
      </c>
      <c r="H26" s="1">
        <v>0.1</v>
      </c>
      <c r="I26" s="1">
        <v>0.377</v>
      </c>
      <c r="J26" s="1">
        <v>0.121</v>
      </c>
      <c r="K26" s="1">
        <v>0.498</v>
      </c>
      <c r="L26" s="1" t="s">
        <v>14</v>
      </c>
    </row>
    <row r="27" spans="1:26" ht="15.75" customHeight="1" x14ac:dyDescent="0.15">
      <c r="A27" s="1">
        <v>1</v>
      </c>
      <c r="B27" s="1">
        <v>1</v>
      </c>
      <c r="C27" s="1">
        <v>12</v>
      </c>
      <c r="D27" s="1" t="s">
        <v>24</v>
      </c>
      <c r="E27" s="1">
        <v>19</v>
      </c>
      <c r="F27" s="1">
        <v>0</v>
      </c>
      <c r="G27" s="1">
        <v>4827</v>
      </c>
      <c r="H27" s="1">
        <v>5.3999999999999999E-2</v>
      </c>
      <c r="I27" s="1">
        <v>0.40799999999999997</v>
      </c>
      <c r="J27" s="1">
        <v>7.1999999999999995E-2</v>
      </c>
      <c r="K27" s="1">
        <v>0.48</v>
      </c>
      <c r="L27" s="1" t="s">
        <v>14</v>
      </c>
    </row>
    <row r="28" spans="1:26" ht="15.75" customHeight="1" x14ac:dyDescent="0.15">
      <c r="A28" s="1">
        <v>1</v>
      </c>
      <c r="B28" s="1">
        <v>1</v>
      </c>
      <c r="C28" s="1">
        <v>13</v>
      </c>
      <c r="D28" s="1" t="s">
        <v>24</v>
      </c>
      <c r="E28" s="1">
        <v>15</v>
      </c>
      <c r="F28" s="1">
        <v>0</v>
      </c>
      <c r="G28" s="1">
        <v>3210</v>
      </c>
      <c r="H28" s="1">
        <v>4.1000000000000002E-2</v>
      </c>
      <c r="I28" s="1">
        <v>0.30499999999999999</v>
      </c>
      <c r="J28" s="1">
        <v>5.1999999999999998E-2</v>
      </c>
      <c r="K28" s="1">
        <v>0.35599999999999998</v>
      </c>
      <c r="L28" s="1" t="s">
        <v>14</v>
      </c>
    </row>
    <row r="29" spans="1:26" ht="15.75" customHeight="1" x14ac:dyDescent="0.15">
      <c r="A29" s="1">
        <v>1</v>
      </c>
      <c r="B29" s="1">
        <v>1</v>
      </c>
      <c r="C29" s="1">
        <v>14</v>
      </c>
      <c r="D29" s="1" t="s">
        <v>24</v>
      </c>
      <c r="E29" s="1">
        <v>15</v>
      </c>
      <c r="F29" s="1">
        <v>0</v>
      </c>
      <c r="G29" s="1">
        <v>3370</v>
      </c>
      <c r="H29" s="1">
        <v>4.2000000000000003E-2</v>
      </c>
      <c r="I29" s="1">
        <v>0.28799999999999998</v>
      </c>
      <c r="J29" s="1">
        <v>5.2999999999999999E-2</v>
      </c>
      <c r="K29" s="1">
        <v>0.34200000000000003</v>
      </c>
      <c r="L29" s="1" t="s">
        <v>14</v>
      </c>
    </row>
    <row r="30" spans="1:26" ht="15.75" customHeight="1" x14ac:dyDescent="0.15">
      <c r="A30" s="1">
        <v>1</v>
      </c>
      <c r="B30" s="1">
        <v>1</v>
      </c>
      <c r="C30" s="1">
        <v>15</v>
      </c>
      <c r="D30" s="1" t="s">
        <v>24</v>
      </c>
      <c r="E30" s="1">
        <v>15</v>
      </c>
      <c r="F30" s="1">
        <v>0</v>
      </c>
      <c r="G30" s="1">
        <v>3438</v>
      </c>
      <c r="H30" s="1">
        <v>2.9000000000000001E-2</v>
      </c>
      <c r="I30" s="1">
        <v>0.38100000000000001</v>
      </c>
      <c r="J30" s="1">
        <v>4.2999999999999997E-2</v>
      </c>
      <c r="K30" s="1">
        <v>0.42299999999999999</v>
      </c>
      <c r="L30" s="1" t="s">
        <v>14</v>
      </c>
    </row>
    <row r="31" spans="1:26" ht="15.75" customHeight="1" x14ac:dyDescent="0.15">
      <c r="A31" s="1">
        <v>1</v>
      </c>
      <c r="B31" s="1">
        <v>1</v>
      </c>
      <c r="C31" s="1">
        <v>16</v>
      </c>
      <c r="D31" s="1" t="s">
        <v>24</v>
      </c>
      <c r="E31" s="1">
        <v>21</v>
      </c>
      <c r="F31" s="1">
        <v>1E-3</v>
      </c>
      <c r="G31" s="1">
        <v>3333</v>
      </c>
      <c r="H31" s="1">
        <v>0.16500000000000001</v>
      </c>
      <c r="I31" s="1">
        <v>0.26500000000000001</v>
      </c>
      <c r="J31" s="1">
        <v>0.17699999999999999</v>
      </c>
      <c r="K31" s="1">
        <v>0.442</v>
      </c>
      <c r="L31" s="1" t="s">
        <v>14</v>
      </c>
    </row>
    <row r="32" spans="1:26" ht="15.75" customHeight="1" x14ac:dyDescent="0.15">
      <c r="A32" s="1">
        <v>1</v>
      </c>
      <c r="B32" s="1">
        <v>1</v>
      </c>
      <c r="C32" s="1">
        <v>17</v>
      </c>
      <c r="D32" s="1" t="s">
        <v>24</v>
      </c>
      <c r="E32" s="1">
        <v>15</v>
      </c>
      <c r="F32" s="1">
        <v>0</v>
      </c>
      <c r="G32" s="1">
        <v>2974</v>
      </c>
      <c r="H32" s="1">
        <v>3.2000000000000001E-2</v>
      </c>
      <c r="I32" s="1">
        <v>0.28399999999999997</v>
      </c>
      <c r="J32" s="1">
        <v>4.2999999999999997E-2</v>
      </c>
      <c r="K32" s="1">
        <v>0.32700000000000001</v>
      </c>
      <c r="L32" s="1" t="s">
        <v>14</v>
      </c>
    </row>
    <row r="33" spans="1:12" ht="15.75" customHeight="1" x14ac:dyDescent="0.15">
      <c r="A33" s="1">
        <v>1</v>
      </c>
      <c r="B33" s="1">
        <v>1</v>
      </c>
      <c r="C33" s="1">
        <v>18</v>
      </c>
      <c r="D33" s="1" t="s">
        <v>24</v>
      </c>
      <c r="E33" s="1">
        <v>20</v>
      </c>
      <c r="F33" s="1">
        <v>0</v>
      </c>
      <c r="G33" s="1">
        <v>3602</v>
      </c>
      <c r="H33" s="1">
        <v>0.04</v>
      </c>
      <c r="I33" s="1">
        <v>0.48899999999999999</v>
      </c>
      <c r="J33" s="1">
        <v>5.0999999999999997E-2</v>
      </c>
      <c r="K33" s="1">
        <v>0.54</v>
      </c>
      <c r="L33" s="1" t="s">
        <v>14</v>
      </c>
    </row>
    <row r="34" spans="1:12" ht="15.75" customHeight="1" x14ac:dyDescent="0.15">
      <c r="A34" s="1">
        <v>1</v>
      </c>
      <c r="B34" s="1">
        <v>1</v>
      </c>
      <c r="C34" s="1">
        <v>19</v>
      </c>
      <c r="D34" s="1" t="s">
        <v>24</v>
      </c>
      <c r="E34" s="1">
        <v>19</v>
      </c>
      <c r="F34" s="1">
        <v>0</v>
      </c>
      <c r="G34" s="1">
        <v>3088</v>
      </c>
      <c r="H34" s="1">
        <v>3.2000000000000001E-2</v>
      </c>
      <c r="I34" s="1">
        <v>0.36399999999999999</v>
      </c>
      <c r="J34" s="1">
        <v>4.2999999999999997E-2</v>
      </c>
      <c r="K34" s="1">
        <v>0.40699999999999997</v>
      </c>
      <c r="L34" s="1" t="s">
        <v>14</v>
      </c>
    </row>
    <row r="35" spans="1:12" ht="15.75" customHeight="1" x14ac:dyDescent="0.15">
      <c r="A35" s="1">
        <v>1</v>
      </c>
      <c r="B35" s="1">
        <v>1</v>
      </c>
      <c r="C35" s="1">
        <v>20</v>
      </c>
      <c r="D35" s="1" t="s">
        <v>24</v>
      </c>
      <c r="E35" s="1">
        <v>16</v>
      </c>
      <c r="F35" s="1">
        <v>0</v>
      </c>
      <c r="G35" s="1">
        <v>3769</v>
      </c>
      <c r="H35" s="1">
        <v>0.05</v>
      </c>
      <c r="I35" s="1">
        <v>0.42799999999999999</v>
      </c>
      <c r="J35" s="1">
        <v>6.2E-2</v>
      </c>
      <c r="K35" s="1">
        <v>0.49</v>
      </c>
      <c r="L35" s="1" t="s">
        <v>14</v>
      </c>
    </row>
    <row r="36" spans="1:12" ht="15.75" customHeight="1" x14ac:dyDescent="0.15">
      <c r="A36" s="1">
        <v>1</v>
      </c>
      <c r="B36" s="1">
        <v>2</v>
      </c>
      <c r="C36" s="1">
        <v>1</v>
      </c>
      <c r="D36" s="1" t="s">
        <v>24</v>
      </c>
      <c r="E36" s="1">
        <v>84</v>
      </c>
      <c r="F36" s="1">
        <v>2E-3</v>
      </c>
      <c r="G36" s="1">
        <v>127819</v>
      </c>
      <c r="H36" s="1">
        <v>2.6379999999999999</v>
      </c>
      <c r="I36" s="1">
        <v>2.0579999999999998</v>
      </c>
      <c r="J36" s="1">
        <v>3.2010000000000001</v>
      </c>
      <c r="K36" s="1">
        <v>5.2590000000000003</v>
      </c>
      <c r="L36" s="1" t="s">
        <v>14</v>
      </c>
    </row>
    <row r="37" spans="1:12" ht="15.75" customHeight="1" x14ac:dyDescent="0.15">
      <c r="A37" s="1">
        <v>1</v>
      </c>
      <c r="B37" s="1">
        <v>2</v>
      </c>
      <c r="C37" s="1">
        <v>2</v>
      </c>
      <c r="D37" s="1" t="s">
        <v>24</v>
      </c>
      <c r="E37" s="1">
        <v>93</v>
      </c>
      <c r="F37" s="1">
        <v>3.0000000000000001E-3</v>
      </c>
      <c r="G37" s="1">
        <v>49155</v>
      </c>
      <c r="H37" s="1">
        <v>1.1020000000000001</v>
      </c>
      <c r="I37" s="1">
        <v>1.8140000000000001</v>
      </c>
      <c r="J37" s="1">
        <v>1.2649999999999999</v>
      </c>
      <c r="K37" s="1">
        <v>3.0790000000000002</v>
      </c>
      <c r="L37" s="1" t="s">
        <v>14</v>
      </c>
    </row>
    <row r="38" spans="1:12" ht="15.75" customHeight="1" x14ac:dyDescent="0.15">
      <c r="A38" s="1">
        <v>1</v>
      </c>
      <c r="B38" s="1">
        <v>2</v>
      </c>
      <c r="C38" s="1">
        <v>3</v>
      </c>
      <c r="D38" s="1" t="s">
        <v>24</v>
      </c>
      <c r="E38" s="1">
        <v>130</v>
      </c>
      <c r="F38" s="1">
        <v>8.9999999999999993E-3</v>
      </c>
      <c r="G38" s="1">
        <v>224142</v>
      </c>
      <c r="H38" s="1">
        <v>17.927</v>
      </c>
      <c r="I38" s="1">
        <v>1.9670000000000001</v>
      </c>
      <c r="J38" s="1">
        <v>19.027000000000001</v>
      </c>
      <c r="K38" s="1">
        <v>20.994</v>
      </c>
      <c r="L38" s="1" t="s">
        <v>14</v>
      </c>
    </row>
    <row r="39" spans="1:12" ht="15.75" customHeight="1" x14ac:dyDescent="0.15">
      <c r="A39" s="1">
        <v>1</v>
      </c>
      <c r="B39" s="1">
        <v>2</v>
      </c>
      <c r="C39" s="1">
        <v>4</v>
      </c>
      <c r="D39" s="1" t="s">
        <v>24</v>
      </c>
      <c r="E39" s="1">
        <v>102</v>
      </c>
      <c r="F39" s="1">
        <v>4.0000000000000001E-3</v>
      </c>
      <c r="G39" s="1">
        <v>163010</v>
      </c>
      <c r="H39" s="1">
        <v>5.0629999999999997</v>
      </c>
      <c r="I39" s="1">
        <v>2.1760000000000002</v>
      </c>
      <c r="J39" s="1">
        <v>5.8730000000000002</v>
      </c>
      <c r="K39" s="1">
        <v>8.0489999999999995</v>
      </c>
      <c r="L39" s="1" t="s">
        <v>14</v>
      </c>
    </row>
    <row r="40" spans="1:12" ht="15.75" customHeight="1" x14ac:dyDescent="0.15">
      <c r="A40" s="1">
        <v>1</v>
      </c>
      <c r="B40" s="1">
        <v>2</v>
      </c>
      <c r="C40" s="1">
        <v>5</v>
      </c>
      <c r="D40" s="1" t="s">
        <v>24</v>
      </c>
      <c r="E40" s="1">
        <v>63</v>
      </c>
      <c r="F40" s="1">
        <v>2E-3</v>
      </c>
      <c r="G40" s="1">
        <v>87056</v>
      </c>
      <c r="H40" s="1">
        <v>1.609</v>
      </c>
      <c r="I40" s="1">
        <v>2.7170000000000001</v>
      </c>
      <c r="J40" s="1">
        <v>1.9139999999999999</v>
      </c>
      <c r="K40" s="1">
        <v>4.63</v>
      </c>
      <c r="L40" s="1" t="s">
        <v>14</v>
      </c>
    </row>
    <row r="41" spans="1:12" ht="15.75" customHeight="1" x14ac:dyDescent="0.15">
      <c r="A41" s="1">
        <v>1</v>
      </c>
      <c r="B41" s="1">
        <v>2</v>
      </c>
      <c r="C41" s="1">
        <v>6</v>
      </c>
      <c r="D41" s="1" t="s">
        <v>24</v>
      </c>
      <c r="E41" s="1">
        <v>74</v>
      </c>
      <c r="F41" s="1">
        <v>2E-3</v>
      </c>
      <c r="G41" s="1">
        <v>168266</v>
      </c>
      <c r="H41" s="1">
        <v>2.7709999999999999</v>
      </c>
      <c r="I41" s="1">
        <v>3.0150000000000001</v>
      </c>
      <c r="J41" s="1">
        <v>3.5259999999999998</v>
      </c>
      <c r="K41" s="1">
        <v>6.5410000000000004</v>
      </c>
      <c r="L41" s="1" t="s">
        <v>14</v>
      </c>
    </row>
    <row r="42" spans="1:12" ht="15.75" customHeight="1" x14ac:dyDescent="0.15">
      <c r="A42" s="1">
        <v>1</v>
      </c>
      <c r="B42" s="1">
        <v>2</v>
      </c>
      <c r="C42" s="1">
        <v>7</v>
      </c>
      <c r="D42" s="1" t="s">
        <v>24</v>
      </c>
      <c r="E42" s="1">
        <v>92</v>
      </c>
      <c r="F42" s="1">
        <v>3.0000000000000001E-3</v>
      </c>
      <c r="G42" s="1">
        <v>84922</v>
      </c>
      <c r="H42" s="1">
        <v>1.7729999999999999</v>
      </c>
      <c r="I42" s="1">
        <v>1.639</v>
      </c>
      <c r="J42" s="1">
        <v>2.1459999999999999</v>
      </c>
      <c r="K42" s="1">
        <v>3.7850000000000001</v>
      </c>
      <c r="L42" s="1" t="s">
        <v>14</v>
      </c>
    </row>
    <row r="43" spans="1:12" ht="15.75" customHeight="1" x14ac:dyDescent="0.15">
      <c r="A43" s="1">
        <v>1</v>
      </c>
      <c r="B43" s="1">
        <v>2</v>
      </c>
      <c r="C43" s="1">
        <v>8</v>
      </c>
      <c r="D43" s="1" t="s">
        <v>24</v>
      </c>
      <c r="E43" s="1">
        <v>115</v>
      </c>
      <c r="F43" s="1">
        <v>5.0000000000000001E-3</v>
      </c>
      <c r="G43" s="1">
        <v>124719</v>
      </c>
      <c r="H43" s="1">
        <v>4.95</v>
      </c>
      <c r="I43" s="1">
        <v>1.73</v>
      </c>
      <c r="J43" s="1">
        <v>5.5369999999999999</v>
      </c>
      <c r="K43" s="1">
        <v>7.266</v>
      </c>
      <c r="L43" s="1" t="s">
        <v>14</v>
      </c>
    </row>
    <row r="44" spans="1:12" ht="15.75" customHeight="1" x14ac:dyDescent="0.15">
      <c r="A44" s="1">
        <v>1</v>
      </c>
      <c r="B44" s="1">
        <v>2</v>
      </c>
      <c r="C44" s="1">
        <v>12</v>
      </c>
      <c r="D44" s="1" t="s">
        <v>24</v>
      </c>
      <c r="E44" s="1">
        <v>107</v>
      </c>
      <c r="F44" s="1">
        <v>3.0000000000000001E-3</v>
      </c>
      <c r="G44" s="1">
        <v>210972</v>
      </c>
      <c r="H44" s="1">
        <v>4.4790000000000001</v>
      </c>
      <c r="I44" s="1">
        <v>2.2269999999999999</v>
      </c>
      <c r="J44" s="1">
        <v>5.524</v>
      </c>
      <c r="K44" s="1">
        <v>7.7510000000000003</v>
      </c>
      <c r="L44" s="1" t="s">
        <v>14</v>
      </c>
    </row>
    <row r="45" spans="1:12" ht="15.75" customHeight="1" x14ac:dyDescent="0.15">
      <c r="A45" s="1">
        <v>1</v>
      </c>
      <c r="B45" s="1">
        <v>2</v>
      </c>
      <c r="C45" s="1">
        <v>13</v>
      </c>
      <c r="D45" s="1" t="s">
        <v>24</v>
      </c>
      <c r="E45" s="1">
        <v>64</v>
      </c>
      <c r="F45" s="1">
        <v>2E-3</v>
      </c>
      <c r="G45" s="1">
        <v>175170</v>
      </c>
      <c r="H45" s="1">
        <v>3.7450000000000001</v>
      </c>
      <c r="I45" s="1">
        <v>2.46</v>
      </c>
      <c r="J45" s="1">
        <v>4.633</v>
      </c>
      <c r="K45" s="1">
        <v>7.0940000000000003</v>
      </c>
      <c r="L45" s="1" t="s">
        <v>14</v>
      </c>
    </row>
    <row r="46" spans="1:12" ht="15.75" customHeight="1" x14ac:dyDescent="0.15">
      <c r="A46" s="1">
        <v>1</v>
      </c>
      <c r="B46" s="1">
        <v>2</v>
      </c>
      <c r="C46" s="1">
        <v>14</v>
      </c>
      <c r="D46" s="1" t="s">
        <v>24</v>
      </c>
      <c r="E46" s="1">
        <v>81</v>
      </c>
      <c r="F46" s="1">
        <v>2E-3</v>
      </c>
      <c r="G46" s="1">
        <v>93972</v>
      </c>
      <c r="H46" s="1">
        <v>2.177</v>
      </c>
      <c r="I46" s="1">
        <v>1.5149999999999999</v>
      </c>
      <c r="J46" s="1">
        <v>2.6190000000000002</v>
      </c>
      <c r="K46" s="1">
        <v>4.1349999999999998</v>
      </c>
      <c r="L46" s="1" t="s">
        <v>14</v>
      </c>
    </row>
    <row r="47" spans="1:12" ht="15.75" customHeight="1" x14ac:dyDescent="0.15">
      <c r="A47" s="1">
        <v>1</v>
      </c>
      <c r="B47" s="1">
        <v>2</v>
      </c>
      <c r="C47" s="1">
        <v>15</v>
      </c>
      <c r="D47" s="1" t="s">
        <v>24</v>
      </c>
      <c r="E47" s="1">
        <v>83</v>
      </c>
      <c r="F47" s="1">
        <v>2E-3</v>
      </c>
      <c r="G47" s="1">
        <v>161279</v>
      </c>
      <c r="H47" s="1">
        <v>3.246</v>
      </c>
      <c r="I47" s="1">
        <v>2.581</v>
      </c>
      <c r="J47" s="1">
        <v>4.085</v>
      </c>
      <c r="K47" s="1">
        <v>6.6660000000000004</v>
      </c>
      <c r="L47" s="1" t="s">
        <v>14</v>
      </c>
    </row>
    <row r="48" spans="1:12" ht="15.75" customHeight="1" x14ac:dyDescent="0.15">
      <c r="A48" s="1">
        <v>1</v>
      </c>
      <c r="B48" s="1">
        <v>2</v>
      </c>
      <c r="C48" s="1">
        <v>16</v>
      </c>
      <c r="D48" s="1" t="s">
        <v>24</v>
      </c>
      <c r="E48" s="1">
        <v>95</v>
      </c>
      <c r="F48" s="1">
        <v>3.0000000000000001E-3</v>
      </c>
      <c r="G48" s="1">
        <v>65103</v>
      </c>
      <c r="H48" s="1">
        <v>2.9809999999999999</v>
      </c>
      <c r="I48" s="1">
        <v>1.2</v>
      </c>
      <c r="J48" s="1">
        <v>3.2789999999999999</v>
      </c>
      <c r="K48" s="1">
        <v>4.4800000000000004</v>
      </c>
      <c r="L48" s="1" t="s">
        <v>14</v>
      </c>
    </row>
    <row r="49" spans="1:12" ht="15.75" customHeight="1" x14ac:dyDescent="0.15">
      <c r="A49" s="1">
        <v>1</v>
      </c>
      <c r="B49" s="1">
        <v>2</v>
      </c>
      <c r="C49" s="1">
        <v>17</v>
      </c>
      <c r="D49" s="1" t="s">
        <v>24</v>
      </c>
      <c r="E49" s="1">
        <v>84</v>
      </c>
      <c r="F49" s="1">
        <v>3.0000000000000001E-3</v>
      </c>
      <c r="G49" s="1">
        <v>137367</v>
      </c>
      <c r="H49" s="1">
        <v>3.6560000000000001</v>
      </c>
      <c r="I49" s="1">
        <v>1.986</v>
      </c>
      <c r="J49" s="1">
        <v>4.2789999999999999</v>
      </c>
      <c r="K49" s="1">
        <v>6.2649999999999997</v>
      </c>
      <c r="L49" s="1" t="s">
        <v>14</v>
      </c>
    </row>
    <row r="50" spans="1:12" ht="15.75" customHeight="1" x14ac:dyDescent="0.15">
      <c r="A50" s="1">
        <v>1</v>
      </c>
      <c r="B50" s="1">
        <v>2</v>
      </c>
      <c r="C50" s="1">
        <v>18</v>
      </c>
      <c r="D50" s="1" t="s">
        <v>24</v>
      </c>
      <c r="E50" s="1">
        <v>84</v>
      </c>
      <c r="F50" s="1">
        <v>3.0000000000000001E-3</v>
      </c>
      <c r="G50" s="1">
        <v>117606</v>
      </c>
      <c r="H50" s="1">
        <v>2.99</v>
      </c>
      <c r="I50" s="1">
        <v>2.472</v>
      </c>
      <c r="J50" s="1">
        <v>3.4940000000000002</v>
      </c>
      <c r="K50" s="1">
        <v>5.9660000000000002</v>
      </c>
      <c r="L50" s="1" t="s">
        <v>14</v>
      </c>
    </row>
    <row r="51" spans="1:12" ht="15.75" customHeight="1" x14ac:dyDescent="0.15">
      <c r="A51" s="1">
        <v>1</v>
      </c>
      <c r="B51" s="1">
        <v>2</v>
      </c>
      <c r="C51" s="1">
        <v>19</v>
      </c>
      <c r="D51" s="1" t="s">
        <v>24</v>
      </c>
      <c r="E51" s="1">
        <v>95</v>
      </c>
      <c r="F51" s="1">
        <v>3.0000000000000001E-3</v>
      </c>
      <c r="G51" s="1">
        <v>138701</v>
      </c>
      <c r="H51" s="1">
        <v>2.9129999999999998</v>
      </c>
      <c r="I51" s="1">
        <v>2.133</v>
      </c>
      <c r="J51" s="1">
        <v>3.56</v>
      </c>
      <c r="K51" s="1">
        <v>5.6929999999999996</v>
      </c>
      <c r="L51" s="1" t="s">
        <v>14</v>
      </c>
    </row>
    <row r="52" spans="1:12" ht="15.75" customHeight="1" x14ac:dyDescent="0.15">
      <c r="A52" s="1">
        <v>1</v>
      </c>
      <c r="B52" s="1">
        <v>2</v>
      </c>
      <c r="C52" s="1">
        <v>20</v>
      </c>
      <c r="D52" s="1" t="s">
        <v>24</v>
      </c>
      <c r="E52" s="1">
        <v>97</v>
      </c>
      <c r="F52" s="1">
        <v>3.0000000000000001E-3</v>
      </c>
      <c r="G52" s="1">
        <v>147637</v>
      </c>
      <c r="H52" s="1">
        <v>3.677</v>
      </c>
      <c r="I52" s="1">
        <v>2.177</v>
      </c>
      <c r="J52" s="1">
        <v>4.3680000000000003</v>
      </c>
      <c r="K52" s="1">
        <v>6.5460000000000003</v>
      </c>
      <c r="L52" s="1" t="s">
        <v>14</v>
      </c>
    </row>
    <row r="53" spans="1:12" ht="15.75" customHeight="1" x14ac:dyDescent="0.15">
      <c r="A53" s="1">
        <v>1</v>
      </c>
      <c r="B53" s="1">
        <v>3</v>
      </c>
      <c r="C53" s="1">
        <v>1</v>
      </c>
      <c r="D53" s="1" t="s">
        <v>24</v>
      </c>
      <c r="E53" s="1">
        <v>231</v>
      </c>
      <c r="F53" s="1">
        <v>8.0000000000000002E-3</v>
      </c>
      <c r="G53" s="1">
        <v>2006466</v>
      </c>
      <c r="H53" s="1">
        <v>57.036999999999999</v>
      </c>
      <c r="I53" s="1">
        <v>7.4560000000000004</v>
      </c>
      <c r="J53" s="1">
        <v>66.486000000000004</v>
      </c>
      <c r="K53" s="1">
        <v>73.942999999999998</v>
      </c>
      <c r="L53" s="1" t="s">
        <v>14</v>
      </c>
    </row>
    <row r="54" spans="1:12" ht="15.75" customHeight="1" x14ac:dyDescent="0.15">
      <c r="A54" s="1">
        <v>1</v>
      </c>
      <c r="B54" s="1">
        <v>3</v>
      </c>
      <c r="C54" s="1">
        <v>2</v>
      </c>
      <c r="D54" s="1" t="s">
        <v>24</v>
      </c>
      <c r="E54" s="1">
        <v>221</v>
      </c>
      <c r="F54" s="1">
        <v>6.0000000000000001E-3</v>
      </c>
      <c r="G54" s="1">
        <v>819400</v>
      </c>
      <c r="H54" s="1">
        <v>17.539000000000001</v>
      </c>
      <c r="I54" s="1">
        <v>7.4189999999999996</v>
      </c>
      <c r="J54" s="1">
        <v>20.094000000000001</v>
      </c>
      <c r="K54" s="1">
        <v>27.513000000000002</v>
      </c>
      <c r="L54" s="1" t="s">
        <v>14</v>
      </c>
    </row>
    <row r="55" spans="1:12" ht="15.75" customHeight="1" x14ac:dyDescent="0.15">
      <c r="A55" s="1">
        <v>1</v>
      </c>
      <c r="B55" s="1">
        <v>3</v>
      </c>
      <c r="C55" s="1">
        <v>3</v>
      </c>
      <c r="D55" s="1" t="s">
        <v>24</v>
      </c>
      <c r="E55" s="1">
        <v>381</v>
      </c>
      <c r="F55" s="1">
        <v>2.5000000000000001E-2</v>
      </c>
      <c r="G55" s="1">
        <v>2129959</v>
      </c>
      <c r="H55" s="1">
        <v>131.36699999999999</v>
      </c>
      <c r="I55" s="1">
        <v>6.01</v>
      </c>
      <c r="J55" s="1">
        <v>141.642</v>
      </c>
      <c r="K55" s="1">
        <v>147.65199999999999</v>
      </c>
      <c r="L55" s="1" t="s">
        <v>14</v>
      </c>
    </row>
    <row r="56" spans="1:12" ht="15.75" customHeight="1" x14ac:dyDescent="0.15">
      <c r="A56" s="1">
        <v>1</v>
      </c>
      <c r="B56" s="1">
        <v>3</v>
      </c>
      <c r="C56" s="1">
        <v>5</v>
      </c>
      <c r="D56" s="1" t="s">
        <v>24</v>
      </c>
      <c r="E56" s="1">
        <v>216</v>
      </c>
      <c r="F56" s="1">
        <v>7.0000000000000001E-3</v>
      </c>
      <c r="G56" s="1">
        <v>675802</v>
      </c>
      <c r="H56" s="1">
        <v>16.937000000000001</v>
      </c>
      <c r="I56" s="1">
        <v>4.8550000000000004</v>
      </c>
      <c r="J56" s="1">
        <v>19.786000000000001</v>
      </c>
      <c r="K56" s="1">
        <v>24.640999999999998</v>
      </c>
      <c r="L56" s="1" t="s">
        <v>14</v>
      </c>
    </row>
    <row r="57" spans="1:12" ht="15.75" customHeight="1" x14ac:dyDescent="0.15">
      <c r="A57" s="1">
        <v>1</v>
      </c>
      <c r="B57" s="1">
        <v>3</v>
      </c>
      <c r="C57" s="1">
        <v>6</v>
      </c>
      <c r="D57" s="1" t="s">
        <v>24</v>
      </c>
      <c r="E57" s="1">
        <v>213</v>
      </c>
      <c r="F57" s="1">
        <v>5.0000000000000001E-3</v>
      </c>
      <c r="G57" s="1">
        <v>1918641</v>
      </c>
      <c r="H57" s="1">
        <v>36.027999999999999</v>
      </c>
      <c r="I57" s="1">
        <v>9.2650000000000006</v>
      </c>
      <c r="J57" s="1">
        <v>45.03</v>
      </c>
      <c r="K57" s="1">
        <v>54.295999999999999</v>
      </c>
      <c r="L57" s="1" t="s">
        <v>14</v>
      </c>
    </row>
    <row r="58" spans="1:12" ht="15.75" customHeight="1" x14ac:dyDescent="0.15">
      <c r="A58" s="1">
        <v>1</v>
      </c>
      <c r="B58" s="1">
        <v>3</v>
      </c>
      <c r="C58" s="1">
        <v>7</v>
      </c>
      <c r="D58" s="1" t="s">
        <v>24</v>
      </c>
      <c r="E58" s="1">
        <v>272</v>
      </c>
      <c r="F58" s="1">
        <v>8.9999999999999993E-3</v>
      </c>
      <c r="G58" s="1">
        <v>1389688</v>
      </c>
      <c r="H58" s="1">
        <v>33.573999999999998</v>
      </c>
      <c r="I58" s="1">
        <v>6.3970000000000002</v>
      </c>
      <c r="J58" s="1">
        <v>40.023000000000003</v>
      </c>
      <c r="K58" s="1">
        <v>46.42</v>
      </c>
      <c r="L58" s="1" t="s">
        <v>14</v>
      </c>
    </row>
    <row r="59" spans="1:12" ht="15.75" customHeight="1" x14ac:dyDescent="0.15">
      <c r="A59" s="1">
        <v>1</v>
      </c>
      <c r="B59" s="1">
        <v>3</v>
      </c>
      <c r="C59" s="1">
        <v>8</v>
      </c>
      <c r="D59" s="1" t="s">
        <v>24</v>
      </c>
      <c r="E59" s="1">
        <v>364</v>
      </c>
      <c r="F59" s="1">
        <v>1.7000000000000001E-2</v>
      </c>
      <c r="G59" s="1">
        <v>1923579</v>
      </c>
      <c r="H59" s="1">
        <v>79.884</v>
      </c>
      <c r="I59" s="1">
        <v>6.5670000000000002</v>
      </c>
      <c r="J59" s="1">
        <v>88.662999999999997</v>
      </c>
      <c r="K59" s="1">
        <v>95.23</v>
      </c>
      <c r="L59" s="1" t="s">
        <v>14</v>
      </c>
    </row>
    <row r="60" spans="1:12" ht="15.75" customHeight="1" x14ac:dyDescent="0.15">
      <c r="A60" s="1">
        <v>1</v>
      </c>
      <c r="B60" s="1">
        <v>3</v>
      </c>
      <c r="C60" s="1">
        <v>12</v>
      </c>
      <c r="D60" s="1" t="s">
        <v>24</v>
      </c>
      <c r="E60" s="1">
        <v>296</v>
      </c>
      <c r="F60" s="1">
        <v>1.2E-2</v>
      </c>
      <c r="G60" s="1">
        <v>1467402</v>
      </c>
      <c r="H60" s="1">
        <v>48.030999999999999</v>
      </c>
      <c r="I60" s="1">
        <v>6.0250000000000004</v>
      </c>
      <c r="J60" s="1">
        <v>55.026000000000003</v>
      </c>
      <c r="K60" s="1">
        <v>61.05</v>
      </c>
      <c r="L60" s="1" t="s">
        <v>14</v>
      </c>
    </row>
    <row r="61" spans="1:12" ht="15.75" customHeight="1" x14ac:dyDescent="0.15">
      <c r="A61" s="1">
        <v>1</v>
      </c>
      <c r="B61" s="1">
        <v>3</v>
      </c>
      <c r="C61" s="1">
        <v>13</v>
      </c>
      <c r="D61" s="1" t="s">
        <v>24</v>
      </c>
      <c r="E61" s="1">
        <v>242</v>
      </c>
      <c r="F61" s="1">
        <v>1.0999999999999999E-2</v>
      </c>
      <c r="G61" s="1">
        <v>616612</v>
      </c>
      <c r="H61" s="1">
        <v>25.727</v>
      </c>
      <c r="I61" s="1">
        <v>3.2490000000000001</v>
      </c>
      <c r="J61" s="1">
        <v>28.195</v>
      </c>
      <c r="K61" s="1">
        <v>31.443999999999999</v>
      </c>
      <c r="L61" s="1" t="s">
        <v>14</v>
      </c>
    </row>
    <row r="62" spans="1:12" ht="15.75" customHeight="1" x14ac:dyDescent="0.15">
      <c r="A62" s="1">
        <v>1</v>
      </c>
      <c r="B62" s="1">
        <v>3</v>
      </c>
      <c r="C62" s="1">
        <v>14</v>
      </c>
      <c r="D62" s="1" t="s">
        <v>24</v>
      </c>
      <c r="E62" s="1">
        <v>219</v>
      </c>
      <c r="F62" s="1">
        <v>7.0000000000000001E-3</v>
      </c>
      <c r="G62" s="1">
        <v>1371465</v>
      </c>
      <c r="H62" s="1">
        <v>35.43</v>
      </c>
      <c r="I62" s="1">
        <v>6.5629999999999997</v>
      </c>
      <c r="J62" s="1">
        <v>42.537999999999997</v>
      </c>
      <c r="K62" s="1">
        <v>49.100999999999999</v>
      </c>
      <c r="L62" s="1" t="s">
        <v>14</v>
      </c>
    </row>
    <row r="63" spans="1:12" ht="15.75" customHeight="1" x14ac:dyDescent="0.15">
      <c r="A63" s="1">
        <v>1</v>
      </c>
      <c r="B63" s="1">
        <v>3</v>
      </c>
      <c r="C63" s="1">
        <v>15</v>
      </c>
      <c r="D63" s="1" t="s">
        <v>24</v>
      </c>
      <c r="E63" s="1">
        <v>219</v>
      </c>
      <c r="F63" s="1">
        <v>6.0000000000000001E-3</v>
      </c>
      <c r="G63" s="1">
        <v>1493304</v>
      </c>
      <c r="H63" s="1">
        <v>30.835999999999999</v>
      </c>
      <c r="I63" s="1">
        <v>6.7069999999999999</v>
      </c>
      <c r="J63" s="1">
        <v>38.255000000000003</v>
      </c>
      <c r="K63" s="1">
        <v>44.962000000000003</v>
      </c>
      <c r="L63" s="1" t="s">
        <v>14</v>
      </c>
    </row>
    <row r="64" spans="1:12" ht="15.75" customHeight="1" x14ac:dyDescent="0.15">
      <c r="A64" s="1">
        <v>1</v>
      </c>
      <c r="B64" s="1">
        <v>3</v>
      </c>
      <c r="C64" s="1">
        <v>16</v>
      </c>
      <c r="D64" s="1" t="s">
        <v>24</v>
      </c>
      <c r="E64" s="1">
        <v>302</v>
      </c>
      <c r="F64" s="1">
        <v>1.4999999999999999E-2</v>
      </c>
      <c r="G64" s="1">
        <v>407825</v>
      </c>
      <c r="H64" s="1">
        <v>21.763000000000002</v>
      </c>
      <c r="I64" s="1">
        <v>2.9260000000000002</v>
      </c>
      <c r="J64" s="1">
        <v>23.352</v>
      </c>
      <c r="K64" s="1">
        <v>26.277999999999999</v>
      </c>
      <c r="L64" s="1" t="s">
        <v>14</v>
      </c>
    </row>
    <row r="65" spans="1:12" ht="15.75" customHeight="1" x14ac:dyDescent="0.15">
      <c r="A65" s="1">
        <v>1</v>
      </c>
      <c r="B65" s="1">
        <v>3</v>
      </c>
      <c r="C65" s="1">
        <v>17</v>
      </c>
      <c r="D65" s="1" t="s">
        <v>24</v>
      </c>
      <c r="E65" s="1">
        <v>259</v>
      </c>
      <c r="F65" s="1">
        <v>0.01</v>
      </c>
      <c r="G65" s="1">
        <v>1692525</v>
      </c>
      <c r="H65" s="1">
        <v>55.252000000000002</v>
      </c>
      <c r="I65" s="1">
        <v>6.8879999999999999</v>
      </c>
      <c r="J65" s="1">
        <v>63.765999999999998</v>
      </c>
      <c r="K65" s="1">
        <v>70.653999999999996</v>
      </c>
      <c r="L65" s="1" t="s">
        <v>14</v>
      </c>
    </row>
    <row r="66" spans="1:12" ht="15.75" customHeight="1" x14ac:dyDescent="0.15">
      <c r="A66" s="1">
        <v>1</v>
      </c>
      <c r="B66" s="1">
        <v>3</v>
      </c>
      <c r="C66" s="1">
        <v>18</v>
      </c>
      <c r="D66" s="1" t="s">
        <v>24</v>
      </c>
      <c r="E66" s="1">
        <v>281</v>
      </c>
      <c r="F66" s="1">
        <v>8.0000000000000002E-3</v>
      </c>
      <c r="G66" s="1">
        <v>1735401</v>
      </c>
      <c r="H66" s="1">
        <v>40.317999999999998</v>
      </c>
      <c r="I66" s="1">
        <v>8.4280000000000008</v>
      </c>
      <c r="J66" s="1">
        <v>48.058999999999997</v>
      </c>
      <c r="K66" s="1">
        <v>56.487000000000002</v>
      </c>
      <c r="L66" s="1" t="s">
        <v>14</v>
      </c>
    </row>
    <row r="67" spans="1:12" ht="13" x14ac:dyDescent="0.15">
      <c r="A67" s="1">
        <v>1</v>
      </c>
      <c r="B67" s="1">
        <v>3</v>
      </c>
      <c r="C67" s="1">
        <v>19</v>
      </c>
      <c r="D67" s="1" t="s">
        <v>24</v>
      </c>
      <c r="E67" s="1">
        <v>282</v>
      </c>
      <c r="F67" s="1">
        <v>8.0000000000000002E-3</v>
      </c>
      <c r="G67" s="1">
        <v>1889718</v>
      </c>
      <c r="H67" s="1">
        <v>41.698</v>
      </c>
      <c r="I67" s="1">
        <v>7.1369999999999996</v>
      </c>
      <c r="J67" s="1">
        <v>50.347000000000001</v>
      </c>
      <c r="K67" s="1">
        <v>57.484000000000002</v>
      </c>
      <c r="L67" s="1" t="s">
        <v>14</v>
      </c>
    </row>
    <row r="68" spans="1:12" ht="13" x14ac:dyDescent="0.15">
      <c r="A68" s="1">
        <v>1</v>
      </c>
      <c r="B68" s="1">
        <v>3</v>
      </c>
      <c r="C68" s="1">
        <v>20</v>
      </c>
      <c r="D68" s="1" t="s">
        <v>24</v>
      </c>
      <c r="E68" s="1">
        <v>296</v>
      </c>
      <c r="F68" s="1">
        <v>0.01</v>
      </c>
      <c r="G68" s="1">
        <v>1669294</v>
      </c>
      <c r="H68" s="1">
        <v>46.337000000000003</v>
      </c>
      <c r="I68" s="1">
        <v>7.8090000000000002</v>
      </c>
      <c r="J68" s="1">
        <v>54.2</v>
      </c>
      <c r="K68" s="1">
        <v>62.01</v>
      </c>
      <c r="L68" s="1" t="s">
        <v>14</v>
      </c>
    </row>
    <row r="69" spans="1:12" ht="13" x14ac:dyDescent="0.15">
      <c r="A69" s="1">
        <v>1</v>
      </c>
      <c r="B69" s="1">
        <v>4</v>
      </c>
      <c r="C69" s="1">
        <v>1</v>
      </c>
      <c r="D69" s="1" t="s">
        <v>24</v>
      </c>
      <c r="E69" s="1">
        <v>534</v>
      </c>
      <c r="F69" s="1">
        <v>0.02</v>
      </c>
      <c r="G69" s="1">
        <v>9871278</v>
      </c>
      <c r="H69" s="1">
        <v>313.27699999999999</v>
      </c>
      <c r="I69" s="1">
        <v>15.423</v>
      </c>
      <c r="J69" s="1">
        <v>356.904</v>
      </c>
      <c r="K69" s="1">
        <v>372.327</v>
      </c>
      <c r="L69" s="1" t="s">
        <v>14</v>
      </c>
    </row>
    <row r="70" spans="1:12" ht="13" x14ac:dyDescent="0.15">
      <c r="A70" s="1">
        <v>1</v>
      </c>
      <c r="B70" s="1">
        <v>4</v>
      </c>
      <c r="C70" s="1">
        <v>2</v>
      </c>
      <c r="D70" s="1" t="s">
        <v>24</v>
      </c>
      <c r="E70" s="1">
        <v>449</v>
      </c>
      <c r="F70" s="1">
        <v>1.6E-2</v>
      </c>
      <c r="G70" s="1">
        <v>7523695</v>
      </c>
      <c r="H70" s="1">
        <v>251.94800000000001</v>
      </c>
      <c r="I70" s="1">
        <v>20.789000000000001</v>
      </c>
      <c r="J70" s="1">
        <v>284.67500000000001</v>
      </c>
      <c r="K70" s="1">
        <v>305.464</v>
      </c>
      <c r="L70" s="1" t="s">
        <v>14</v>
      </c>
    </row>
    <row r="71" spans="1:12" ht="13" x14ac:dyDescent="0.15">
      <c r="A71" s="1">
        <v>1</v>
      </c>
      <c r="B71" s="1">
        <v>4</v>
      </c>
      <c r="C71" s="1">
        <v>3</v>
      </c>
      <c r="D71" s="1" t="s">
        <v>24</v>
      </c>
      <c r="E71" s="1">
        <v>878</v>
      </c>
      <c r="F71" s="1">
        <v>0.06</v>
      </c>
      <c r="G71" s="1">
        <v>3104314</v>
      </c>
      <c r="H71" s="1">
        <v>168.917</v>
      </c>
      <c r="I71" s="1">
        <v>6.8789999999999996</v>
      </c>
      <c r="J71" s="1">
        <v>183.88300000000001</v>
      </c>
      <c r="K71" s="1">
        <v>190.761</v>
      </c>
      <c r="L71" s="1" t="s">
        <v>14</v>
      </c>
    </row>
    <row r="72" spans="1:12" ht="13" x14ac:dyDescent="0.15">
      <c r="A72" s="1">
        <v>1</v>
      </c>
      <c r="B72" s="1">
        <v>4</v>
      </c>
      <c r="C72" s="1">
        <v>5</v>
      </c>
      <c r="D72" s="1" t="s">
        <v>24</v>
      </c>
      <c r="E72" s="1">
        <v>524</v>
      </c>
      <c r="F72" s="1">
        <v>1.7000000000000001E-2</v>
      </c>
      <c r="G72" s="1">
        <v>2989539</v>
      </c>
      <c r="H72" s="1">
        <v>79.656000000000006</v>
      </c>
      <c r="I72" s="1">
        <v>11.151999999999999</v>
      </c>
      <c r="J72" s="1">
        <v>88.665000000000006</v>
      </c>
      <c r="K72" s="1">
        <v>99.816999999999993</v>
      </c>
      <c r="L72" s="1" t="s">
        <v>14</v>
      </c>
    </row>
    <row r="73" spans="1:12" ht="13" x14ac:dyDescent="0.15">
      <c r="A73" s="1">
        <v>1</v>
      </c>
      <c r="B73" s="1">
        <v>4</v>
      </c>
      <c r="C73" s="1">
        <v>6</v>
      </c>
      <c r="D73" s="1" t="s">
        <v>24</v>
      </c>
      <c r="E73" s="1">
        <v>555</v>
      </c>
      <c r="F73" s="1">
        <v>1.6E-2</v>
      </c>
      <c r="G73" s="1">
        <v>12402094</v>
      </c>
      <c r="H73" s="1">
        <v>268.23099999999999</v>
      </c>
      <c r="I73" s="1">
        <v>22.721</v>
      </c>
      <c r="J73" s="1">
        <v>327.61099999999999</v>
      </c>
      <c r="K73" s="1">
        <v>350.33199999999999</v>
      </c>
      <c r="L73" s="1" t="s">
        <v>14</v>
      </c>
    </row>
    <row r="74" spans="1:12" ht="13" x14ac:dyDescent="0.15">
      <c r="A74" s="1">
        <v>1</v>
      </c>
      <c r="B74" s="1">
        <v>4</v>
      </c>
      <c r="C74" s="1">
        <v>7</v>
      </c>
      <c r="D74" s="1" t="s">
        <v>24</v>
      </c>
      <c r="E74" s="1">
        <v>643</v>
      </c>
      <c r="F74" s="1">
        <v>3.4000000000000002E-2</v>
      </c>
      <c r="G74" s="1">
        <v>10852770</v>
      </c>
      <c r="H74" s="1">
        <v>496.416</v>
      </c>
      <c r="I74" s="1">
        <v>17.071000000000002</v>
      </c>
      <c r="J74" s="1">
        <v>544.56799999999998</v>
      </c>
      <c r="K74" s="1">
        <v>561.63900000000001</v>
      </c>
      <c r="L74" s="1" t="s">
        <v>14</v>
      </c>
    </row>
    <row r="75" spans="1:12" ht="13" x14ac:dyDescent="0.15">
      <c r="A75" s="1">
        <v>1</v>
      </c>
      <c r="B75" s="1">
        <v>4</v>
      </c>
      <c r="C75" s="1">
        <v>8</v>
      </c>
      <c r="D75" s="1" t="s">
        <v>24</v>
      </c>
      <c r="E75" s="1">
        <v>771</v>
      </c>
      <c r="F75" s="1">
        <v>5.3999999999999999E-2</v>
      </c>
      <c r="G75" s="1">
        <v>10144731</v>
      </c>
      <c r="H75" s="1">
        <v>657.98900000000003</v>
      </c>
      <c r="I75" s="1">
        <v>14.279</v>
      </c>
      <c r="J75" s="1">
        <v>707.54700000000003</v>
      </c>
      <c r="K75" s="1">
        <v>721.82500000000005</v>
      </c>
      <c r="L75" s="1" t="s">
        <v>14</v>
      </c>
    </row>
    <row r="76" spans="1:12" ht="13" x14ac:dyDescent="0.15">
      <c r="A76" s="1">
        <v>1</v>
      </c>
      <c r="B76" s="1">
        <v>4</v>
      </c>
      <c r="C76" s="1">
        <v>12</v>
      </c>
      <c r="D76" s="1" t="s">
        <v>24</v>
      </c>
      <c r="E76" s="1">
        <v>729</v>
      </c>
      <c r="F76" s="1">
        <v>0.04</v>
      </c>
      <c r="G76" s="1">
        <v>9958313</v>
      </c>
      <c r="H76" s="1">
        <v>472.95100000000002</v>
      </c>
      <c r="I76" s="1">
        <v>14.901</v>
      </c>
      <c r="J76" s="1">
        <v>519.60400000000004</v>
      </c>
      <c r="K76" s="1">
        <v>534.505</v>
      </c>
      <c r="L76" s="1" t="s">
        <v>14</v>
      </c>
    </row>
    <row r="77" spans="1:12" ht="13" x14ac:dyDescent="0.15">
      <c r="A77" s="1">
        <v>1</v>
      </c>
      <c r="B77" s="1">
        <v>4</v>
      </c>
      <c r="C77" s="1">
        <v>13</v>
      </c>
      <c r="D77" s="1" t="s">
        <v>24</v>
      </c>
      <c r="E77" s="1">
        <v>550</v>
      </c>
      <c r="F77" s="1">
        <v>2.5000000000000001E-2</v>
      </c>
      <c r="G77" s="1">
        <v>2330484</v>
      </c>
      <c r="H77" s="1">
        <v>97.87</v>
      </c>
      <c r="I77" s="1">
        <v>7.4059999999999997</v>
      </c>
      <c r="J77" s="1">
        <v>107.89400000000001</v>
      </c>
      <c r="K77" s="1">
        <v>115.3</v>
      </c>
      <c r="L77" s="1" t="s">
        <v>14</v>
      </c>
    </row>
    <row r="78" spans="1:12" ht="13" x14ac:dyDescent="0.15">
      <c r="A78" s="1">
        <v>1</v>
      </c>
      <c r="B78" s="1">
        <v>4</v>
      </c>
      <c r="C78" s="1">
        <v>14</v>
      </c>
      <c r="D78" s="1" t="s">
        <v>24</v>
      </c>
      <c r="E78" s="1">
        <v>599</v>
      </c>
      <c r="F78" s="1">
        <v>2.5000000000000001E-2</v>
      </c>
      <c r="G78" s="1">
        <v>11919880</v>
      </c>
      <c r="H78" s="1">
        <v>428.68</v>
      </c>
      <c r="I78" s="1">
        <v>17.917000000000002</v>
      </c>
      <c r="J78" s="1">
        <v>488.06</v>
      </c>
      <c r="K78" s="1">
        <v>505.97800000000001</v>
      </c>
      <c r="L78" s="1" t="s">
        <v>14</v>
      </c>
    </row>
    <row r="79" spans="1:12" ht="13" x14ac:dyDescent="0.15">
      <c r="A79" s="1">
        <v>1</v>
      </c>
      <c r="B79" s="1">
        <v>4</v>
      </c>
      <c r="C79" s="1">
        <v>15</v>
      </c>
      <c r="D79" s="1" t="s">
        <v>24</v>
      </c>
      <c r="E79" s="1">
        <v>454</v>
      </c>
      <c r="F79" s="1">
        <v>1.4999999999999999E-2</v>
      </c>
      <c r="G79" s="1">
        <v>7598429</v>
      </c>
      <c r="H79" s="1">
        <v>188.99100000000001</v>
      </c>
      <c r="I79" s="1">
        <v>16.277999999999999</v>
      </c>
      <c r="J79" s="1">
        <v>225.017</v>
      </c>
      <c r="K79" s="1">
        <v>241.29499999999999</v>
      </c>
      <c r="L79" s="1" t="s">
        <v>14</v>
      </c>
    </row>
    <row r="80" spans="1:12" ht="13" x14ac:dyDescent="0.15">
      <c r="A80" s="1">
        <v>1</v>
      </c>
      <c r="B80" s="1">
        <v>4</v>
      </c>
      <c r="C80" s="1">
        <v>16</v>
      </c>
      <c r="D80" s="1" t="s">
        <v>24</v>
      </c>
      <c r="E80" s="1">
        <v>761</v>
      </c>
      <c r="F80" s="1">
        <v>4.8000000000000001E-2</v>
      </c>
      <c r="G80" s="1">
        <v>2624173</v>
      </c>
      <c r="H80" s="1">
        <v>163.43700000000001</v>
      </c>
      <c r="I80" s="1">
        <v>6.9619999999999997</v>
      </c>
      <c r="J80" s="1">
        <v>176.50200000000001</v>
      </c>
      <c r="K80" s="1">
        <v>183.46299999999999</v>
      </c>
      <c r="L80" s="1" t="s">
        <v>14</v>
      </c>
    </row>
    <row r="81" spans="1:26" ht="13" x14ac:dyDescent="0.15">
      <c r="A81" s="1">
        <v>1</v>
      </c>
      <c r="B81" s="1">
        <v>4</v>
      </c>
      <c r="C81" s="1">
        <v>18</v>
      </c>
      <c r="D81" s="1" t="s">
        <v>24</v>
      </c>
      <c r="E81" s="1">
        <v>737</v>
      </c>
      <c r="F81" s="1">
        <v>2.5999999999999999E-2</v>
      </c>
      <c r="G81" s="1">
        <v>14718525</v>
      </c>
      <c r="H81" s="1">
        <v>437.49299999999999</v>
      </c>
      <c r="I81" s="1">
        <v>21.47</v>
      </c>
      <c r="J81" s="1">
        <v>506.22500000000002</v>
      </c>
      <c r="K81" s="1">
        <v>527.69500000000005</v>
      </c>
      <c r="L81" s="1" t="s">
        <v>14</v>
      </c>
    </row>
    <row r="82" spans="1:26" ht="13" x14ac:dyDescent="0.15">
      <c r="A82" s="1">
        <v>1</v>
      </c>
      <c r="B82" s="1">
        <v>4</v>
      </c>
      <c r="C82" s="1">
        <v>20</v>
      </c>
      <c r="D82" s="1" t="s">
        <v>24</v>
      </c>
      <c r="E82" s="1">
        <v>571</v>
      </c>
      <c r="F82" s="1">
        <v>2.1000000000000001E-2</v>
      </c>
      <c r="G82" s="1">
        <v>11185287</v>
      </c>
      <c r="H82" s="1">
        <v>375.09699999999998</v>
      </c>
      <c r="I82" s="1">
        <v>21.39</v>
      </c>
      <c r="J82" s="1">
        <v>426.14699999999999</v>
      </c>
      <c r="K82" s="1">
        <v>447.53699999999998</v>
      </c>
      <c r="L82" s="1" t="s">
        <v>14</v>
      </c>
    </row>
    <row r="83" spans="1:26" ht="13" x14ac:dyDescent="0.15">
      <c r="A83" s="5">
        <v>1</v>
      </c>
      <c r="B83" s="5">
        <v>5</v>
      </c>
      <c r="C83" s="5">
        <v>1</v>
      </c>
      <c r="D83" s="6" t="s">
        <v>24</v>
      </c>
      <c r="E83" s="5">
        <v>1378</v>
      </c>
      <c r="F83" s="5">
        <v>0.14199999999999999</v>
      </c>
      <c r="G83" s="5">
        <v>50110154</v>
      </c>
      <c r="H83" s="5">
        <v>1784.203</v>
      </c>
      <c r="I83" s="5">
        <v>33.5</v>
      </c>
      <c r="J83" s="5">
        <v>2014.1379999999999</v>
      </c>
      <c r="K83" s="5">
        <v>2047.652</v>
      </c>
      <c r="L83" s="6" t="s">
        <v>14</v>
      </c>
    </row>
    <row r="84" spans="1:26" ht="13" x14ac:dyDescent="0.15">
      <c r="A84" s="5">
        <v>1</v>
      </c>
      <c r="B84" s="5">
        <v>5</v>
      </c>
      <c r="C84" s="5">
        <v>2</v>
      </c>
      <c r="D84" s="6" t="s">
        <v>24</v>
      </c>
      <c r="E84" s="5">
        <v>1004</v>
      </c>
      <c r="F84" s="5">
        <v>4.8000000000000001E-2</v>
      </c>
      <c r="G84" s="5">
        <v>38185496</v>
      </c>
      <c r="H84" s="5">
        <v>1670.18</v>
      </c>
      <c r="I84" s="5">
        <v>43.302999999999997</v>
      </c>
      <c r="J84" s="5">
        <v>1844.8610000000001</v>
      </c>
      <c r="K84" s="5">
        <v>1888.165</v>
      </c>
      <c r="L84" s="6" t="s">
        <v>14</v>
      </c>
    </row>
    <row r="85" spans="1:26" ht="13" x14ac:dyDescent="0.15">
      <c r="A85" s="5">
        <v>1</v>
      </c>
      <c r="B85" s="5">
        <v>5</v>
      </c>
      <c r="C85" s="5">
        <v>3</v>
      </c>
      <c r="D85" s="6" t="s">
        <v>24</v>
      </c>
      <c r="E85" s="5">
        <v>1779</v>
      </c>
      <c r="F85" s="5">
        <v>0.157</v>
      </c>
      <c r="G85" s="5">
        <v>10762090</v>
      </c>
      <c r="H85" s="5">
        <v>623.45100000000002</v>
      </c>
      <c r="I85" s="5">
        <v>12.927</v>
      </c>
      <c r="J85" s="5">
        <v>661.851</v>
      </c>
      <c r="K85" s="5">
        <v>674.79100000000005</v>
      </c>
      <c r="L85" s="6" t="s">
        <v>14</v>
      </c>
    </row>
    <row r="86" spans="1:26" ht="13" x14ac:dyDescent="0.15">
      <c r="A86" s="5">
        <v>1</v>
      </c>
      <c r="B86" s="5">
        <v>5</v>
      </c>
      <c r="C86" s="5">
        <v>5</v>
      </c>
      <c r="D86" s="6" t="s">
        <v>24</v>
      </c>
      <c r="E86" s="5">
        <v>1216</v>
      </c>
      <c r="F86" s="5">
        <v>4.5999999999999999E-2</v>
      </c>
      <c r="G86" s="5">
        <v>13532634</v>
      </c>
      <c r="H86" s="5">
        <v>417.21600000000001</v>
      </c>
      <c r="I86" s="5">
        <v>21.029</v>
      </c>
      <c r="J86" s="5">
        <v>475.16</v>
      </c>
      <c r="K86" s="5">
        <v>496.18900000000002</v>
      </c>
      <c r="L86" s="6" t="s">
        <v>14</v>
      </c>
    </row>
    <row r="87" spans="1:26" ht="13" x14ac:dyDescent="0.15">
      <c r="A87" s="5">
        <v>1</v>
      </c>
      <c r="B87" s="5">
        <v>5</v>
      </c>
      <c r="C87" s="5">
        <v>6</v>
      </c>
      <c r="D87" s="6" t="s">
        <v>24</v>
      </c>
      <c r="E87" s="5">
        <v>1259</v>
      </c>
      <c r="F87" s="5">
        <v>4.3999999999999997E-2</v>
      </c>
      <c r="G87" s="5">
        <v>51926183</v>
      </c>
      <c r="H87" s="5">
        <v>1521.739</v>
      </c>
      <c r="I87" s="5">
        <v>40.930999999999997</v>
      </c>
      <c r="J87" s="5">
        <v>1770.1949999999999</v>
      </c>
      <c r="K87" s="5">
        <v>1811.126</v>
      </c>
      <c r="L87" s="6" t="s">
        <v>14</v>
      </c>
    </row>
    <row r="88" spans="1:26" ht="13" x14ac:dyDescent="0.15">
      <c r="A88" s="5">
        <v>1</v>
      </c>
      <c r="B88" s="5">
        <v>5</v>
      </c>
      <c r="C88" s="5">
        <v>7</v>
      </c>
      <c r="D88" s="6" t="s">
        <v>24</v>
      </c>
      <c r="E88" s="5">
        <v>1407</v>
      </c>
      <c r="F88" s="5">
        <v>7.0999999999999994E-2</v>
      </c>
      <c r="G88" s="5">
        <v>30697413</v>
      </c>
      <c r="H88" s="5">
        <v>1283.4749999999999</v>
      </c>
      <c r="I88" s="5">
        <v>26.494</v>
      </c>
      <c r="J88" s="5">
        <v>1413.28</v>
      </c>
      <c r="K88" s="5">
        <v>1439.798</v>
      </c>
      <c r="L88" s="6" t="s">
        <v>14</v>
      </c>
    </row>
    <row r="89" spans="1:26" ht="13" x14ac:dyDescent="0.15">
      <c r="A89" s="2">
        <v>2</v>
      </c>
      <c r="B89" s="2">
        <v>1</v>
      </c>
      <c r="C89" s="2">
        <v>9</v>
      </c>
      <c r="D89" s="2" t="s">
        <v>25</v>
      </c>
      <c r="E89" s="2">
        <v>119</v>
      </c>
      <c r="F89" s="2">
        <v>8.0000000000000002E-3</v>
      </c>
      <c r="G89" s="2">
        <v>268630</v>
      </c>
      <c r="H89" s="2">
        <v>20.027000000000001</v>
      </c>
      <c r="I89" s="2">
        <v>2.1789999999999998</v>
      </c>
      <c r="J89" s="2">
        <v>21.347000000000001</v>
      </c>
      <c r="K89" s="2">
        <v>23.527000000000001</v>
      </c>
      <c r="L89" s="2" t="s">
        <v>14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>
        <v>2</v>
      </c>
      <c r="B90" s="2">
        <v>1</v>
      </c>
      <c r="C90" s="2">
        <v>10</v>
      </c>
      <c r="D90" s="2" t="s">
        <v>17</v>
      </c>
      <c r="E90" s="2">
        <v>131</v>
      </c>
      <c r="F90" s="2">
        <v>7.0000000000000001E-3</v>
      </c>
      <c r="G90" s="2">
        <v>311688</v>
      </c>
      <c r="H90" s="2">
        <v>14.923999999999999</v>
      </c>
      <c r="I90" s="2">
        <v>2.77</v>
      </c>
      <c r="J90" s="2">
        <v>16.431000000000001</v>
      </c>
      <c r="K90" s="2">
        <v>19.202000000000002</v>
      </c>
      <c r="L90" s="2" t="s">
        <v>14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>
        <v>2</v>
      </c>
      <c r="B91" s="2">
        <v>1</v>
      </c>
      <c r="C91" s="2">
        <v>19</v>
      </c>
      <c r="D91" s="2" t="s">
        <v>26</v>
      </c>
      <c r="E91" s="2">
        <v>95</v>
      </c>
      <c r="F91" s="2">
        <v>7.0000000000000001E-3</v>
      </c>
      <c r="G91" s="2">
        <v>160615</v>
      </c>
      <c r="H91" s="2">
        <v>11.49</v>
      </c>
      <c r="I91" s="2">
        <v>2.3860000000000001</v>
      </c>
      <c r="J91" s="2">
        <v>12.265000000000001</v>
      </c>
      <c r="K91" s="2">
        <v>14.651</v>
      </c>
      <c r="L91" s="2" t="s">
        <v>14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>
        <v>2</v>
      </c>
      <c r="B92" s="2">
        <v>2</v>
      </c>
      <c r="C92" s="2">
        <v>4</v>
      </c>
      <c r="D92" s="2" t="s">
        <v>19</v>
      </c>
      <c r="E92" s="2">
        <v>314</v>
      </c>
      <c r="F92" s="2">
        <v>2.5999999999999999E-2</v>
      </c>
      <c r="G92" s="2">
        <v>2869177</v>
      </c>
      <c r="H92" s="2">
        <v>221.72900000000001</v>
      </c>
      <c r="I92" s="2">
        <v>9.2720000000000002</v>
      </c>
      <c r="J92" s="2">
        <v>235.994</v>
      </c>
      <c r="K92" s="2">
        <v>245.26599999999999</v>
      </c>
      <c r="L92" s="2" t="s">
        <v>14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>
        <v>2</v>
      </c>
      <c r="B93" s="2">
        <v>2</v>
      </c>
      <c r="C93" s="2">
        <v>7</v>
      </c>
      <c r="D93" s="2" t="s">
        <v>27</v>
      </c>
      <c r="E93" s="2">
        <v>272</v>
      </c>
      <c r="F93" s="2">
        <v>1.2999999999999999E-2</v>
      </c>
      <c r="G93" s="2">
        <v>2185889</v>
      </c>
      <c r="H93" s="2">
        <v>102.379</v>
      </c>
      <c r="I93" s="2">
        <v>8.5719999999999992</v>
      </c>
      <c r="J93" s="2">
        <v>112.562</v>
      </c>
      <c r="K93" s="2">
        <v>121.134</v>
      </c>
      <c r="L93" s="2" t="s">
        <v>14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>
        <v>2</v>
      </c>
      <c r="B94" s="2">
        <v>2</v>
      </c>
      <c r="C94" s="2">
        <v>9</v>
      </c>
      <c r="D94" s="2" t="s">
        <v>25</v>
      </c>
      <c r="E94" s="2">
        <v>379</v>
      </c>
      <c r="F94" s="2">
        <v>3.4000000000000002E-2</v>
      </c>
      <c r="G94" s="2">
        <v>3418497</v>
      </c>
      <c r="H94" s="2">
        <v>294.69900000000001</v>
      </c>
      <c r="I94" s="2">
        <v>7.4470000000000001</v>
      </c>
      <c r="J94" s="2">
        <v>310.97500000000002</v>
      </c>
      <c r="K94" s="2">
        <v>318.42099999999999</v>
      </c>
      <c r="L94" s="2" t="s">
        <v>14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>
        <v>2</v>
      </c>
      <c r="B95" s="2">
        <v>2</v>
      </c>
      <c r="C95" s="2">
        <v>10</v>
      </c>
      <c r="D95" s="2" t="s">
        <v>20</v>
      </c>
      <c r="E95" s="2">
        <v>358</v>
      </c>
      <c r="F95" s="2">
        <v>1.7000000000000001E-2</v>
      </c>
      <c r="G95" s="2">
        <v>3474506</v>
      </c>
      <c r="H95" s="2">
        <v>156.09700000000001</v>
      </c>
      <c r="I95" s="2">
        <v>10.019</v>
      </c>
      <c r="J95" s="2">
        <v>172.72200000000001</v>
      </c>
      <c r="K95" s="2">
        <v>182.74100000000001</v>
      </c>
      <c r="L95" s="2" t="s">
        <v>14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>
        <v>2</v>
      </c>
      <c r="B96" s="2">
        <v>2</v>
      </c>
      <c r="C96" s="2">
        <v>13</v>
      </c>
      <c r="D96" s="2" t="s">
        <v>28</v>
      </c>
      <c r="E96" s="2">
        <v>242</v>
      </c>
      <c r="F96" s="2">
        <v>1.7999999999999999E-2</v>
      </c>
      <c r="G96" s="2">
        <v>943620</v>
      </c>
      <c r="H96" s="2">
        <v>69.212000000000003</v>
      </c>
      <c r="I96" s="2">
        <v>4.5510000000000002</v>
      </c>
      <c r="J96" s="2">
        <v>73.45</v>
      </c>
      <c r="K96" s="2">
        <v>78.001000000000005</v>
      </c>
      <c r="L96" s="2" t="s">
        <v>14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>
        <v>2</v>
      </c>
      <c r="B97" s="2">
        <v>2</v>
      </c>
      <c r="C97" s="2">
        <v>19</v>
      </c>
      <c r="D97" s="2" t="s">
        <v>29</v>
      </c>
      <c r="E97" s="2">
        <v>282</v>
      </c>
      <c r="F97" s="2">
        <v>1.6E-2</v>
      </c>
      <c r="G97" s="2">
        <v>2275708</v>
      </c>
      <c r="H97" s="2">
        <v>128.584</v>
      </c>
      <c r="I97" s="2">
        <v>8.51</v>
      </c>
      <c r="J97" s="2">
        <v>138.99100000000001</v>
      </c>
      <c r="K97" s="2">
        <v>147.501</v>
      </c>
      <c r="L97" s="2" t="s">
        <v>14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>
        <v>2</v>
      </c>
      <c r="B98" s="2">
        <v>3</v>
      </c>
      <c r="C98" s="2">
        <v>4</v>
      </c>
      <c r="D98" s="2" t="s">
        <v>19</v>
      </c>
      <c r="E98" s="2">
        <v>678</v>
      </c>
      <c r="F98" s="2">
        <v>4.9000000000000002E-2</v>
      </c>
      <c r="G98" s="2">
        <v>17029110</v>
      </c>
      <c r="H98" s="2">
        <v>1338.758</v>
      </c>
      <c r="I98" s="2">
        <v>24.123999999999999</v>
      </c>
      <c r="J98" s="2">
        <v>1420.325</v>
      </c>
      <c r="K98" s="2">
        <v>1444.4490000000001</v>
      </c>
      <c r="L98" s="2" t="s">
        <v>14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>
        <v>2</v>
      </c>
      <c r="B99" s="2">
        <v>3</v>
      </c>
      <c r="C99" s="2">
        <v>7</v>
      </c>
      <c r="D99" s="2" t="s">
        <v>27</v>
      </c>
      <c r="E99" s="2">
        <v>643</v>
      </c>
      <c r="F99" s="2">
        <v>0.04</v>
      </c>
      <c r="G99" s="2">
        <v>16438191</v>
      </c>
      <c r="H99" s="2">
        <v>932.75900000000001</v>
      </c>
      <c r="I99" s="2">
        <v>22.3</v>
      </c>
      <c r="J99" s="2">
        <v>1004.864</v>
      </c>
      <c r="K99" s="2">
        <v>1027.164</v>
      </c>
      <c r="L99" s="2" t="s">
        <v>14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>
        <v>2</v>
      </c>
      <c r="B100" s="2">
        <v>3</v>
      </c>
      <c r="C100" s="2">
        <v>9</v>
      </c>
      <c r="D100" s="2" t="s">
        <v>25</v>
      </c>
      <c r="E100" s="2">
        <v>761</v>
      </c>
      <c r="F100" s="2">
        <v>6.7000000000000004E-2</v>
      </c>
      <c r="G100" s="2">
        <v>16442791</v>
      </c>
      <c r="H100" s="2">
        <v>1331.7049999999999</v>
      </c>
      <c r="I100" s="2">
        <v>18.338999999999999</v>
      </c>
      <c r="J100" s="2">
        <v>1414.519</v>
      </c>
      <c r="K100" s="2">
        <v>1432.8579999999999</v>
      </c>
      <c r="L100" s="2" t="s">
        <v>14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>
        <v>2</v>
      </c>
      <c r="B101" s="2">
        <v>3</v>
      </c>
      <c r="C101" s="2">
        <v>10</v>
      </c>
      <c r="D101" s="2" t="s">
        <v>20</v>
      </c>
      <c r="E101" s="2">
        <v>814</v>
      </c>
      <c r="F101" s="2">
        <v>4.3999999999999997E-2</v>
      </c>
      <c r="G101" s="2">
        <v>18360300</v>
      </c>
      <c r="H101" s="2">
        <v>869.66</v>
      </c>
      <c r="I101" s="2">
        <v>22.123999999999999</v>
      </c>
      <c r="J101" s="2">
        <v>951.15499999999997</v>
      </c>
      <c r="K101" s="2">
        <v>973.279</v>
      </c>
      <c r="L101" s="2" t="s">
        <v>14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>
        <v>2</v>
      </c>
      <c r="B102" s="2">
        <v>3</v>
      </c>
      <c r="C102" s="2">
        <v>13</v>
      </c>
      <c r="D102" s="2" t="s">
        <v>28</v>
      </c>
      <c r="E102" s="2">
        <v>550</v>
      </c>
      <c r="F102" s="2">
        <v>3.3000000000000002E-2</v>
      </c>
      <c r="G102" s="2">
        <v>4060618</v>
      </c>
      <c r="H102" s="2">
        <v>277.45800000000003</v>
      </c>
      <c r="I102" s="2">
        <v>10.465</v>
      </c>
      <c r="J102" s="2">
        <v>295.60300000000001</v>
      </c>
      <c r="K102" s="2">
        <v>306.06900000000002</v>
      </c>
      <c r="L102" s="2" t="s">
        <v>14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>
        <v>2</v>
      </c>
      <c r="B103" s="2">
        <v>3</v>
      </c>
      <c r="C103" s="2">
        <v>14</v>
      </c>
      <c r="D103" s="2" t="s">
        <v>30</v>
      </c>
      <c r="E103" s="2">
        <v>599</v>
      </c>
      <c r="F103" s="2">
        <v>0.04</v>
      </c>
      <c r="G103" s="2">
        <v>11932600</v>
      </c>
      <c r="H103" s="2">
        <v>757.00099999999998</v>
      </c>
      <c r="I103" s="2">
        <v>18.766999999999999</v>
      </c>
      <c r="J103" s="2">
        <v>817.90499999999997</v>
      </c>
      <c r="K103" s="2">
        <v>836.67200000000003</v>
      </c>
      <c r="L103" s="2" t="s">
        <v>14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>
        <v>2</v>
      </c>
      <c r="B104" s="2">
        <v>3</v>
      </c>
      <c r="C104" s="2">
        <v>17</v>
      </c>
      <c r="D104" s="2" t="s">
        <v>21</v>
      </c>
      <c r="E104" s="2">
        <v>661</v>
      </c>
      <c r="F104" s="2">
        <v>3.9E-2</v>
      </c>
      <c r="G104" s="2">
        <v>15682833</v>
      </c>
      <c r="H104" s="2">
        <v>869.92600000000004</v>
      </c>
      <c r="I104" s="2">
        <v>22.018000000000001</v>
      </c>
      <c r="J104" s="2">
        <v>948.07600000000002</v>
      </c>
      <c r="K104" s="2">
        <v>970.09500000000003</v>
      </c>
      <c r="L104" s="2" t="s">
        <v>14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>
        <v>2</v>
      </c>
      <c r="B105" s="2">
        <v>3</v>
      </c>
      <c r="C105" s="2">
        <v>19</v>
      </c>
      <c r="D105" s="2" t="s">
        <v>22</v>
      </c>
      <c r="E105" s="2">
        <v>702</v>
      </c>
      <c r="F105" s="2">
        <v>3.6999999999999998E-2</v>
      </c>
      <c r="G105" s="2">
        <v>7526611</v>
      </c>
      <c r="H105" s="2">
        <v>354.24099999999999</v>
      </c>
      <c r="I105" s="2">
        <v>12.672000000000001</v>
      </c>
      <c r="J105" s="2">
        <v>387.07499999999999</v>
      </c>
      <c r="K105" s="2">
        <v>399.74700000000001</v>
      </c>
      <c r="L105" s="2" t="s">
        <v>14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3">
        <v>2</v>
      </c>
      <c r="B106" s="3">
        <v>4</v>
      </c>
      <c r="C106" s="3">
        <v>4</v>
      </c>
      <c r="D106" s="4" t="s">
        <v>23</v>
      </c>
      <c r="E106" s="3">
        <v>1380</v>
      </c>
      <c r="F106" s="3">
        <v>0.2</v>
      </c>
      <c r="G106" s="3">
        <v>69541012</v>
      </c>
      <c r="H106" s="3">
        <v>5071.6440000000002</v>
      </c>
      <c r="I106" s="3">
        <v>46.73</v>
      </c>
      <c r="J106" s="3">
        <v>5413.96</v>
      </c>
      <c r="K106" s="3">
        <v>5460.7120000000004</v>
      </c>
      <c r="L106" s="4" t="s">
        <v>14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1">
        <v>2</v>
      </c>
      <c r="B107" s="1">
        <v>1</v>
      </c>
      <c r="C107" s="1">
        <v>1</v>
      </c>
      <c r="D107" s="1" t="s">
        <v>24</v>
      </c>
      <c r="E107" s="1">
        <v>84</v>
      </c>
      <c r="F107" s="1">
        <v>4.0000000000000001E-3</v>
      </c>
      <c r="G107" s="1">
        <v>159536</v>
      </c>
      <c r="H107" s="1">
        <v>8.8550000000000004</v>
      </c>
      <c r="I107" s="1">
        <v>2.0950000000000002</v>
      </c>
      <c r="J107" s="1">
        <v>9.5389999999999997</v>
      </c>
      <c r="K107" s="1">
        <v>11.634</v>
      </c>
      <c r="L107" s="1" t="s">
        <v>14</v>
      </c>
    </row>
    <row r="108" spans="1:26" ht="13" x14ac:dyDescent="0.15">
      <c r="A108" s="1">
        <v>2</v>
      </c>
      <c r="B108" s="1">
        <v>1</v>
      </c>
      <c r="C108" s="1">
        <v>2</v>
      </c>
      <c r="D108" s="1" t="s">
        <v>24</v>
      </c>
      <c r="E108" s="1">
        <v>93</v>
      </c>
      <c r="F108" s="1">
        <v>3.0000000000000001E-3</v>
      </c>
      <c r="G108" s="1">
        <v>133523</v>
      </c>
      <c r="H108" s="1">
        <v>2.87</v>
      </c>
      <c r="I108" s="1">
        <v>2.5129999999999999</v>
      </c>
      <c r="J108" s="1">
        <v>3.4169999999999998</v>
      </c>
      <c r="K108" s="1">
        <v>5.93</v>
      </c>
      <c r="L108" s="1" t="s">
        <v>14</v>
      </c>
    </row>
    <row r="109" spans="1:26" ht="13" x14ac:dyDescent="0.15">
      <c r="A109" s="1">
        <v>2</v>
      </c>
      <c r="B109" s="1">
        <v>1</v>
      </c>
      <c r="C109" s="1">
        <v>3</v>
      </c>
      <c r="D109" s="1" t="s">
        <v>24</v>
      </c>
      <c r="E109" s="1">
        <v>130</v>
      </c>
      <c r="F109" s="1">
        <v>8.0000000000000002E-3</v>
      </c>
      <c r="G109" s="1">
        <v>181471</v>
      </c>
      <c r="H109" s="1">
        <v>11.898</v>
      </c>
      <c r="I109" s="1">
        <v>1.8180000000000001</v>
      </c>
      <c r="J109" s="1">
        <v>12.76</v>
      </c>
      <c r="K109" s="1">
        <v>14.577999999999999</v>
      </c>
      <c r="L109" s="1" t="s">
        <v>14</v>
      </c>
    </row>
    <row r="110" spans="1:26" ht="13" x14ac:dyDescent="0.15">
      <c r="A110" s="1">
        <v>2</v>
      </c>
      <c r="B110" s="1">
        <v>1</v>
      </c>
      <c r="C110" s="1">
        <v>4</v>
      </c>
      <c r="D110" s="1" t="s">
        <v>24</v>
      </c>
      <c r="E110" s="1">
        <v>102</v>
      </c>
      <c r="F110" s="1">
        <v>2E-3</v>
      </c>
      <c r="G110" s="1">
        <v>153442</v>
      </c>
      <c r="H110" s="1">
        <v>2.504</v>
      </c>
      <c r="I110" s="1">
        <v>2.044</v>
      </c>
      <c r="J110" s="1">
        <v>3.218</v>
      </c>
      <c r="K110" s="1">
        <v>5.2619999999999996</v>
      </c>
      <c r="L110" s="1" t="s">
        <v>14</v>
      </c>
    </row>
    <row r="111" spans="1:26" ht="13" x14ac:dyDescent="0.15">
      <c r="A111" s="1">
        <v>2</v>
      </c>
      <c r="B111" s="1">
        <v>1</v>
      </c>
      <c r="C111" s="1">
        <v>5</v>
      </c>
      <c r="D111" s="1" t="s">
        <v>24</v>
      </c>
      <c r="E111" s="1">
        <v>63</v>
      </c>
      <c r="F111" s="1">
        <v>1E-3</v>
      </c>
      <c r="G111" s="1">
        <v>106415</v>
      </c>
      <c r="H111" s="1">
        <v>1.7150000000000001</v>
      </c>
      <c r="I111" s="1">
        <v>2.8679999999999999</v>
      </c>
      <c r="J111" s="1">
        <v>2.1869999999999998</v>
      </c>
      <c r="K111" s="1">
        <v>5.0549999999999997</v>
      </c>
      <c r="L111" s="1" t="s">
        <v>14</v>
      </c>
    </row>
    <row r="112" spans="1:26" ht="13" x14ac:dyDescent="0.15">
      <c r="A112" s="1">
        <v>2</v>
      </c>
      <c r="B112" s="1">
        <v>1</v>
      </c>
      <c r="C112" s="1">
        <v>6</v>
      </c>
      <c r="D112" s="1" t="s">
        <v>24</v>
      </c>
      <c r="E112" s="1">
        <v>74</v>
      </c>
      <c r="F112" s="1">
        <v>2E-3</v>
      </c>
      <c r="G112" s="1">
        <v>117205</v>
      </c>
      <c r="H112" s="1">
        <v>2.069</v>
      </c>
      <c r="I112" s="1">
        <v>3.0409999999999999</v>
      </c>
      <c r="J112" s="1">
        <v>2.5569999999999999</v>
      </c>
      <c r="K112" s="1">
        <v>5.5970000000000004</v>
      </c>
      <c r="L112" s="1" t="s">
        <v>14</v>
      </c>
    </row>
    <row r="113" spans="1:12" ht="13" x14ac:dyDescent="0.15">
      <c r="A113" s="1">
        <v>2</v>
      </c>
      <c r="B113" s="1">
        <v>1</v>
      </c>
      <c r="C113" s="1">
        <v>7</v>
      </c>
      <c r="D113" s="1" t="s">
        <v>24</v>
      </c>
      <c r="E113" s="1">
        <v>92</v>
      </c>
      <c r="F113" s="1">
        <v>3.0000000000000001E-3</v>
      </c>
      <c r="G113" s="1">
        <v>139215</v>
      </c>
      <c r="H113" s="1">
        <v>3.5419999999999998</v>
      </c>
      <c r="I113" s="1">
        <v>1.9319999999999999</v>
      </c>
      <c r="J113" s="1">
        <v>4.2</v>
      </c>
      <c r="K113" s="1">
        <v>6.1319999999999997</v>
      </c>
      <c r="L113" s="1" t="s">
        <v>14</v>
      </c>
    </row>
    <row r="114" spans="1:12" ht="13" x14ac:dyDescent="0.15">
      <c r="A114" s="1">
        <v>2</v>
      </c>
      <c r="B114" s="1">
        <v>1</v>
      </c>
      <c r="C114" s="1">
        <v>8</v>
      </c>
      <c r="D114" s="1" t="s">
        <v>24</v>
      </c>
      <c r="E114" s="1">
        <v>115</v>
      </c>
      <c r="F114" s="1">
        <v>3.0000000000000001E-3</v>
      </c>
      <c r="G114" s="1">
        <v>151822</v>
      </c>
      <c r="H114" s="1">
        <v>3.0369999999999999</v>
      </c>
      <c r="I114" s="1">
        <v>2.024</v>
      </c>
      <c r="J114" s="1">
        <v>3.722</v>
      </c>
      <c r="K114" s="1">
        <v>5.7460000000000004</v>
      </c>
      <c r="L114" s="1" t="s">
        <v>14</v>
      </c>
    </row>
    <row r="115" spans="1:12" ht="13" x14ac:dyDescent="0.15">
      <c r="A115" s="1">
        <v>2</v>
      </c>
      <c r="B115" s="1">
        <v>1</v>
      </c>
      <c r="C115" s="1">
        <v>11</v>
      </c>
      <c r="D115" s="1" t="s">
        <v>24</v>
      </c>
      <c r="E115" s="1">
        <v>101</v>
      </c>
      <c r="F115" s="1">
        <v>5.0000000000000001E-3</v>
      </c>
      <c r="G115" s="1">
        <v>133264</v>
      </c>
      <c r="H115" s="1">
        <v>5.2510000000000003</v>
      </c>
      <c r="I115" s="1">
        <v>1.375</v>
      </c>
      <c r="J115" s="1">
        <v>5.9340000000000002</v>
      </c>
      <c r="K115" s="1">
        <v>7.3090000000000002</v>
      </c>
      <c r="L115" s="1" t="s">
        <v>14</v>
      </c>
    </row>
    <row r="116" spans="1:12" ht="13" x14ac:dyDescent="0.15">
      <c r="A116" s="1">
        <v>2</v>
      </c>
      <c r="B116" s="1">
        <v>1</v>
      </c>
      <c r="C116" s="1">
        <v>12</v>
      </c>
      <c r="D116" s="1" t="s">
        <v>24</v>
      </c>
      <c r="E116" s="1">
        <v>107</v>
      </c>
      <c r="F116" s="1">
        <v>4.0000000000000001E-3</v>
      </c>
      <c r="G116" s="1">
        <v>219178</v>
      </c>
      <c r="H116" s="1">
        <v>5.7439999999999998</v>
      </c>
      <c r="I116" s="1">
        <v>2.3839999999999999</v>
      </c>
      <c r="J116" s="1">
        <v>6.8719999999999999</v>
      </c>
      <c r="K116" s="1">
        <v>9.2560000000000002</v>
      </c>
      <c r="L116" s="1" t="s">
        <v>14</v>
      </c>
    </row>
    <row r="117" spans="1:12" ht="13" x14ac:dyDescent="0.15">
      <c r="A117" s="1">
        <v>2</v>
      </c>
      <c r="B117" s="1">
        <v>1</v>
      </c>
      <c r="C117" s="1">
        <v>13</v>
      </c>
      <c r="D117" s="1" t="s">
        <v>24</v>
      </c>
      <c r="E117" s="1">
        <v>64</v>
      </c>
      <c r="F117" s="1">
        <v>2E-3</v>
      </c>
      <c r="G117" s="1">
        <v>185312</v>
      </c>
      <c r="H117" s="1">
        <v>3.7469999999999999</v>
      </c>
      <c r="I117" s="1">
        <v>2.62</v>
      </c>
      <c r="J117" s="1">
        <v>4.6470000000000002</v>
      </c>
      <c r="K117" s="1">
        <v>7.2670000000000003</v>
      </c>
      <c r="L117" s="1" t="s">
        <v>14</v>
      </c>
    </row>
    <row r="118" spans="1:12" ht="13" x14ac:dyDescent="0.15">
      <c r="A118" s="1">
        <v>2</v>
      </c>
      <c r="B118" s="1">
        <v>1</v>
      </c>
      <c r="C118" s="1">
        <v>14</v>
      </c>
      <c r="D118" s="1" t="s">
        <v>24</v>
      </c>
      <c r="E118" s="1">
        <v>81</v>
      </c>
      <c r="F118" s="1">
        <v>2E-3</v>
      </c>
      <c r="G118" s="1">
        <v>81340</v>
      </c>
      <c r="H118" s="1">
        <v>1.6419999999999999</v>
      </c>
      <c r="I118" s="1">
        <v>1.3069999999999999</v>
      </c>
      <c r="J118" s="1">
        <v>2.0179999999999998</v>
      </c>
      <c r="K118" s="1">
        <v>3.3250000000000002</v>
      </c>
      <c r="L118" s="1" t="s">
        <v>14</v>
      </c>
    </row>
    <row r="119" spans="1:12" ht="13" x14ac:dyDescent="0.15">
      <c r="A119" s="1">
        <v>2</v>
      </c>
      <c r="B119" s="1">
        <v>1</v>
      </c>
      <c r="C119" s="1">
        <v>15</v>
      </c>
      <c r="D119" s="1" t="s">
        <v>24</v>
      </c>
      <c r="E119" s="1">
        <v>83</v>
      </c>
      <c r="F119" s="1">
        <v>2E-3</v>
      </c>
      <c r="G119" s="1">
        <v>140468</v>
      </c>
      <c r="H119" s="1">
        <v>2.9769999999999999</v>
      </c>
      <c r="I119" s="1">
        <v>2.5739999999999998</v>
      </c>
      <c r="J119" s="1">
        <v>3.7160000000000002</v>
      </c>
      <c r="K119" s="1">
        <v>6.2889999999999997</v>
      </c>
      <c r="L119" s="1" t="s">
        <v>14</v>
      </c>
    </row>
    <row r="120" spans="1:12" ht="13" x14ac:dyDescent="0.15">
      <c r="A120" s="1">
        <v>2</v>
      </c>
      <c r="B120" s="1">
        <v>1</v>
      </c>
      <c r="C120" s="1">
        <v>16</v>
      </c>
      <c r="D120" s="1" t="s">
        <v>24</v>
      </c>
      <c r="E120" s="1">
        <v>95</v>
      </c>
      <c r="F120" s="1">
        <v>3.0000000000000001E-3</v>
      </c>
      <c r="G120" s="1">
        <v>59996</v>
      </c>
      <c r="H120" s="1">
        <v>2.0790000000000002</v>
      </c>
      <c r="I120" s="1">
        <v>1.214</v>
      </c>
      <c r="J120" s="1">
        <v>2.3660000000000001</v>
      </c>
      <c r="K120" s="1">
        <v>3.58</v>
      </c>
      <c r="L120" s="1" t="s">
        <v>14</v>
      </c>
    </row>
    <row r="121" spans="1:12" ht="13" x14ac:dyDescent="0.15">
      <c r="A121" s="1">
        <v>2</v>
      </c>
      <c r="B121" s="1">
        <v>1</v>
      </c>
      <c r="C121" s="1">
        <v>17</v>
      </c>
      <c r="D121" s="1" t="s">
        <v>24</v>
      </c>
      <c r="E121" s="1">
        <v>84</v>
      </c>
      <c r="F121" s="1">
        <v>2E-3</v>
      </c>
      <c r="G121" s="1">
        <v>141324</v>
      </c>
      <c r="H121" s="1">
        <v>3.641</v>
      </c>
      <c r="I121" s="1">
        <v>2.161</v>
      </c>
      <c r="J121" s="1">
        <v>4.2770000000000001</v>
      </c>
      <c r="K121" s="1">
        <v>6.4379999999999997</v>
      </c>
      <c r="L121" s="1" t="s">
        <v>14</v>
      </c>
    </row>
    <row r="122" spans="1:12" ht="13" x14ac:dyDescent="0.15">
      <c r="A122" s="1">
        <v>2</v>
      </c>
      <c r="B122" s="1">
        <v>1</v>
      </c>
      <c r="C122" s="1">
        <v>18</v>
      </c>
      <c r="D122" s="1" t="s">
        <v>24</v>
      </c>
      <c r="E122" s="1">
        <v>84</v>
      </c>
      <c r="F122" s="1">
        <v>3.0000000000000001E-3</v>
      </c>
      <c r="G122" s="1">
        <v>122991</v>
      </c>
      <c r="H122" s="1">
        <v>3.29</v>
      </c>
      <c r="I122" s="1">
        <v>2.52</v>
      </c>
      <c r="J122" s="1">
        <v>3.8119999999999998</v>
      </c>
      <c r="K122" s="1">
        <v>6.3310000000000004</v>
      </c>
      <c r="L122" s="1" t="s">
        <v>14</v>
      </c>
    </row>
    <row r="123" spans="1:12" ht="13" x14ac:dyDescent="0.15">
      <c r="A123" s="1">
        <v>2</v>
      </c>
      <c r="B123" s="1">
        <v>1</v>
      </c>
      <c r="C123" s="1">
        <v>20</v>
      </c>
      <c r="D123" s="1" t="s">
        <v>24</v>
      </c>
      <c r="E123" s="1">
        <v>97</v>
      </c>
      <c r="F123" s="1">
        <v>4.0000000000000001E-3</v>
      </c>
      <c r="G123" s="1">
        <v>217156</v>
      </c>
      <c r="H123" s="1">
        <v>7.4610000000000003</v>
      </c>
      <c r="I123" s="1">
        <v>2.6179999999999999</v>
      </c>
      <c r="J123" s="1">
        <v>8.452</v>
      </c>
      <c r="K123" s="1">
        <v>11.07</v>
      </c>
      <c r="L123" s="1" t="s">
        <v>14</v>
      </c>
    </row>
    <row r="124" spans="1:12" ht="13" x14ac:dyDescent="0.15">
      <c r="A124" s="1">
        <v>2</v>
      </c>
      <c r="B124" s="1">
        <v>2</v>
      </c>
      <c r="C124" s="1">
        <v>1</v>
      </c>
      <c r="D124" s="1" t="s">
        <v>24</v>
      </c>
      <c r="E124" s="1">
        <v>231</v>
      </c>
      <c r="F124" s="1">
        <v>1.2999999999999999E-2</v>
      </c>
      <c r="G124" s="1">
        <v>2072176</v>
      </c>
      <c r="H124" s="1">
        <v>119.55500000000001</v>
      </c>
      <c r="I124" s="1">
        <v>7.8170000000000002</v>
      </c>
      <c r="J124" s="1">
        <v>129.84399999999999</v>
      </c>
      <c r="K124" s="1">
        <v>137.66200000000001</v>
      </c>
      <c r="L124" s="1" t="s">
        <v>14</v>
      </c>
    </row>
    <row r="125" spans="1:12" ht="13" x14ac:dyDescent="0.15">
      <c r="A125" s="1">
        <v>2</v>
      </c>
      <c r="B125" s="1">
        <v>2</v>
      </c>
      <c r="C125" s="1">
        <v>2</v>
      </c>
      <c r="D125" s="1" t="s">
        <v>24</v>
      </c>
      <c r="E125" s="1">
        <v>221</v>
      </c>
      <c r="F125" s="1">
        <v>8.0000000000000002E-3</v>
      </c>
      <c r="G125" s="1">
        <v>1303341</v>
      </c>
      <c r="H125" s="1">
        <v>33.601999999999997</v>
      </c>
      <c r="I125" s="1">
        <v>9.3369999999999997</v>
      </c>
      <c r="J125" s="1">
        <v>39.442</v>
      </c>
      <c r="K125" s="1">
        <v>48.78</v>
      </c>
      <c r="L125" s="1" t="s">
        <v>14</v>
      </c>
    </row>
    <row r="126" spans="1:12" ht="13" x14ac:dyDescent="0.15">
      <c r="A126" s="1">
        <v>2</v>
      </c>
      <c r="B126" s="1">
        <v>2</v>
      </c>
      <c r="C126" s="1">
        <v>3</v>
      </c>
      <c r="D126" s="1" t="s">
        <v>24</v>
      </c>
      <c r="E126" s="1">
        <v>381</v>
      </c>
      <c r="F126" s="1">
        <v>2.7E-2</v>
      </c>
      <c r="G126" s="1">
        <v>2066777</v>
      </c>
      <c r="H126" s="1">
        <v>138.191</v>
      </c>
      <c r="I126" s="1">
        <v>6.2160000000000002</v>
      </c>
      <c r="J126" s="1">
        <v>147.61699999999999</v>
      </c>
      <c r="K126" s="1">
        <v>153.834</v>
      </c>
      <c r="L126" s="1" t="s">
        <v>14</v>
      </c>
    </row>
    <row r="127" spans="1:12" ht="13" x14ac:dyDescent="0.15">
      <c r="A127" s="1">
        <v>2</v>
      </c>
      <c r="B127" s="1">
        <v>2</v>
      </c>
      <c r="C127" s="1">
        <v>5</v>
      </c>
      <c r="D127" s="1" t="s">
        <v>24</v>
      </c>
      <c r="E127" s="1">
        <v>216</v>
      </c>
      <c r="F127" s="1">
        <v>8.9999999999999993E-3</v>
      </c>
      <c r="G127" s="1">
        <v>1250226</v>
      </c>
      <c r="H127" s="1">
        <v>40.284999999999997</v>
      </c>
      <c r="I127" s="1">
        <v>6.4020000000000001</v>
      </c>
      <c r="J127" s="1">
        <v>46.11</v>
      </c>
      <c r="K127" s="1">
        <v>52.512</v>
      </c>
      <c r="L127" s="1" t="s">
        <v>14</v>
      </c>
    </row>
    <row r="128" spans="1:12" ht="13" x14ac:dyDescent="0.15">
      <c r="A128" s="1">
        <v>2</v>
      </c>
      <c r="B128" s="1">
        <v>2</v>
      </c>
      <c r="C128" s="1">
        <v>6</v>
      </c>
      <c r="D128" s="1" t="s">
        <v>24</v>
      </c>
      <c r="E128" s="1">
        <v>213</v>
      </c>
      <c r="F128" s="1">
        <v>6.0000000000000001E-3</v>
      </c>
      <c r="G128" s="1">
        <v>1615933</v>
      </c>
      <c r="H128" s="1">
        <v>36.359000000000002</v>
      </c>
      <c r="I128" s="1">
        <v>9.5129999999999999</v>
      </c>
      <c r="J128" s="1">
        <v>43.423999999999999</v>
      </c>
      <c r="K128" s="1">
        <v>52.936999999999998</v>
      </c>
      <c r="L128" s="1" t="s">
        <v>14</v>
      </c>
    </row>
    <row r="129" spans="1:12" ht="13" x14ac:dyDescent="0.15">
      <c r="A129" s="1">
        <v>2</v>
      </c>
      <c r="B129" s="1">
        <v>2</v>
      </c>
      <c r="C129" s="1">
        <v>8</v>
      </c>
      <c r="D129" s="1" t="s">
        <v>24</v>
      </c>
      <c r="E129" s="1">
        <v>364</v>
      </c>
      <c r="F129" s="1">
        <v>1.7999999999999999E-2</v>
      </c>
      <c r="G129" s="1">
        <v>2317679</v>
      </c>
      <c r="H129" s="1">
        <v>109.19499999999999</v>
      </c>
      <c r="I129" s="1">
        <v>7.8289999999999997</v>
      </c>
      <c r="J129" s="1">
        <v>119.392</v>
      </c>
      <c r="K129" s="1">
        <v>127.221</v>
      </c>
      <c r="L129" s="1" t="s">
        <v>14</v>
      </c>
    </row>
    <row r="130" spans="1:12" ht="13" x14ac:dyDescent="0.15">
      <c r="A130" s="1">
        <v>2</v>
      </c>
      <c r="B130" s="1">
        <v>2</v>
      </c>
      <c r="C130" s="1">
        <v>11</v>
      </c>
      <c r="D130" s="1" t="s">
        <v>24</v>
      </c>
      <c r="E130" s="1">
        <v>290</v>
      </c>
      <c r="F130" s="1">
        <v>1.7999999999999999E-2</v>
      </c>
      <c r="G130" s="1">
        <v>1887680</v>
      </c>
      <c r="H130" s="1">
        <v>102.85899999999999</v>
      </c>
      <c r="I130" s="1">
        <v>6.14</v>
      </c>
      <c r="J130" s="1">
        <v>111.807</v>
      </c>
      <c r="K130" s="1">
        <v>117.947</v>
      </c>
      <c r="L130" s="1" t="s">
        <v>14</v>
      </c>
    </row>
    <row r="131" spans="1:12" ht="13" x14ac:dyDescent="0.15">
      <c r="A131" s="1">
        <v>2</v>
      </c>
      <c r="B131" s="1">
        <v>2</v>
      </c>
      <c r="C131" s="1">
        <v>12</v>
      </c>
      <c r="D131" s="1" t="s">
        <v>24</v>
      </c>
      <c r="E131" s="1">
        <v>296</v>
      </c>
      <c r="F131" s="1">
        <v>1.4E-2</v>
      </c>
      <c r="G131" s="1">
        <v>1445997</v>
      </c>
      <c r="H131" s="1">
        <v>52.247</v>
      </c>
      <c r="I131" s="1">
        <v>6.5449999999999999</v>
      </c>
      <c r="J131" s="1">
        <v>58.838000000000001</v>
      </c>
      <c r="K131" s="1">
        <v>65.382999999999996</v>
      </c>
      <c r="L131" s="1" t="s">
        <v>14</v>
      </c>
    </row>
    <row r="132" spans="1:12" ht="13" x14ac:dyDescent="0.15">
      <c r="A132" s="1">
        <v>2</v>
      </c>
      <c r="B132" s="1">
        <v>2</v>
      </c>
      <c r="C132" s="1">
        <v>14</v>
      </c>
      <c r="D132" s="1" t="s">
        <v>24</v>
      </c>
      <c r="E132" s="1">
        <v>219</v>
      </c>
      <c r="F132" s="1">
        <v>8.0000000000000002E-3</v>
      </c>
      <c r="G132" s="1">
        <v>1207615</v>
      </c>
      <c r="H132" s="1">
        <v>37.212000000000003</v>
      </c>
      <c r="I132" s="1">
        <v>6.3280000000000003</v>
      </c>
      <c r="J132" s="1">
        <v>42.802999999999997</v>
      </c>
      <c r="K132" s="1">
        <v>49.131</v>
      </c>
      <c r="L132" s="1" t="s">
        <v>14</v>
      </c>
    </row>
    <row r="133" spans="1:12" ht="13" x14ac:dyDescent="0.15">
      <c r="A133" s="1">
        <v>2</v>
      </c>
      <c r="B133" s="1">
        <v>2</v>
      </c>
      <c r="C133" s="1">
        <v>15</v>
      </c>
      <c r="D133" s="1" t="s">
        <v>24</v>
      </c>
      <c r="E133" s="1">
        <v>219</v>
      </c>
      <c r="F133" s="1">
        <v>6.0000000000000001E-3</v>
      </c>
      <c r="G133" s="1">
        <v>1232706</v>
      </c>
      <c r="H133" s="1">
        <v>26.728000000000002</v>
      </c>
      <c r="I133" s="1">
        <v>7.1</v>
      </c>
      <c r="J133" s="1">
        <v>31.744</v>
      </c>
      <c r="K133" s="1">
        <v>38.844000000000001</v>
      </c>
      <c r="L133" s="1" t="s">
        <v>14</v>
      </c>
    </row>
    <row r="134" spans="1:12" ht="13" x14ac:dyDescent="0.15">
      <c r="A134" s="1">
        <v>2</v>
      </c>
      <c r="B134" s="1">
        <v>2</v>
      </c>
      <c r="C134" s="1">
        <v>16</v>
      </c>
      <c r="D134" s="1" t="s">
        <v>24</v>
      </c>
      <c r="E134" s="1">
        <v>302</v>
      </c>
      <c r="F134" s="1">
        <v>1.2E-2</v>
      </c>
      <c r="G134" s="1">
        <v>545612</v>
      </c>
      <c r="H134" s="1">
        <v>17.327000000000002</v>
      </c>
      <c r="I134" s="1">
        <v>3.6739999999999999</v>
      </c>
      <c r="J134" s="1">
        <v>20.047999999999998</v>
      </c>
      <c r="K134" s="1">
        <v>23.722999999999999</v>
      </c>
      <c r="L134" s="1" t="s">
        <v>14</v>
      </c>
    </row>
    <row r="135" spans="1:12" ht="13" x14ac:dyDescent="0.15">
      <c r="A135" s="1">
        <v>2</v>
      </c>
      <c r="B135" s="1">
        <v>2</v>
      </c>
      <c r="C135" s="1">
        <v>17</v>
      </c>
      <c r="D135" s="1" t="s">
        <v>24</v>
      </c>
      <c r="E135" s="1">
        <v>259</v>
      </c>
      <c r="F135" s="1">
        <v>0.01</v>
      </c>
      <c r="G135" s="1">
        <v>1740619</v>
      </c>
      <c r="H135" s="1">
        <v>53.896000000000001</v>
      </c>
      <c r="I135" s="1">
        <v>7.6520000000000001</v>
      </c>
      <c r="J135" s="1">
        <v>62.737000000000002</v>
      </c>
      <c r="K135" s="1">
        <v>70.388999999999996</v>
      </c>
      <c r="L135" s="1" t="s">
        <v>14</v>
      </c>
    </row>
    <row r="136" spans="1:12" ht="13" x14ac:dyDescent="0.15">
      <c r="A136" s="1">
        <v>2</v>
      </c>
      <c r="B136" s="1">
        <v>2</v>
      </c>
      <c r="C136" s="1">
        <v>18</v>
      </c>
      <c r="D136" s="1" t="s">
        <v>24</v>
      </c>
      <c r="E136" s="1">
        <v>281</v>
      </c>
      <c r="F136" s="1">
        <v>8.9999999999999993E-3</v>
      </c>
      <c r="G136" s="1">
        <v>2091798</v>
      </c>
      <c r="H136" s="1">
        <v>51.506999999999998</v>
      </c>
      <c r="I136" s="1">
        <v>9.06</v>
      </c>
      <c r="J136" s="1">
        <v>61.029000000000003</v>
      </c>
      <c r="K136" s="1">
        <v>70.088999999999999</v>
      </c>
      <c r="L136" s="1" t="s">
        <v>14</v>
      </c>
    </row>
    <row r="137" spans="1:12" ht="13" x14ac:dyDescent="0.15">
      <c r="A137" s="1">
        <v>2</v>
      </c>
      <c r="B137" s="1">
        <v>2</v>
      </c>
      <c r="C137" s="1">
        <v>20</v>
      </c>
      <c r="D137" s="1" t="s">
        <v>24</v>
      </c>
      <c r="E137" s="1">
        <v>296</v>
      </c>
      <c r="F137" s="1">
        <v>1.2999999999999999E-2</v>
      </c>
      <c r="G137" s="1">
        <v>2224076</v>
      </c>
      <c r="H137" s="1">
        <v>83.909000000000006</v>
      </c>
      <c r="I137" s="1">
        <v>9.1590000000000007</v>
      </c>
      <c r="J137" s="1">
        <v>94.403000000000006</v>
      </c>
      <c r="K137" s="1">
        <v>103.562</v>
      </c>
      <c r="L137" s="1" t="s">
        <v>14</v>
      </c>
    </row>
    <row r="138" spans="1:12" ht="13" x14ac:dyDescent="0.15">
      <c r="A138" s="1">
        <v>2</v>
      </c>
      <c r="B138" s="1">
        <v>3</v>
      </c>
      <c r="C138" s="1">
        <v>1</v>
      </c>
      <c r="D138" s="1" t="s">
        <v>24</v>
      </c>
      <c r="E138" s="1">
        <v>534</v>
      </c>
      <c r="F138" s="1">
        <v>3.2000000000000001E-2</v>
      </c>
      <c r="G138" s="1">
        <v>10181723</v>
      </c>
      <c r="H138" s="1">
        <v>608.49699999999996</v>
      </c>
      <c r="I138" s="1">
        <v>16.885999999999999</v>
      </c>
      <c r="J138" s="1">
        <v>653.59400000000005</v>
      </c>
      <c r="K138" s="1">
        <v>670.48</v>
      </c>
      <c r="L138" s="1" t="s">
        <v>14</v>
      </c>
    </row>
    <row r="139" spans="1:12" ht="13" x14ac:dyDescent="0.15">
      <c r="A139" s="1">
        <v>2</v>
      </c>
      <c r="B139" s="1">
        <v>3</v>
      </c>
      <c r="C139" s="1">
        <v>2</v>
      </c>
      <c r="D139" s="1" t="s">
        <v>24</v>
      </c>
      <c r="E139" s="1">
        <v>449</v>
      </c>
      <c r="F139" s="1">
        <v>1.7000000000000001E-2</v>
      </c>
      <c r="G139" s="1">
        <v>9498470</v>
      </c>
      <c r="H139" s="1">
        <v>332.05200000000002</v>
      </c>
      <c r="I139" s="1">
        <v>24.541</v>
      </c>
      <c r="J139" s="1">
        <v>370.93</v>
      </c>
      <c r="K139" s="1">
        <v>395.471</v>
      </c>
      <c r="L139" s="1" t="s">
        <v>14</v>
      </c>
    </row>
    <row r="140" spans="1:12" ht="13" x14ac:dyDescent="0.15">
      <c r="A140" s="1">
        <v>2</v>
      </c>
      <c r="B140" s="1">
        <v>3</v>
      </c>
      <c r="C140" s="1">
        <v>3</v>
      </c>
      <c r="D140" s="1" t="s">
        <v>24</v>
      </c>
      <c r="E140" s="1">
        <v>878</v>
      </c>
      <c r="F140" s="1">
        <v>6.5000000000000002E-2</v>
      </c>
      <c r="G140" s="1">
        <v>4944594</v>
      </c>
      <c r="H140" s="1">
        <v>303.27300000000002</v>
      </c>
      <c r="I140" s="1">
        <v>9.0190000000000001</v>
      </c>
      <c r="J140" s="1">
        <v>321.68900000000002</v>
      </c>
      <c r="K140" s="1">
        <v>330.70800000000003</v>
      </c>
      <c r="L140" s="1" t="s">
        <v>14</v>
      </c>
    </row>
    <row r="141" spans="1:12" ht="13" x14ac:dyDescent="0.15">
      <c r="A141" s="1">
        <v>2</v>
      </c>
      <c r="B141" s="1">
        <v>3</v>
      </c>
      <c r="C141" s="1">
        <v>5</v>
      </c>
      <c r="D141" s="1" t="s">
        <v>24</v>
      </c>
      <c r="E141" s="1">
        <v>524</v>
      </c>
      <c r="F141" s="1">
        <v>0.02</v>
      </c>
      <c r="G141" s="1">
        <v>6424806</v>
      </c>
      <c r="H141" s="1">
        <v>205.864</v>
      </c>
      <c r="I141" s="1">
        <v>15.000999999999999</v>
      </c>
      <c r="J141" s="1">
        <v>232.77600000000001</v>
      </c>
      <c r="K141" s="1">
        <v>247.77699999999999</v>
      </c>
      <c r="L141" s="1" t="s">
        <v>14</v>
      </c>
    </row>
    <row r="142" spans="1:12" ht="13" x14ac:dyDescent="0.15">
      <c r="A142" s="1">
        <v>2</v>
      </c>
      <c r="B142" s="1">
        <v>3</v>
      </c>
      <c r="C142" s="1">
        <v>6</v>
      </c>
      <c r="D142" s="1" t="s">
        <v>24</v>
      </c>
      <c r="E142" s="1">
        <v>555</v>
      </c>
      <c r="F142" s="1">
        <v>1.7999999999999999E-2</v>
      </c>
      <c r="G142" s="1">
        <v>12405314</v>
      </c>
      <c r="H142" s="1">
        <v>324.06799999999998</v>
      </c>
      <c r="I142" s="1">
        <v>24.533000000000001</v>
      </c>
      <c r="J142" s="1">
        <v>383.04700000000003</v>
      </c>
      <c r="K142" s="1">
        <v>407.58</v>
      </c>
      <c r="L142" s="1" t="s">
        <v>14</v>
      </c>
    </row>
    <row r="143" spans="1:12" ht="13" x14ac:dyDescent="0.15">
      <c r="A143" s="1">
        <v>2</v>
      </c>
      <c r="B143" s="1">
        <v>3</v>
      </c>
      <c r="C143" s="1">
        <v>8</v>
      </c>
      <c r="D143" s="1" t="s">
        <v>24</v>
      </c>
      <c r="E143" s="1">
        <v>771</v>
      </c>
      <c r="F143" s="1">
        <v>5.8000000000000003E-2</v>
      </c>
      <c r="G143" s="1">
        <v>11914140</v>
      </c>
      <c r="H143" s="1">
        <v>884.601</v>
      </c>
      <c r="I143" s="1">
        <v>16.701000000000001</v>
      </c>
      <c r="J143" s="1">
        <v>938.99400000000003</v>
      </c>
      <c r="K143" s="1">
        <v>955.69500000000005</v>
      </c>
      <c r="L143" s="1" t="s">
        <v>14</v>
      </c>
    </row>
    <row r="144" spans="1:12" ht="13" x14ac:dyDescent="0.15">
      <c r="A144" s="1">
        <v>2</v>
      </c>
      <c r="B144" s="1">
        <v>3</v>
      </c>
      <c r="C144" s="1">
        <v>11</v>
      </c>
      <c r="D144" s="1" t="s">
        <v>24</v>
      </c>
      <c r="E144" s="1">
        <v>746</v>
      </c>
      <c r="F144" s="1">
        <v>4.9000000000000002E-2</v>
      </c>
      <c r="G144" s="1">
        <v>13056887</v>
      </c>
      <c r="H144" s="1">
        <v>834.30499999999995</v>
      </c>
      <c r="I144" s="1">
        <v>15.236000000000001</v>
      </c>
      <c r="J144" s="1">
        <v>899.72900000000004</v>
      </c>
      <c r="K144" s="1">
        <v>914.96500000000003</v>
      </c>
      <c r="L144" s="1" t="s">
        <v>14</v>
      </c>
    </row>
    <row r="145" spans="1:26" ht="13" x14ac:dyDescent="0.15">
      <c r="A145" s="1">
        <v>2</v>
      </c>
      <c r="B145" s="1">
        <v>3</v>
      </c>
      <c r="C145" s="1">
        <v>12</v>
      </c>
      <c r="D145" s="1" t="s">
        <v>24</v>
      </c>
      <c r="E145" s="1">
        <v>729</v>
      </c>
      <c r="F145" s="1">
        <v>0.05</v>
      </c>
      <c r="G145" s="1">
        <v>9148072</v>
      </c>
      <c r="H145" s="1">
        <v>520.26199999999994</v>
      </c>
      <c r="I145" s="1">
        <v>15.789</v>
      </c>
      <c r="J145" s="1">
        <v>564.35400000000004</v>
      </c>
      <c r="K145" s="1">
        <v>580.14300000000003</v>
      </c>
      <c r="L145" s="1" t="s">
        <v>14</v>
      </c>
    </row>
    <row r="146" spans="1:26" ht="13" x14ac:dyDescent="0.15">
      <c r="A146" s="1">
        <v>2</v>
      </c>
      <c r="B146" s="1">
        <v>3</v>
      </c>
      <c r="C146" s="1">
        <v>15</v>
      </c>
      <c r="D146" s="1" t="s">
        <v>24</v>
      </c>
      <c r="E146" s="1">
        <v>454</v>
      </c>
      <c r="F146" s="1">
        <v>1.4999999999999999E-2</v>
      </c>
      <c r="G146" s="1">
        <v>6501191</v>
      </c>
      <c r="H146" s="1">
        <v>160.99</v>
      </c>
      <c r="I146" s="1">
        <v>17.033000000000001</v>
      </c>
      <c r="J146" s="1">
        <v>191.596</v>
      </c>
      <c r="K146" s="1">
        <v>208.62899999999999</v>
      </c>
      <c r="L146" s="1" t="s">
        <v>14</v>
      </c>
    </row>
    <row r="147" spans="1:26" ht="13" x14ac:dyDescent="0.15">
      <c r="A147" s="1">
        <v>2</v>
      </c>
      <c r="B147" s="1">
        <v>3</v>
      </c>
      <c r="C147" s="1">
        <v>16</v>
      </c>
      <c r="D147" s="1" t="s">
        <v>24</v>
      </c>
      <c r="E147" s="1">
        <v>761</v>
      </c>
      <c r="F147" s="1">
        <v>0.04</v>
      </c>
      <c r="G147" s="1">
        <v>3242371</v>
      </c>
      <c r="H147" s="1">
        <v>149.76400000000001</v>
      </c>
      <c r="I147" s="1">
        <v>8.6430000000000007</v>
      </c>
      <c r="J147" s="1">
        <v>163.29400000000001</v>
      </c>
      <c r="K147" s="1">
        <v>171.93700000000001</v>
      </c>
      <c r="L147" s="1" t="s">
        <v>14</v>
      </c>
    </row>
    <row r="148" spans="1:26" ht="13" x14ac:dyDescent="0.15">
      <c r="A148" s="1">
        <v>2</v>
      </c>
      <c r="B148" s="1">
        <v>3</v>
      </c>
      <c r="C148" s="1">
        <v>18</v>
      </c>
      <c r="D148" s="1" t="s">
        <v>24</v>
      </c>
      <c r="E148" s="1">
        <v>737</v>
      </c>
      <c r="F148" s="1">
        <v>2.5999999999999999E-2</v>
      </c>
      <c r="G148" s="1">
        <v>16719533</v>
      </c>
      <c r="H148" s="1">
        <v>508.09300000000002</v>
      </c>
      <c r="I148" s="1">
        <v>23.323</v>
      </c>
      <c r="J148" s="1">
        <v>586.59900000000005</v>
      </c>
      <c r="K148" s="1">
        <v>609.923</v>
      </c>
      <c r="L148" s="1" t="s">
        <v>14</v>
      </c>
    </row>
    <row r="149" spans="1:26" ht="13" x14ac:dyDescent="0.15">
      <c r="A149" s="1">
        <v>2</v>
      </c>
      <c r="B149" s="1">
        <v>3</v>
      </c>
      <c r="C149" s="1">
        <v>20</v>
      </c>
      <c r="D149" s="1" t="s">
        <v>24</v>
      </c>
      <c r="E149" s="1">
        <v>571</v>
      </c>
      <c r="F149" s="1">
        <v>2.8000000000000001E-2</v>
      </c>
      <c r="G149" s="1">
        <v>14737419</v>
      </c>
      <c r="H149" s="1">
        <v>681.64300000000003</v>
      </c>
      <c r="I149" s="1">
        <v>24.843</v>
      </c>
      <c r="J149" s="1">
        <v>751.35</v>
      </c>
      <c r="K149" s="1">
        <v>776.19299999999998</v>
      </c>
      <c r="L149" s="1" t="s">
        <v>14</v>
      </c>
    </row>
    <row r="150" spans="1:26" ht="13" x14ac:dyDescent="0.15">
      <c r="A150" s="5">
        <v>2</v>
      </c>
      <c r="B150" s="5">
        <v>4</v>
      </c>
      <c r="C150" s="5">
        <v>1</v>
      </c>
      <c r="D150" s="6" t="s">
        <v>24</v>
      </c>
      <c r="E150" s="5">
        <v>1378</v>
      </c>
      <c r="F150" s="5">
        <v>0.17399999999999999</v>
      </c>
      <c r="G150" s="5">
        <v>55569316</v>
      </c>
      <c r="H150" s="5">
        <v>3752.6819999999998</v>
      </c>
      <c r="I150" s="5">
        <v>36.74</v>
      </c>
      <c r="J150" s="5">
        <v>4000.4580000000001</v>
      </c>
      <c r="K150" s="5">
        <v>4037.22</v>
      </c>
      <c r="L150" s="6" t="s">
        <v>14</v>
      </c>
    </row>
    <row r="151" spans="1:26" ht="13" x14ac:dyDescent="0.15">
      <c r="A151" s="5">
        <v>2</v>
      </c>
      <c r="B151" s="5">
        <v>4</v>
      </c>
      <c r="C151" s="5">
        <v>2</v>
      </c>
      <c r="D151" s="6" t="s">
        <v>24</v>
      </c>
      <c r="E151" s="5">
        <v>1004</v>
      </c>
      <c r="F151" s="5">
        <v>5.2999999999999999E-2</v>
      </c>
      <c r="G151" s="5">
        <v>50902943</v>
      </c>
      <c r="H151" s="5">
        <v>2365.8209999999999</v>
      </c>
      <c r="I151" s="5">
        <v>51.408999999999999</v>
      </c>
      <c r="J151" s="5">
        <v>2587.518</v>
      </c>
      <c r="K151" s="5">
        <v>2638.9279999999999</v>
      </c>
      <c r="L151" s="6" t="s">
        <v>14</v>
      </c>
    </row>
    <row r="152" spans="1:26" ht="13" x14ac:dyDescent="0.15">
      <c r="A152" s="5">
        <v>2</v>
      </c>
      <c r="B152" s="5">
        <v>4</v>
      </c>
      <c r="C152" s="5">
        <v>3</v>
      </c>
      <c r="D152" s="6" t="s">
        <v>24</v>
      </c>
      <c r="E152" s="5">
        <v>1779</v>
      </c>
      <c r="F152" s="5">
        <v>0.151</v>
      </c>
      <c r="G152" s="5">
        <v>15858338</v>
      </c>
      <c r="H152" s="5">
        <v>1071.6569999999999</v>
      </c>
      <c r="I152" s="5">
        <v>16.66</v>
      </c>
      <c r="J152" s="5">
        <v>1144.8869999999999</v>
      </c>
      <c r="K152" s="5">
        <v>1161.55</v>
      </c>
      <c r="L152" s="6" t="s">
        <v>14</v>
      </c>
    </row>
    <row r="153" spans="1:26" ht="13" x14ac:dyDescent="0.15">
      <c r="A153" s="5">
        <v>2</v>
      </c>
      <c r="B153" s="5">
        <v>4</v>
      </c>
      <c r="C153" s="5">
        <v>5</v>
      </c>
      <c r="D153" s="6" t="s">
        <v>24</v>
      </c>
      <c r="E153" s="5">
        <v>1216</v>
      </c>
      <c r="F153" s="5">
        <v>9.0999999999999998E-2</v>
      </c>
      <c r="G153" s="5">
        <v>26050278</v>
      </c>
      <c r="H153" s="5">
        <v>924.94200000000001</v>
      </c>
      <c r="I153" s="5">
        <v>28.446000000000002</v>
      </c>
      <c r="J153" s="5">
        <v>1029.3989999999999</v>
      </c>
      <c r="K153" s="5">
        <v>1057.8620000000001</v>
      </c>
      <c r="L153" s="6" t="s">
        <v>14</v>
      </c>
    </row>
    <row r="154" spans="1:26" ht="13" x14ac:dyDescent="0.15">
      <c r="A154" s="5">
        <v>2</v>
      </c>
      <c r="B154" s="5">
        <v>4</v>
      </c>
      <c r="C154" s="5">
        <v>6</v>
      </c>
      <c r="D154" s="6" t="s">
        <v>24</v>
      </c>
      <c r="E154" s="5">
        <v>1259</v>
      </c>
      <c r="F154" s="5">
        <v>0.05</v>
      </c>
      <c r="G154" s="5">
        <v>61950927</v>
      </c>
      <c r="H154" s="5">
        <v>2097.0079999999998</v>
      </c>
      <c r="I154" s="5">
        <v>46.588999999999999</v>
      </c>
      <c r="J154" s="5">
        <v>2382.529</v>
      </c>
      <c r="K154" s="5">
        <v>2429.1179999999999</v>
      </c>
      <c r="L154" s="6" t="s">
        <v>14</v>
      </c>
    </row>
    <row r="155" spans="1:26" ht="13" x14ac:dyDescent="0.15">
      <c r="A155" s="5">
        <v>2</v>
      </c>
      <c r="B155" s="5">
        <v>4</v>
      </c>
      <c r="C155" s="5">
        <v>7</v>
      </c>
      <c r="D155" s="6" t="s">
        <v>24</v>
      </c>
      <c r="E155" s="5">
        <v>1407</v>
      </c>
      <c r="F155" s="5">
        <v>0.14699999999999999</v>
      </c>
      <c r="G155" s="5">
        <v>44553744</v>
      </c>
      <c r="H155" s="5">
        <v>2445.0790000000002</v>
      </c>
      <c r="I155" s="5">
        <v>32.299999999999997</v>
      </c>
      <c r="J155" s="5">
        <v>2655.174</v>
      </c>
      <c r="K155" s="5">
        <v>2687.5010000000002</v>
      </c>
      <c r="L155" s="6" t="s">
        <v>14</v>
      </c>
    </row>
    <row r="156" spans="1:26" ht="13" x14ac:dyDescent="0.15">
      <c r="A156" s="2">
        <v>3</v>
      </c>
      <c r="B156" s="2">
        <v>1</v>
      </c>
      <c r="C156" s="2">
        <v>4</v>
      </c>
      <c r="D156" s="2" t="s">
        <v>19</v>
      </c>
      <c r="E156" s="2">
        <v>314</v>
      </c>
      <c r="F156" s="2">
        <v>2.1999999999999999E-2</v>
      </c>
      <c r="G156" s="2">
        <v>2756494</v>
      </c>
      <c r="H156" s="2">
        <v>186.63800000000001</v>
      </c>
      <c r="I156" s="2">
        <v>9.4329999999999998</v>
      </c>
      <c r="J156" s="2">
        <v>200.006</v>
      </c>
      <c r="K156" s="2">
        <v>209.43899999999999</v>
      </c>
      <c r="L156" s="2" t="s">
        <v>14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>
        <v>3</v>
      </c>
      <c r="B157" s="2">
        <v>1</v>
      </c>
      <c r="C157" s="2">
        <v>7</v>
      </c>
      <c r="D157" s="2" t="s">
        <v>27</v>
      </c>
      <c r="E157" s="2">
        <v>272</v>
      </c>
      <c r="F157" s="2">
        <v>1.2999999999999999E-2</v>
      </c>
      <c r="G157" s="2">
        <v>1645686</v>
      </c>
      <c r="H157" s="2">
        <v>81.209999999999994</v>
      </c>
      <c r="I157" s="2">
        <v>7.01</v>
      </c>
      <c r="J157" s="2">
        <v>88.807000000000002</v>
      </c>
      <c r="K157" s="2">
        <v>95.816999999999993</v>
      </c>
      <c r="L157" s="2" t="s">
        <v>14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>
        <v>3</v>
      </c>
      <c r="B158" s="2">
        <v>1</v>
      </c>
      <c r="C158" s="2">
        <v>10</v>
      </c>
      <c r="D158" s="2" t="s">
        <v>20</v>
      </c>
      <c r="E158" s="2">
        <v>358</v>
      </c>
      <c r="F158" s="2">
        <v>1.2999999999999999E-2</v>
      </c>
      <c r="G158" s="2">
        <v>2870553</v>
      </c>
      <c r="H158" s="2">
        <v>83.540999999999997</v>
      </c>
      <c r="I158" s="2">
        <v>9.1649999999999991</v>
      </c>
      <c r="J158" s="2">
        <v>96.905000000000001</v>
      </c>
      <c r="K158" s="2">
        <v>106.07</v>
      </c>
      <c r="L158" s="2" t="s">
        <v>14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>
        <v>3</v>
      </c>
      <c r="B159" s="2">
        <v>1</v>
      </c>
      <c r="C159" s="2">
        <v>13</v>
      </c>
      <c r="D159" s="2" t="s">
        <v>31</v>
      </c>
      <c r="E159" s="2">
        <v>242</v>
      </c>
      <c r="F159" s="2">
        <v>1.7000000000000001E-2</v>
      </c>
      <c r="G159" s="2">
        <v>625637</v>
      </c>
      <c r="H159" s="2">
        <v>39.188000000000002</v>
      </c>
      <c r="I159" s="2">
        <v>3.5979999999999999</v>
      </c>
      <c r="J159" s="2">
        <v>42.143000000000001</v>
      </c>
      <c r="K159" s="2">
        <v>45.741</v>
      </c>
      <c r="L159" s="2" t="s">
        <v>14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>
        <v>3</v>
      </c>
      <c r="B160" s="2">
        <v>2</v>
      </c>
      <c r="C160" s="2">
        <v>4</v>
      </c>
      <c r="D160" s="2" t="s">
        <v>19</v>
      </c>
      <c r="E160" s="2">
        <v>678</v>
      </c>
      <c r="F160" s="2">
        <v>5.0999999999999997E-2</v>
      </c>
      <c r="G160" s="2">
        <v>17716087</v>
      </c>
      <c r="H160" s="2">
        <v>1365.8019999999999</v>
      </c>
      <c r="I160" s="2">
        <v>25.010999999999999</v>
      </c>
      <c r="J160" s="2">
        <v>1455.8330000000001</v>
      </c>
      <c r="K160" s="2">
        <v>1480.8440000000001</v>
      </c>
      <c r="L160" s="2" t="s">
        <v>14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>
        <v>3</v>
      </c>
      <c r="B161" s="2">
        <v>2</v>
      </c>
      <c r="C161" s="2">
        <v>7</v>
      </c>
      <c r="D161" s="2" t="s">
        <v>27</v>
      </c>
      <c r="E161" s="2">
        <v>643</v>
      </c>
      <c r="F161" s="2">
        <v>5.0999999999999997E-2</v>
      </c>
      <c r="G161" s="2">
        <v>13651789</v>
      </c>
      <c r="H161" s="2">
        <v>957.43499999999995</v>
      </c>
      <c r="I161" s="2">
        <v>20.286000000000001</v>
      </c>
      <c r="J161" s="2">
        <v>1020.183</v>
      </c>
      <c r="K161" s="2">
        <v>1040.47</v>
      </c>
      <c r="L161" s="2" t="s">
        <v>14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>
        <v>3</v>
      </c>
      <c r="B162" s="2">
        <v>2</v>
      </c>
      <c r="C162" s="2">
        <v>10</v>
      </c>
      <c r="D162" s="2" t="s">
        <v>20</v>
      </c>
      <c r="E162" s="2">
        <v>814</v>
      </c>
      <c r="F162" s="2">
        <v>0.04</v>
      </c>
      <c r="G162" s="2">
        <v>16518976</v>
      </c>
      <c r="H162" s="2">
        <v>705.43399999999997</v>
      </c>
      <c r="I162" s="2">
        <v>21.065999999999999</v>
      </c>
      <c r="J162" s="2">
        <v>784.75599999999997</v>
      </c>
      <c r="K162" s="2">
        <v>805.822</v>
      </c>
      <c r="L162" s="2" t="s">
        <v>14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>
        <v>3</v>
      </c>
      <c r="B163" s="2">
        <v>2</v>
      </c>
      <c r="C163" s="2">
        <v>13</v>
      </c>
      <c r="D163" s="2" t="s">
        <v>32</v>
      </c>
      <c r="E163" s="2">
        <v>550</v>
      </c>
      <c r="F163" s="2">
        <v>3.5999999999999997E-2</v>
      </c>
      <c r="G163" s="2">
        <v>3812170</v>
      </c>
      <c r="H163" s="2">
        <v>258.495</v>
      </c>
      <c r="I163" s="2">
        <v>9.8350000000000009</v>
      </c>
      <c r="J163" s="2">
        <v>274.14600000000002</v>
      </c>
      <c r="K163" s="2">
        <v>283.98099999999999</v>
      </c>
      <c r="L163" s="2" t="s">
        <v>14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>
        <v>3</v>
      </c>
      <c r="B164" s="2">
        <v>2</v>
      </c>
      <c r="C164" s="2">
        <v>14</v>
      </c>
      <c r="D164" s="2" t="s">
        <v>30</v>
      </c>
      <c r="E164" s="2">
        <v>599</v>
      </c>
      <c r="F164" s="2">
        <v>3.9E-2</v>
      </c>
      <c r="G164" s="2">
        <v>9852331</v>
      </c>
      <c r="H164" s="2">
        <v>617.827</v>
      </c>
      <c r="I164" s="2">
        <v>18.584</v>
      </c>
      <c r="J164" s="2">
        <v>667.39499999999998</v>
      </c>
      <c r="K164" s="2">
        <v>685.97900000000004</v>
      </c>
      <c r="L164" s="2" t="s">
        <v>14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>
        <v>3</v>
      </c>
      <c r="B165" s="2">
        <v>2</v>
      </c>
      <c r="C165" s="2">
        <v>17</v>
      </c>
      <c r="D165" s="2" t="s">
        <v>21</v>
      </c>
      <c r="E165" s="2">
        <v>661</v>
      </c>
      <c r="F165" s="2">
        <v>4.3999999999999997E-2</v>
      </c>
      <c r="G165" s="2">
        <v>16012679</v>
      </c>
      <c r="H165" s="2">
        <v>1078.3109999999999</v>
      </c>
      <c r="I165" s="2">
        <v>22.056000000000001</v>
      </c>
      <c r="J165" s="2">
        <v>1155.723</v>
      </c>
      <c r="K165" s="2">
        <v>1177.779</v>
      </c>
      <c r="L165" s="2" t="s">
        <v>14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>
        <v>3</v>
      </c>
      <c r="B166" s="2">
        <v>2</v>
      </c>
      <c r="C166" s="2">
        <v>19</v>
      </c>
      <c r="D166" s="2" t="s">
        <v>22</v>
      </c>
      <c r="E166" s="2">
        <v>702</v>
      </c>
      <c r="F166" s="2">
        <v>3.9E-2</v>
      </c>
      <c r="G166" s="2">
        <v>7833493</v>
      </c>
      <c r="H166" s="2">
        <v>378.68799999999999</v>
      </c>
      <c r="I166" s="2">
        <v>12.545999999999999</v>
      </c>
      <c r="J166" s="2">
        <v>417.25700000000001</v>
      </c>
      <c r="K166" s="2">
        <v>429.803</v>
      </c>
      <c r="L166" s="2" t="s">
        <v>14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3">
        <v>3</v>
      </c>
      <c r="B167" s="3">
        <v>3</v>
      </c>
      <c r="C167" s="3">
        <v>4</v>
      </c>
      <c r="D167" s="4" t="s">
        <v>23</v>
      </c>
      <c r="E167" s="3">
        <v>1380</v>
      </c>
      <c r="F167" s="3">
        <v>0.14699999999999999</v>
      </c>
      <c r="G167" s="3">
        <v>72679391</v>
      </c>
      <c r="H167" s="3">
        <v>5408.0060000000003</v>
      </c>
      <c r="I167" s="3">
        <v>47.197000000000003</v>
      </c>
      <c r="J167" s="3">
        <v>5786.3220000000001</v>
      </c>
      <c r="K167" s="3">
        <v>5833.5519999999997</v>
      </c>
      <c r="L167" s="4" t="s">
        <v>14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3">
        <v>3</v>
      </c>
      <c r="B168" s="3">
        <v>3</v>
      </c>
      <c r="C168" s="3">
        <v>7</v>
      </c>
      <c r="D168" s="4" t="s">
        <v>33</v>
      </c>
      <c r="E168" s="3">
        <v>1407</v>
      </c>
      <c r="F168" s="3">
        <v>0.17799999999999999</v>
      </c>
      <c r="G168" s="3">
        <v>73584670</v>
      </c>
      <c r="H168" s="3">
        <v>5399.1530000000002</v>
      </c>
      <c r="I168" s="3">
        <v>44.218000000000004</v>
      </c>
      <c r="J168" s="3">
        <v>5749.8379999999997</v>
      </c>
      <c r="K168" s="3">
        <v>5794.0829999999996</v>
      </c>
      <c r="L168" s="4" t="s">
        <v>14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1">
        <v>3</v>
      </c>
      <c r="B169" s="1">
        <v>1</v>
      </c>
      <c r="C169" s="1">
        <v>1</v>
      </c>
      <c r="D169" s="1" t="s">
        <v>24</v>
      </c>
      <c r="E169" s="1">
        <v>231</v>
      </c>
      <c r="F169" s="1">
        <v>8.0000000000000002E-3</v>
      </c>
      <c r="G169" s="1">
        <v>1941007</v>
      </c>
      <c r="H169" s="1">
        <v>55.387</v>
      </c>
      <c r="I169" s="1">
        <v>7.569</v>
      </c>
      <c r="J169" s="1">
        <v>64.117000000000004</v>
      </c>
      <c r="K169" s="1">
        <v>71.686000000000007</v>
      </c>
      <c r="L169" s="1" t="s">
        <v>14</v>
      </c>
    </row>
    <row r="170" spans="1:26" ht="13" x14ac:dyDescent="0.15">
      <c r="A170" s="1">
        <v>3</v>
      </c>
      <c r="B170" s="1">
        <v>1</v>
      </c>
      <c r="C170" s="1">
        <v>2</v>
      </c>
      <c r="D170" s="1" t="s">
        <v>24</v>
      </c>
      <c r="E170" s="1">
        <v>221</v>
      </c>
      <c r="F170" s="1">
        <v>5.0000000000000001E-3</v>
      </c>
      <c r="G170" s="1">
        <v>969108</v>
      </c>
      <c r="H170" s="1">
        <v>16.716000000000001</v>
      </c>
      <c r="I170" s="1">
        <v>7.7539999999999996</v>
      </c>
      <c r="J170" s="1">
        <v>20.988</v>
      </c>
      <c r="K170" s="1">
        <v>28.742000000000001</v>
      </c>
      <c r="L170" s="1" t="s">
        <v>14</v>
      </c>
    </row>
    <row r="171" spans="1:26" ht="13" x14ac:dyDescent="0.15">
      <c r="A171" s="1">
        <v>3</v>
      </c>
      <c r="B171" s="1">
        <v>1</v>
      </c>
      <c r="C171" s="1">
        <v>3</v>
      </c>
      <c r="D171" s="1" t="s">
        <v>24</v>
      </c>
      <c r="E171" s="1">
        <v>381</v>
      </c>
      <c r="F171" s="1">
        <v>1.7000000000000001E-2</v>
      </c>
      <c r="G171" s="1">
        <v>1253826</v>
      </c>
      <c r="H171" s="1">
        <v>44.509</v>
      </c>
      <c r="I171" s="1">
        <v>4.4630000000000001</v>
      </c>
      <c r="J171" s="1">
        <v>49.845999999999997</v>
      </c>
      <c r="K171" s="1">
        <v>54.308999999999997</v>
      </c>
      <c r="L171" s="1" t="s">
        <v>14</v>
      </c>
    </row>
    <row r="172" spans="1:26" ht="13" x14ac:dyDescent="0.15">
      <c r="A172" s="1">
        <v>3</v>
      </c>
      <c r="B172" s="1">
        <v>1</v>
      </c>
      <c r="C172" s="1">
        <v>5</v>
      </c>
      <c r="D172" s="1" t="s">
        <v>24</v>
      </c>
      <c r="E172" s="1">
        <v>216</v>
      </c>
      <c r="F172" s="1">
        <v>0.01</v>
      </c>
      <c r="G172" s="1">
        <v>826761</v>
      </c>
      <c r="H172" s="1">
        <v>27.925000000000001</v>
      </c>
      <c r="I172" s="1">
        <v>4.6790000000000003</v>
      </c>
      <c r="J172" s="1">
        <v>31.817</v>
      </c>
      <c r="K172" s="1">
        <v>36.497</v>
      </c>
      <c r="L172" s="1" t="s">
        <v>14</v>
      </c>
    </row>
    <row r="173" spans="1:26" ht="13" x14ac:dyDescent="0.15">
      <c r="A173" s="1">
        <v>3</v>
      </c>
      <c r="B173" s="1">
        <v>1</v>
      </c>
      <c r="C173" s="1">
        <v>6</v>
      </c>
      <c r="D173" s="1" t="s">
        <v>24</v>
      </c>
      <c r="E173" s="1">
        <v>213</v>
      </c>
      <c r="F173" s="1">
        <v>6.0000000000000001E-3</v>
      </c>
      <c r="G173" s="1">
        <v>1891421</v>
      </c>
      <c r="H173" s="1">
        <v>38.936</v>
      </c>
      <c r="I173" s="1">
        <v>9.7289999999999992</v>
      </c>
      <c r="J173" s="1">
        <v>47.776000000000003</v>
      </c>
      <c r="K173" s="1">
        <v>57.505000000000003</v>
      </c>
      <c r="L173" s="1" t="s">
        <v>14</v>
      </c>
    </row>
    <row r="174" spans="1:26" ht="13" x14ac:dyDescent="0.15">
      <c r="A174" s="1">
        <v>3</v>
      </c>
      <c r="B174" s="1">
        <v>1</v>
      </c>
      <c r="C174" s="1">
        <v>8</v>
      </c>
      <c r="D174" s="1" t="s">
        <v>24</v>
      </c>
      <c r="E174" s="1">
        <v>364</v>
      </c>
      <c r="F174" s="1">
        <v>1.4E-2</v>
      </c>
      <c r="G174" s="1">
        <v>2154702</v>
      </c>
      <c r="H174" s="1">
        <v>85.323999999999998</v>
      </c>
      <c r="I174" s="1">
        <v>7.4169999999999998</v>
      </c>
      <c r="J174" s="1">
        <v>95.375</v>
      </c>
      <c r="K174" s="1">
        <v>102.792</v>
      </c>
      <c r="L174" s="1" t="s">
        <v>14</v>
      </c>
    </row>
    <row r="175" spans="1:26" ht="13" x14ac:dyDescent="0.15">
      <c r="A175" s="1">
        <v>3</v>
      </c>
      <c r="B175" s="1">
        <v>1</v>
      </c>
      <c r="C175" s="1">
        <v>9</v>
      </c>
      <c r="D175" s="1" t="s">
        <v>24</v>
      </c>
      <c r="E175" s="1">
        <v>379</v>
      </c>
      <c r="F175" s="1">
        <v>2.5000000000000001E-2</v>
      </c>
      <c r="G175" s="1">
        <v>2363494</v>
      </c>
      <c r="H175" s="1">
        <v>133.703</v>
      </c>
      <c r="I175" s="1">
        <v>6.29</v>
      </c>
      <c r="J175" s="1">
        <v>145.078</v>
      </c>
      <c r="K175" s="1">
        <v>151.369</v>
      </c>
      <c r="L175" s="1" t="s">
        <v>14</v>
      </c>
    </row>
    <row r="176" spans="1:26" ht="13" x14ac:dyDescent="0.15">
      <c r="A176" s="1">
        <v>3</v>
      </c>
      <c r="B176" s="1">
        <v>1</v>
      </c>
      <c r="C176" s="1">
        <v>11</v>
      </c>
      <c r="D176" s="1" t="s">
        <v>24</v>
      </c>
      <c r="E176" s="1">
        <v>290</v>
      </c>
      <c r="F176" s="1">
        <v>1.4E-2</v>
      </c>
      <c r="G176" s="1">
        <v>2252718</v>
      </c>
      <c r="H176" s="1">
        <v>97.593000000000004</v>
      </c>
      <c r="I176" s="1">
        <v>6.9729999999999999</v>
      </c>
      <c r="J176" s="1">
        <v>108.672</v>
      </c>
      <c r="K176" s="1">
        <v>115.645</v>
      </c>
      <c r="L176" s="1" t="s">
        <v>14</v>
      </c>
    </row>
    <row r="177" spans="1:12" ht="13" x14ac:dyDescent="0.15">
      <c r="A177" s="1">
        <v>3</v>
      </c>
      <c r="B177" s="1">
        <v>1</v>
      </c>
      <c r="C177" s="1">
        <v>12</v>
      </c>
      <c r="D177" s="1" t="s">
        <v>24</v>
      </c>
      <c r="E177" s="1">
        <v>296</v>
      </c>
      <c r="F177" s="1">
        <v>0.01</v>
      </c>
      <c r="G177" s="1">
        <v>2027887</v>
      </c>
      <c r="H177" s="1">
        <v>50.305</v>
      </c>
      <c r="I177" s="1">
        <v>7.3959999999999999</v>
      </c>
      <c r="J177" s="1">
        <v>60.441000000000003</v>
      </c>
      <c r="K177" s="1">
        <v>67.837999999999994</v>
      </c>
      <c r="L177" s="1" t="s">
        <v>14</v>
      </c>
    </row>
    <row r="178" spans="1:12" ht="13" x14ac:dyDescent="0.15">
      <c r="A178" s="1">
        <v>3</v>
      </c>
      <c r="B178" s="1">
        <v>1</v>
      </c>
      <c r="C178" s="1">
        <v>14</v>
      </c>
      <c r="D178" s="1" t="s">
        <v>24</v>
      </c>
      <c r="E178" s="1">
        <v>219</v>
      </c>
      <c r="F178" s="1">
        <v>7.0000000000000001E-3</v>
      </c>
      <c r="G178" s="1">
        <v>765205</v>
      </c>
      <c r="H178" s="1">
        <v>20.39</v>
      </c>
      <c r="I178" s="1">
        <v>5.6509999999999998</v>
      </c>
      <c r="J178" s="1">
        <v>23.297000000000001</v>
      </c>
      <c r="K178" s="1">
        <v>28.948</v>
      </c>
      <c r="L178" s="1" t="s">
        <v>14</v>
      </c>
    </row>
    <row r="179" spans="1:12" ht="13" x14ac:dyDescent="0.15">
      <c r="A179" s="1">
        <v>3</v>
      </c>
      <c r="B179" s="1">
        <v>1</v>
      </c>
      <c r="C179" s="1">
        <v>15</v>
      </c>
      <c r="D179" s="1" t="s">
        <v>24</v>
      </c>
      <c r="E179" s="1">
        <v>219</v>
      </c>
      <c r="F179" s="1">
        <v>7.0000000000000001E-3</v>
      </c>
      <c r="G179" s="1">
        <v>1212131</v>
      </c>
      <c r="H179" s="1">
        <v>30.643999999999998</v>
      </c>
      <c r="I179" s="1">
        <v>6.8869999999999996</v>
      </c>
      <c r="J179" s="1">
        <v>36.531999999999996</v>
      </c>
      <c r="K179" s="1">
        <v>43.418999999999997</v>
      </c>
      <c r="L179" s="1" t="s">
        <v>14</v>
      </c>
    </row>
    <row r="180" spans="1:12" ht="13" x14ac:dyDescent="0.15">
      <c r="A180" s="1">
        <v>3</v>
      </c>
      <c r="B180" s="1">
        <v>1</v>
      </c>
      <c r="C180" s="1">
        <v>16</v>
      </c>
      <c r="D180" s="1" t="s">
        <v>24</v>
      </c>
      <c r="E180" s="1">
        <v>302</v>
      </c>
      <c r="F180" s="1">
        <v>0.01</v>
      </c>
      <c r="G180" s="1">
        <v>458495</v>
      </c>
      <c r="H180" s="1">
        <v>9.74</v>
      </c>
      <c r="I180" s="1">
        <v>3.512</v>
      </c>
      <c r="J180" s="1">
        <v>11.919</v>
      </c>
      <c r="K180" s="1">
        <v>15.430999999999999</v>
      </c>
      <c r="L180" s="1" t="s">
        <v>14</v>
      </c>
    </row>
    <row r="181" spans="1:12" ht="13" x14ac:dyDescent="0.15">
      <c r="A181" s="1">
        <v>3</v>
      </c>
      <c r="B181" s="1">
        <v>1</v>
      </c>
      <c r="C181" s="1">
        <v>17</v>
      </c>
      <c r="D181" s="1" t="s">
        <v>24</v>
      </c>
      <c r="E181" s="1">
        <v>259</v>
      </c>
      <c r="F181" s="1">
        <v>1.0999999999999999E-2</v>
      </c>
      <c r="G181" s="1">
        <v>1806525</v>
      </c>
      <c r="H181" s="1">
        <v>81.5</v>
      </c>
      <c r="I181" s="1">
        <v>7.319</v>
      </c>
      <c r="J181" s="1">
        <v>90.480999999999995</v>
      </c>
      <c r="K181" s="1">
        <v>97.8</v>
      </c>
      <c r="L181" s="1" t="s">
        <v>14</v>
      </c>
    </row>
    <row r="182" spans="1:12" ht="13" x14ac:dyDescent="0.15">
      <c r="A182" s="1">
        <v>3</v>
      </c>
      <c r="B182" s="1">
        <v>1</v>
      </c>
      <c r="C182" s="1">
        <v>18</v>
      </c>
      <c r="D182" s="1" t="s">
        <v>24</v>
      </c>
      <c r="E182" s="1">
        <v>281</v>
      </c>
      <c r="F182" s="1">
        <v>8.9999999999999993E-3</v>
      </c>
      <c r="G182" s="1">
        <v>2077059</v>
      </c>
      <c r="H182" s="1">
        <v>54.445999999999998</v>
      </c>
      <c r="I182" s="1">
        <v>8.891</v>
      </c>
      <c r="J182" s="1">
        <v>64.004999999999995</v>
      </c>
      <c r="K182" s="1">
        <v>72.896000000000001</v>
      </c>
      <c r="L182" s="1" t="s">
        <v>14</v>
      </c>
    </row>
    <row r="183" spans="1:12" ht="13" x14ac:dyDescent="0.15">
      <c r="A183" s="1">
        <v>3</v>
      </c>
      <c r="B183" s="1">
        <v>1</v>
      </c>
      <c r="C183" s="1">
        <v>19</v>
      </c>
      <c r="D183" s="1" t="s">
        <v>24</v>
      </c>
      <c r="E183" s="1">
        <v>282</v>
      </c>
      <c r="F183" s="1">
        <v>1.2E-2</v>
      </c>
      <c r="G183" s="1">
        <v>1968161</v>
      </c>
      <c r="H183" s="1">
        <v>81.778000000000006</v>
      </c>
      <c r="I183" s="1">
        <v>7.165</v>
      </c>
      <c r="J183" s="1">
        <v>91.088999999999999</v>
      </c>
      <c r="K183" s="1">
        <v>98.254000000000005</v>
      </c>
      <c r="L183" s="1" t="s">
        <v>14</v>
      </c>
    </row>
    <row r="184" spans="1:12" ht="13" x14ac:dyDescent="0.15">
      <c r="A184" s="1">
        <v>3</v>
      </c>
      <c r="B184" s="1">
        <v>1</v>
      </c>
      <c r="C184" s="1">
        <v>20</v>
      </c>
      <c r="D184" s="1" t="s">
        <v>24</v>
      </c>
      <c r="E184" s="1">
        <v>296</v>
      </c>
      <c r="F184" s="1">
        <v>1.2E-2</v>
      </c>
      <c r="G184" s="1">
        <v>2313657</v>
      </c>
      <c r="H184" s="1">
        <v>78.513999999999996</v>
      </c>
      <c r="I184" s="1">
        <v>9.0109999999999992</v>
      </c>
      <c r="J184" s="1">
        <v>89.35</v>
      </c>
      <c r="K184" s="1">
        <v>98.361000000000004</v>
      </c>
      <c r="L184" s="1" t="s">
        <v>14</v>
      </c>
    </row>
    <row r="185" spans="1:12" ht="13" x14ac:dyDescent="0.15">
      <c r="A185" s="1">
        <v>3</v>
      </c>
      <c r="B185" s="1">
        <v>2</v>
      </c>
      <c r="C185" s="1">
        <v>1</v>
      </c>
      <c r="D185" s="1" t="s">
        <v>24</v>
      </c>
      <c r="E185" s="1">
        <v>534</v>
      </c>
      <c r="F185" s="1">
        <v>2.1999999999999999E-2</v>
      </c>
      <c r="G185" s="1">
        <v>10704170</v>
      </c>
      <c r="H185" s="1">
        <v>385.15100000000001</v>
      </c>
      <c r="I185" s="1">
        <v>17.875</v>
      </c>
      <c r="J185" s="1">
        <v>435.62099999999998</v>
      </c>
      <c r="K185" s="1">
        <v>453.49599999999998</v>
      </c>
      <c r="L185" s="1" t="s">
        <v>14</v>
      </c>
    </row>
    <row r="186" spans="1:12" ht="13" x14ac:dyDescent="0.15">
      <c r="A186" s="1">
        <v>3</v>
      </c>
      <c r="B186" s="1">
        <v>2</v>
      </c>
      <c r="C186" s="1">
        <v>2</v>
      </c>
      <c r="D186" s="1" t="s">
        <v>24</v>
      </c>
      <c r="E186" s="1">
        <v>449</v>
      </c>
      <c r="F186" s="1">
        <v>1.2999999999999999E-2</v>
      </c>
      <c r="G186" s="1">
        <v>7045908</v>
      </c>
      <c r="H186" s="1">
        <v>180.80600000000001</v>
      </c>
      <c r="I186" s="1">
        <v>21.492999999999999</v>
      </c>
      <c r="J186" s="1">
        <v>211.71</v>
      </c>
      <c r="K186" s="1">
        <v>233.203</v>
      </c>
      <c r="L186" s="1" t="s">
        <v>14</v>
      </c>
    </row>
    <row r="187" spans="1:12" ht="13" x14ac:dyDescent="0.15">
      <c r="A187" s="1">
        <v>3</v>
      </c>
      <c r="B187" s="1">
        <v>2</v>
      </c>
      <c r="C187" s="1">
        <v>3</v>
      </c>
      <c r="D187" s="1" t="s">
        <v>24</v>
      </c>
      <c r="E187" s="1">
        <v>878</v>
      </c>
      <c r="F187" s="1">
        <v>7.0999999999999994E-2</v>
      </c>
      <c r="G187" s="1">
        <v>5358312</v>
      </c>
      <c r="H187" s="1">
        <v>388.97</v>
      </c>
      <c r="I187" s="1">
        <v>9.5449999999999999</v>
      </c>
      <c r="J187" s="1">
        <v>411.99299999999999</v>
      </c>
      <c r="K187" s="1">
        <v>421.53800000000001</v>
      </c>
      <c r="L187" s="1" t="s">
        <v>14</v>
      </c>
    </row>
    <row r="188" spans="1:12" ht="13" x14ac:dyDescent="0.15">
      <c r="A188" s="1">
        <v>3</v>
      </c>
      <c r="B188" s="1">
        <v>2</v>
      </c>
      <c r="C188" s="1">
        <v>5</v>
      </c>
      <c r="D188" s="1" t="s">
        <v>24</v>
      </c>
      <c r="E188" s="1">
        <v>524</v>
      </c>
      <c r="F188" s="1">
        <v>2.5000000000000001E-2</v>
      </c>
      <c r="G188" s="1">
        <v>5342573</v>
      </c>
      <c r="H188" s="1">
        <v>195.32499999999999</v>
      </c>
      <c r="I188" s="1">
        <v>12.923</v>
      </c>
      <c r="J188" s="1">
        <v>220.30699999999999</v>
      </c>
      <c r="K188" s="1">
        <v>233.23099999999999</v>
      </c>
      <c r="L188" s="1" t="s">
        <v>14</v>
      </c>
    </row>
    <row r="189" spans="1:12" ht="13" x14ac:dyDescent="0.15">
      <c r="A189" s="1">
        <v>3</v>
      </c>
      <c r="B189" s="1">
        <v>2</v>
      </c>
      <c r="C189" s="1">
        <v>6</v>
      </c>
      <c r="D189" s="1" t="s">
        <v>24</v>
      </c>
      <c r="E189" s="1">
        <v>555</v>
      </c>
      <c r="F189" s="1">
        <v>1.7999999999999999E-2</v>
      </c>
      <c r="G189" s="1">
        <v>12590903</v>
      </c>
      <c r="H189" s="1">
        <v>328.48500000000001</v>
      </c>
      <c r="I189" s="1">
        <v>24.686</v>
      </c>
      <c r="J189" s="1">
        <v>384.20100000000002</v>
      </c>
      <c r="K189" s="1">
        <v>408.88600000000002</v>
      </c>
      <c r="L189" s="1" t="s">
        <v>14</v>
      </c>
    </row>
    <row r="190" spans="1:12" ht="13" x14ac:dyDescent="0.15">
      <c r="A190" s="1">
        <v>3</v>
      </c>
      <c r="B190" s="1">
        <v>2</v>
      </c>
      <c r="C190" s="1">
        <v>8</v>
      </c>
      <c r="D190" s="1" t="s">
        <v>24</v>
      </c>
      <c r="E190" s="1">
        <v>771</v>
      </c>
      <c r="F190" s="1">
        <v>4.8000000000000001E-2</v>
      </c>
      <c r="G190" s="1">
        <v>12673750</v>
      </c>
      <c r="H190" s="1">
        <v>739.95399999999995</v>
      </c>
      <c r="I190" s="1">
        <v>17.452999999999999</v>
      </c>
      <c r="J190" s="1">
        <v>798.77499999999998</v>
      </c>
      <c r="K190" s="1">
        <v>816.22799999999995</v>
      </c>
      <c r="L190" s="1" t="s">
        <v>14</v>
      </c>
    </row>
    <row r="191" spans="1:12" ht="13" x14ac:dyDescent="0.15">
      <c r="A191" s="1">
        <v>3</v>
      </c>
      <c r="B191" s="1">
        <v>2</v>
      </c>
      <c r="C191" s="1">
        <v>9</v>
      </c>
      <c r="D191" s="1" t="s">
        <v>24</v>
      </c>
      <c r="E191" s="1">
        <v>761</v>
      </c>
      <c r="F191" s="1">
        <v>0.05</v>
      </c>
      <c r="G191" s="1">
        <v>12798094</v>
      </c>
      <c r="H191" s="1">
        <v>698.28899999999999</v>
      </c>
      <c r="I191" s="1">
        <v>16.73</v>
      </c>
      <c r="J191" s="1">
        <v>760.58399999999995</v>
      </c>
      <c r="K191" s="1">
        <v>777.31299999999999</v>
      </c>
      <c r="L191" s="1" t="s">
        <v>14</v>
      </c>
    </row>
    <row r="192" spans="1:12" ht="13" x14ac:dyDescent="0.15">
      <c r="A192" s="1">
        <v>3</v>
      </c>
      <c r="B192" s="1">
        <v>2</v>
      </c>
      <c r="C192" s="1">
        <v>11</v>
      </c>
      <c r="D192" s="1" t="s">
        <v>24</v>
      </c>
      <c r="E192" s="1">
        <v>746</v>
      </c>
      <c r="F192" s="1">
        <v>0.05</v>
      </c>
      <c r="G192" s="1">
        <v>15167914</v>
      </c>
      <c r="H192" s="1">
        <v>934.08100000000002</v>
      </c>
      <c r="I192" s="1">
        <v>17.832999999999998</v>
      </c>
      <c r="J192" s="1">
        <v>1008.879</v>
      </c>
      <c r="K192" s="1">
        <v>1026.713</v>
      </c>
      <c r="L192" s="1" t="s">
        <v>14</v>
      </c>
    </row>
    <row r="193" spans="1:26" ht="13" x14ac:dyDescent="0.15">
      <c r="A193" s="1">
        <v>3</v>
      </c>
      <c r="B193" s="1">
        <v>2</v>
      </c>
      <c r="C193" s="1">
        <v>12</v>
      </c>
      <c r="D193" s="1" t="s">
        <v>24</v>
      </c>
      <c r="E193" s="1">
        <v>729</v>
      </c>
      <c r="F193" s="1">
        <v>0.04</v>
      </c>
      <c r="G193" s="1">
        <v>12996363</v>
      </c>
      <c r="H193" s="1">
        <v>566.58699999999999</v>
      </c>
      <c r="I193" s="1">
        <v>18.381</v>
      </c>
      <c r="J193" s="1">
        <v>632.72900000000004</v>
      </c>
      <c r="K193" s="1">
        <v>651.11</v>
      </c>
      <c r="L193" s="1" t="s">
        <v>14</v>
      </c>
    </row>
    <row r="194" spans="1:26" ht="13" x14ac:dyDescent="0.15">
      <c r="A194" s="1">
        <v>3</v>
      </c>
      <c r="B194" s="1">
        <v>2</v>
      </c>
      <c r="C194" s="1">
        <v>15</v>
      </c>
      <c r="D194" s="1" t="s">
        <v>24</v>
      </c>
      <c r="E194" s="1">
        <v>454</v>
      </c>
      <c r="F194" s="1">
        <v>1.4999999999999999E-2</v>
      </c>
      <c r="G194" s="1">
        <v>7628282</v>
      </c>
      <c r="H194" s="1">
        <v>200.94</v>
      </c>
      <c r="I194" s="1">
        <v>18.486999999999998</v>
      </c>
      <c r="J194" s="1">
        <v>235.57599999999999</v>
      </c>
      <c r="K194" s="1">
        <v>254.06200000000001</v>
      </c>
      <c r="L194" s="1" t="s">
        <v>14</v>
      </c>
    </row>
    <row r="195" spans="1:26" ht="13" x14ac:dyDescent="0.15">
      <c r="A195" s="1">
        <v>3</v>
      </c>
      <c r="B195" s="1">
        <v>2</v>
      </c>
      <c r="C195" s="1">
        <v>16</v>
      </c>
      <c r="D195" s="1" t="s">
        <v>24</v>
      </c>
      <c r="E195" s="1">
        <v>761</v>
      </c>
      <c r="F195" s="1">
        <v>3.5000000000000003E-2</v>
      </c>
      <c r="G195" s="1">
        <v>3609130</v>
      </c>
      <c r="H195" s="1">
        <v>131.14099999999999</v>
      </c>
      <c r="I195" s="1">
        <v>9.4009999999999998</v>
      </c>
      <c r="J195" s="1">
        <v>147.739</v>
      </c>
      <c r="K195" s="1">
        <v>157.13999999999999</v>
      </c>
      <c r="L195" s="1" t="s">
        <v>14</v>
      </c>
    </row>
    <row r="196" spans="1:26" ht="13" x14ac:dyDescent="0.15">
      <c r="A196" s="1">
        <v>3</v>
      </c>
      <c r="B196" s="1">
        <v>2</v>
      </c>
      <c r="C196" s="1">
        <v>18</v>
      </c>
      <c r="D196" s="1" t="s">
        <v>24</v>
      </c>
      <c r="E196" s="1">
        <v>737</v>
      </c>
      <c r="F196" s="1">
        <v>4.8000000000000001E-2</v>
      </c>
      <c r="G196" s="1">
        <v>18152383</v>
      </c>
      <c r="H196" s="1">
        <v>1221.3240000000001</v>
      </c>
      <c r="I196" s="1">
        <v>24.087</v>
      </c>
      <c r="J196" s="1">
        <v>1306.075</v>
      </c>
      <c r="K196" s="1">
        <v>1330.162</v>
      </c>
      <c r="L196" s="1" t="s">
        <v>14</v>
      </c>
    </row>
    <row r="197" spans="1:26" ht="13" x14ac:dyDescent="0.15">
      <c r="A197" s="1">
        <v>3</v>
      </c>
      <c r="B197" s="1">
        <v>2</v>
      </c>
      <c r="C197" s="1">
        <v>20</v>
      </c>
      <c r="D197" s="1" t="s">
        <v>24</v>
      </c>
      <c r="E197" s="1">
        <v>571</v>
      </c>
      <c r="F197" s="1">
        <v>2.7E-2</v>
      </c>
      <c r="G197" s="1">
        <v>14491820</v>
      </c>
      <c r="H197" s="1">
        <v>605.47500000000002</v>
      </c>
      <c r="I197" s="1">
        <v>23.981000000000002</v>
      </c>
      <c r="J197" s="1">
        <v>673.09699999999998</v>
      </c>
      <c r="K197" s="1">
        <v>697.07799999999997</v>
      </c>
      <c r="L197" s="1" t="s">
        <v>14</v>
      </c>
    </row>
    <row r="198" spans="1:26" ht="13" x14ac:dyDescent="0.15">
      <c r="A198" s="5">
        <v>3</v>
      </c>
      <c r="B198" s="5">
        <v>3</v>
      </c>
      <c r="C198" s="5">
        <v>1</v>
      </c>
      <c r="D198" s="6" t="s">
        <v>24</v>
      </c>
      <c r="E198" s="5">
        <v>1378</v>
      </c>
      <c r="F198" s="5">
        <v>0.157</v>
      </c>
      <c r="G198" s="5">
        <v>59832040</v>
      </c>
      <c r="H198" s="5">
        <v>3476.6959999999999</v>
      </c>
      <c r="I198" s="5">
        <v>40.531999999999996</v>
      </c>
      <c r="J198" s="5">
        <v>3746.107</v>
      </c>
      <c r="K198" s="5">
        <v>3786.6579999999999</v>
      </c>
      <c r="L198" s="6" t="s">
        <v>14</v>
      </c>
    </row>
    <row r="199" spans="1:26" ht="13" x14ac:dyDescent="0.15">
      <c r="A199" s="5">
        <v>3</v>
      </c>
      <c r="B199" s="5">
        <v>3</v>
      </c>
      <c r="C199" s="5">
        <v>2</v>
      </c>
      <c r="D199" s="6" t="s">
        <v>24</v>
      </c>
      <c r="E199" s="5">
        <v>1004</v>
      </c>
      <c r="F199" s="5">
        <v>4.4999999999999998E-2</v>
      </c>
      <c r="G199" s="5">
        <v>46123268</v>
      </c>
      <c r="H199" s="5">
        <v>1867.59</v>
      </c>
      <c r="I199" s="5">
        <v>49.667999999999999</v>
      </c>
      <c r="J199" s="5">
        <v>2081.2660000000001</v>
      </c>
      <c r="K199" s="5">
        <v>2130.9340000000002</v>
      </c>
      <c r="L199" s="6" t="s">
        <v>14</v>
      </c>
    </row>
    <row r="200" spans="1:26" ht="13" x14ac:dyDescent="0.15">
      <c r="A200" s="5">
        <v>3</v>
      </c>
      <c r="B200" s="5">
        <v>3</v>
      </c>
      <c r="C200" s="5">
        <v>5</v>
      </c>
      <c r="D200" s="6" t="s">
        <v>24</v>
      </c>
      <c r="E200" s="5">
        <v>1216</v>
      </c>
      <c r="F200" s="5">
        <v>0.13200000000000001</v>
      </c>
      <c r="G200" s="5">
        <v>25900040</v>
      </c>
      <c r="H200" s="5">
        <v>1114.625</v>
      </c>
      <c r="I200" s="5">
        <v>27.757000000000001</v>
      </c>
      <c r="J200" s="5">
        <v>1226.509</v>
      </c>
      <c r="K200" s="5">
        <v>1254.298</v>
      </c>
      <c r="L200" s="6" t="s">
        <v>14</v>
      </c>
    </row>
    <row r="201" spans="1:26" ht="13" x14ac:dyDescent="0.15">
      <c r="A201" s="5">
        <v>3</v>
      </c>
      <c r="B201" s="5">
        <v>3</v>
      </c>
      <c r="C201" s="5">
        <v>6</v>
      </c>
      <c r="D201" s="6" t="s">
        <v>24</v>
      </c>
      <c r="E201" s="5">
        <v>1259</v>
      </c>
      <c r="F201" s="5">
        <v>0.121</v>
      </c>
      <c r="G201" s="5">
        <v>65572010</v>
      </c>
      <c r="H201" s="5">
        <v>2613.884</v>
      </c>
      <c r="I201" s="5">
        <v>49.802999999999997</v>
      </c>
      <c r="J201" s="5">
        <v>2923.2249999999999</v>
      </c>
      <c r="K201" s="5">
        <v>2973.0540000000001</v>
      </c>
      <c r="L201" s="6" t="s">
        <v>14</v>
      </c>
    </row>
    <row r="202" spans="1:26" ht="13" x14ac:dyDescent="0.15">
      <c r="A202" s="2">
        <v>4</v>
      </c>
      <c r="B202" s="2">
        <v>1</v>
      </c>
      <c r="C202" s="2">
        <v>10</v>
      </c>
      <c r="D202" s="2" t="s">
        <v>20</v>
      </c>
      <c r="E202" s="2">
        <v>814</v>
      </c>
      <c r="F202" s="2">
        <v>0.03</v>
      </c>
      <c r="G202" s="2">
        <v>18214063</v>
      </c>
      <c r="H202" s="2">
        <v>583.51099999999997</v>
      </c>
      <c r="I202" s="2">
        <v>20.786999999999999</v>
      </c>
      <c r="J202" s="2">
        <v>667.26199999999994</v>
      </c>
      <c r="K202" s="2">
        <v>688.048</v>
      </c>
      <c r="L202" s="2" t="s">
        <v>14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>
        <v>4</v>
      </c>
      <c r="B203" s="2">
        <v>1</v>
      </c>
      <c r="C203" s="2">
        <v>14</v>
      </c>
      <c r="D203" s="2" t="s">
        <v>30</v>
      </c>
      <c r="E203" s="2">
        <v>599</v>
      </c>
      <c r="F203" s="2">
        <v>3.4000000000000002E-2</v>
      </c>
      <c r="G203" s="2">
        <v>10784962</v>
      </c>
      <c r="H203" s="2">
        <v>596.18899999999996</v>
      </c>
      <c r="I203" s="2">
        <v>17.585999999999999</v>
      </c>
      <c r="J203" s="2">
        <v>649.99599999999998</v>
      </c>
      <c r="K203" s="2">
        <v>667.58299999999997</v>
      </c>
      <c r="L203" s="2" t="s">
        <v>14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>
        <v>4</v>
      </c>
      <c r="B204" s="2">
        <v>1</v>
      </c>
      <c r="C204" s="2">
        <v>17</v>
      </c>
      <c r="D204" s="2" t="s">
        <v>21</v>
      </c>
      <c r="E204" s="2">
        <v>661</v>
      </c>
      <c r="F204" s="2">
        <v>3.2000000000000001E-2</v>
      </c>
      <c r="G204" s="2">
        <v>13655032</v>
      </c>
      <c r="H204" s="2">
        <v>601.59199999999998</v>
      </c>
      <c r="I204" s="2">
        <v>19.416</v>
      </c>
      <c r="J204" s="2">
        <v>669.9</v>
      </c>
      <c r="K204" s="2">
        <v>689.31600000000003</v>
      </c>
      <c r="L204" s="2" t="s">
        <v>14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>
        <v>4</v>
      </c>
      <c r="B205" s="2">
        <v>1</v>
      </c>
      <c r="C205" s="2">
        <v>19</v>
      </c>
      <c r="D205" s="2" t="s">
        <v>22</v>
      </c>
      <c r="E205" s="2">
        <v>702</v>
      </c>
      <c r="F205" s="2">
        <v>3.6999999999999998E-2</v>
      </c>
      <c r="G205" s="2">
        <v>5976894</v>
      </c>
      <c r="H205" s="2">
        <v>276.899</v>
      </c>
      <c r="I205" s="2">
        <v>11.085000000000001</v>
      </c>
      <c r="J205" s="2">
        <v>302.80399999999997</v>
      </c>
      <c r="K205" s="2">
        <v>313.88900000000001</v>
      </c>
      <c r="L205" s="2" t="s">
        <v>14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3">
        <v>4</v>
      </c>
      <c r="B206" s="3">
        <v>2</v>
      </c>
      <c r="C206" s="3">
        <v>7</v>
      </c>
      <c r="D206" s="4" t="s">
        <v>34</v>
      </c>
      <c r="E206" s="3">
        <v>1407</v>
      </c>
      <c r="F206" s="3">
        <v>0.154</v>
      </c>
      <c r="G206" s="3">
        <v>68000388</v>
      </c>
      <c r="H206" s="3">
        <v>5151.9750000000004</v>
      </c>
      <c r="I206" s="3">
        <v>41.503</v>
      </c>
      <c r="J206" s="3">
        <v>5477.4960000000001</v>
      </c>
      <c r="K206" s="3">
        <v>5519.0010000000002</v>
      </c>
      <c r="L206" s="4" t="s">
        <v>14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1">
        <v>4</v>
      </c>
      <c r="B207" s="1">
        <v>1</v>
      </c>
      <c r="C207" s="1">
        <v>1</v>
      </c>
      <c r="D207" s="1" t="s">
        <v>24</v>
      </c>
      <c r="E207" s="1">
        <v>534</v>
      </c>
      <c r="F207" s="1">
        <v>2.1999999999999999E-2</v>
      </c>
      <c r="G207" s="1">
        <v>10889032</v>
      </c>
      <c r="H207" s="1">
        <v>372.78100000000001</v>
      </c>
      <c r="I207" s="1">
        <v>16.119</v>
      </c>
      <c r="J207" s="1">
        <v>422.25400000000002</v>
      </c>
      <c r="K207" s="1">
        <v>438.37299999999999</v>
      </c>
      <c r="L207" s="1" t="s">
        <v>14</v>
      </c>
    </row>
    <row r="208" spans="1:26" ht="13" x14ac:dyDescent="0.15">
      <c r="A208" s="1">
        <v>4</v>
      </c>
      <c r="B208" s="1">
        <v>1</v>
      </c>
      <c r="C208" s="1">
        <v>2</v>
      </c>
      <c r="D208" s="1" t="s">
        <v>24</v>
      </c>
      <c r="E208" s="1">
        <v>449</v>
      </c>
      <c r="F208" s="1">
        <v>1.2999999999999999E-2</v>
      </c>
      <c r="G208" s="1">
        <v>6848493</v>
      </c>
      <c r="H208" s="1">
        <v>182.042</v>
      </c>
      <c r="I208" s="1">
        <v>19.648</v>
      </c>
      <c r="J208" s="1">
        <v>208.08699999999999</v>
      </c>
      <c r="K208" s="1">
        <v>227.73599999999999</v>
      </c>
      <c r="L208" s="1" t="s">
        <v>14</v>
      </c>
    </row>
    <row r="209" spans="1:12" ht="13" x14ac:dyDescent="0.15">
      <c r="A209" s="1">
        <v>4</v>
      </c>
      <c r="B209" s="1">
        <v>1</v>
      </c>
      <c r="C209" s="1">
        <v>3</v>
      </c>
      <c r="D209" s="1" t="s">
        <v>24</v>
      </c>
      <c r="E209" s="1">
        <v>878</v>
      </c>
      <c r="F209" s="1">
        <v>7.0999999999999994E-2</v>
      </c>
      <c r="G209" s="1">
        <v>3152728</v>
      </c>
      <c r="H209" s="1">
        <v>229.64099999999999</v>
      </c>
      <c r="I209" s="1">
        <v>6.8289999999999997</v>
      </c>
      <c r="J209" s="1">
        <v>244.15700000000001</v>
      </c>
      <c r="K209" s="1">
        <v>250.98599999999999</v>
      </c>
      <c r="L209" s="1" t="s">
        <v>14</v>
      </c>
    </row>
    <row r="210" spans="1:12" ht="13" x14ac:dyDescent="0.15">
      <c r="A210" s="1">
        <v>4</v>
      </c>
      <c r="B210" s="1">
        <v>1</v>
      </c>
      <c r="C210" s="1">
        <v>4</v>
      </c>
      <c r="D210" s="1" t="s">
        <v>24</v>
      </c>
      <c r="E210" s="1">
        <v>678</v>
      </c>
      <c r="F210" s="1">
        <v>2.7E-2</v>
      </c>
      <c r="G210" s="1">
        <v>8040372</v>
      </c>
      <c r="H210" s="1">
        <v>267.30799999999999</v>
      </c>
      <c r="I210" s="1">
        <v>14.025</v>
      </c>
      <c r="J210" s="1">
        <v>304.84899999999999</v>
      </c>
      <c r="K210" s="1">
        <v>318.87400000000002</v>
      </c>
      <c r="L210" s="1" t="s">
        <v>14</v>
      </c>
    </row>
    <row r="211" spans="1:12" ht="13" x14ac:dyDescent="0.15">
      <c r="A211" s="1">
        <v>4</v>
      </c>
      <c r="B211" s="1">
        <v>1</v>
      </c>
      <c r="C211" s="1">
        <v>5</v>
      </c>
      <c r="D211" s="1" t="s">
        <v>24</v>
      </c>
      <c r="E211" s="1">
        <v>524</v>
      </c>
      <c r="F211" s="1">
        <v>0.02</v>
      </c>
      <c r="G211" s="1">
        <v>2748493</v>
      </c>
      <c r="H211" s="1">
        <v>78.986000000000004</v>
      </c>
      <c r="I211" s="1">
        <v>8.94</v>
      </c>
      <c r="J211" s="1">
        <v>90.706999999999994</v>
      </c>
      <c r="K211" s="1">
        <v>99.647999999999996</v>
      </c>
      <c r="L211" s="1" t="s">
        <v>14</v>
      </c>
    </row>
    <row r="212" spans="1:12" ht="13" x14ac:dyDescent="0.15">
      <c r="A212" s="1">
        <v>4</v>
      </c>
      <c r="B212" s="1">
        <v>1</v>
      </c>
      <c r="C212" s="1">
        <v>6</v>
      </c>
      <c r="D212" s="1" t="s">
        <v>24</v>
      </c>
      <c r="E212" s="1">
        <v>555</v>
      </c>
      <c r="F212" s="1">
        <v>1.7999999999999999E-2</v>
      </c>
      <c r="G212" s="1">
        <v>13624443</v>
      </c>
      <c r="H212" s="1">
        <v>372.18799999999999</v>
      </c>
      <c r="I212" s="1">
        <v>24.867000000000001</v>
      </c>
      <c r="J212" s="1">
        <v>438.00299999999999</v>
      </c>
      <c r="K212" s="1">
        <v>462.87099999999998</v>
      </c>
      <c r="L212" s="1" t="s">
        <v>14</v>
      </c>
    </row>
    <row r="213" spans="1:12" ht="13" x14ac:dyDescent="0.15">
      <c r="A213" s="1">
        <v>4</v>
      </c>
      <c r="B213" s="1">
        <v>1</v>
      </c>
      <c r="C213" s="1">
        <v>7</v>
      </c>
      <c r="D213" s="1" t="s">
        <v>24</v>
      </c>
      <c r="E213" s="1">
        <v>643</v>
      </c>
      <c r="F213" s="1">
        <v>3.7999999999999999E-2</v>
      </c>
      <c r="G213" s="1">
        <v>11943117</v>
      </c>
      <c r="H213" s="1">
        <v>591.22699999999998</v>
      </c>
      <c r="I213" s="1">
        <v>17.957000000000001</v>
      </c>
      <c r="J213" s="1">
        <v>646.64</v>
      </c>
      <c r="K213" s="1">
        <v>664.59699999999998</v>
      </c>
      <c r="L213" s="1" t="s">
        <v>14</v>
      </c>
    </row>
    <row r="214" spans="1:12" ht="13" x14ac:dyDescent="0.15">
      <c r="A214" s="1">
        <v>4</v>
      </c>
      <c r="B214" s="1">
        <v>1</v>
      </c>
      <c r="C214" s="1">
        <v>8</v>
      </c>
      <c r="D214" s="1" t="s">
        <v>24</v>
      </c>
      <c r="E214" s="1">
        <v>771</v>
      </c>
      <c r="F214" s="1">
        <v>3.4000000000000002E-2</v>
      </c>
      <c r="G214" s="1">
        <v>11677182</v>
      </c>
      <c r="H214" s="1">
        <v>476.76</v>
      </c>
      <c r="I214" s="1">
        <v>16.056000000000001</v>
      </c>
      <c r="J214" s="1">
        <v>529.85599999999999</v>
      </c>
      <c r="K214" s="1">
        <v>545.91200000000003</v>
      </c>
      <c r="L214" s="1" t="s">
        <v>14</v>
      </c>
    </row>
    <row r="215" spans="1:12" ht="13" x14ac:dyDescent="0.15">
      <c r="A215" s="1">
        <v>4</v>
      </c>
      <c r="B215" s="1">
        <v>1</v>
      </c>
      <c r="C215" s="1">
        <v>9</v>
      </c>
      <c r="D215" s="1" t="s">
        <v>24</v>
      </c>
      <c r="E215" s="1">
        <v>761</v>
      </c>
      <c r="F215" s="1">
        <v>2.4E-2</v>
      </c>
      <c r="G215" s="1">
        <v>10011255</v>
      </c>
      <c r="H215" s="1">
        <v>247.202</v>
      </c>
      <c r="I215" s="1">
        <v>13.583</v>
      </c>
      <c r="J215" s="1">
        <v>298.38499999999999</v>
      </c>
      <c r="K215" s="1">
        <v>311.96800000000002</v>
      </c>
      <c r="L215" s="1" t="s">
        <v>14</v>
      </c>
    </row>
    <row r="216" spans="1:12" ht="13" x14ac:dyDescent="0.15">
      <c r="A216" s="1">
        <v>4</v>
      </c>
      <c r="B216" s="1">
        <v>1</v>
      </c>
      <c r="C216" s="1">
        <v>11</v>
      </c>
      <c r="D216" s="1" t="s">
        <v>24</v>
      </c>
      <c r="E216" s="1">
        <v>746</v>
      </c>
      <c r="F216" s="1">
        <v>4.3999999999999997E-2</v>
      </c>
      <c r="G216" s="1">
        <v>12350538</v>
      </c>
      <c r="H216" s="1">
        <v>641.04499999999996</v>
      </c>
      <c r="I216" s="1">
        <v>14.285</v>
      </c>
      <c r="J216" s="1">
        <v>702.94</v>
      </c>
      <c r="K216" s="1">
        <v>717.22500000000002</v>
      </c>
      <c r="L216" s="1" t="s">
        <v>14</v>
      </c>
    </row>
    <row r="217" spans="1:12" ht="13" x14ac:dyDescent="0.15">
      <c r="A217" s="1">
        <v>4</v>
      </c>
      <c r="B217" s="1">
        <v>1</v>
      </c>
      <c r="C217" s="1">
        <v>12</v>
      </c>
      <c r="D217" s="1" t="s">
        <v>24</v>
      </c>
      <c r="E217" s="1">
        <v>729</v>
      </c>
      <c r="F217" s="1">
        <v>3.6999999999999998E-2</v>
      </c>
      <c r="G217" s="1">
        <v>8587520</v>
      </c>
      <c r="H217" s="1">
        <v>334.339</v>
      </c>
      <c r="I217" s="1">
        <v>14.183</v>
      </c>
      <c r="J217" s="1">
        <v>372.22500000000002</v>
      </c>
      <c r="K217" s="1">
        <v>386.40800000000002</v>
      </c>
      <c r="L217" s="1" t="s">
        <v>14</v>
      </c>
    </row>
    <row r="218" spans="1:12" ht="13" x14ac:dyDescent="0.15">
      <c r="A218" s="1">
        <v>4</v>
      </c>
      <c r="B218" s="1">
        <v>1</v>
      </c>
      <c r="C218" s="1">
        <v>13</v>
      </c>
      <c r="D218" s="1" t="s">
        <v>24</v>
      </c>
      <c r="E218" s="1">
        <v>550</v>
      </c>
      <c r="F218" s="1">
        <v>2.5999999999999999E-2</v>
      </c>
      <c r="G218" s="1">
        <v>1307621</v>
      </c>
      <c r="H218" s="1">
        <v>40.643000000000001</v>
      </c>
      <c r="I218" s="1">
        <v>5.9139999999999997</v>
      </c>
      <c r="J218" s="1">
        <v>46.64</v>
      </c>
      <c r="K218" s="1">
        <v>52.554000000000002</v>
      </c>
      <c r="L218" s="1" t="s">
        <v>14</v>
      </c>
    </row>
    <row r="219" spans="1:12" ht="13" x14ac:dyDescent="0.15">
      <c r="A219" s="1">
        <v>4</v>
      </c>
      <c r="B219" s="1">
        <v>1</v>
      </c>
      <c r="C219" s="1">
        <v>15</v>
      </c>
      <c r="D219" s="1" t="s">
        <v>24</v>
      </c>
      <c r="E219" s="1">
        <v>454</v>
      </c>
      <c r="F219" s="1">
        <v>2.1000000000000001E-2</v>
      </c>
      <c r="G219" s="1">
        <v>8420312</v>
      </c>
      <c r="H219" s="1">
        <v>378.40499999999997</v>
      </c>
      <c r="I219" s="1">
        <v>17.396000000000001</v>
      </c>
      <c r="J219" s="1">
        <v>416.40300000000002</v>
      </c>
      <c r="K219" s="1">
        <v>433.79899999999998</v>
      </c>
      <c r="L219" s="1" t="s">
        <v>14</v>
      </c>
    </row>
    <row r="220" spans="1:12" ht="13" x14ac:dyDescent="0.15">
      <c r="A220" s="1">
        <v>4</v>
      </c>
      <c r="B220" s="1">
        <v>1</v>
      </c>
      <c r="C220" s="1">
        <v>16</v>
      </c>
      <c r="D220" s="1" t="s">
        <v>24</v>
      </c>
      <c r="E220" s="1">
        <v>761</v>
      </c>
      <c r="F220" s="1">
        <v>2.8000000000000001E-2</v>
      </c>
      <c r="G220" s="1">
        <v>1959938</v>
      </c>
      <c r="H220" s="1">
        <v>61.177</v>
      </c>
      <c r="I220" s="1">
        <v>6.0720000000000001</v>
      </c>
      <c r="J220" s="1">
        <v>69.094999999999999</v>
      </c>
      <c r="K220" s="1">
        <v>75.167000000000002</v>
      </c>
      <c r="L220" s="1" t="s">
        <v>14</v>
      </c>
    </row>
    <row r="221" spans="1:12" ht="13" x14ac:dyDescent="0.15">
      <c r="A221" s="1">
        <v>4</v>
      </c>
      <c r="B221" s="1">
        <v>1</v>
      </c>
      <c r="C221" s="1">
        <v>18</v>
      </c>
      <c r="D221" s="1" t="s">
        <v>24</v>
      </c>
      <c r="E221" s="1">
        <v>737</v>
      </c>
      <c r="F221" s="1">
        <v>5.7000000000000002E-2</v>
      </c>
      <c r="G221" s="1">
        <v>18082971</v>
      </c>
      <c r="H221" s="1">
        <v>1414.2380000000001</v>
      </c>
      <c r="I221" s="1">
        <v>23.925999999999998</v>
      </c>
      <c r="J221" s="1">
        <v>1494.6389999999999</v>
      </c>
      <c r="K221" s="1">
        <v>1518.5650000000001</v>
      </c>
      <c r="L221" s="1" t="s">
        <v>14</v>
      </c>
    </row>
    <row r="222" spans="1:12" ht="13" x14ac:dyDescent="0.15">
      <c r="A222" s="1">
        <v>4</v>
      </c>
      <c r="B222" s="1">
        <v>1</v>
      </c>
      <c r="C222" s="1">
        <v>20</v>
      </c>
      <c r="D222" s="1" t="s">
        <v>24</v>
      </c>
      <c r="E222" s="1">
        <v>571</v>
      </c>
      <c r="F222" s="1">
        <v>0.02</v>
      </c>
      <c r="G222" s="1">
        <v>13673424</v>
      </c>
      <c r="H222" s="1">
        <v>402.94900000000001</v>
      </c>
      <c r="I222" s="1">
        <v>22.355</v>
      </c>
      <c r="J222" s="1">
        <v>467.12700000000001</v>
      </c>
      <c r="K222" s="1">
        <v>489.48200000000003</v>
      </c>
      <c r="L222" s="1" t="s">
        <v>14</v>
      </c>
    </row>
    <row r="223" spans="1:12" ht="13" x14ac:dyDescent="0.15">
      <c r="A223" s="5">
        <v>4</v>
      </c>
      <c r="B223" s="5">
        <v>2</v>
      </c>
      <c r="C223" s="5">
        <v>1</v>
      </c>
      <c r="D223" s="6" t="s">
        <v>24</v>
      </c>
      <c r="E223" s="5">
        <v>1378</v>
      </c>
      <c r="F223" s="5">
        <v>0.14899999999999999</v>
      </c>
      <c r="G223" s="5">
        <v>68538860</v>
      </c>
      <c r="H223" s="5">
        <v>3582.9810000000002</v>
      </c>
      <c r="I223" s="5">
        <v>41.398000000000003</v>
      </c>
      <c r="J223" s="5">
        <v>3907.6559999999999</v>
      </c>
      <c r="K223" s="5">
        <v>3949.0839999999998</v>
      </c>
      <c r="L223" s="6" t="s">
        <v>14</v>
      </c>
    </row>
    <row r="224" spans="1:12" ht="13" x14ac:dyDescent="0.15">
      <c r="A224" s="5">
        <v>4</v>
      </c>
      <c r="B224" s="5">
        <v>2</v>
      </c>
      <c r="C224" s="5">
        <v>2</v>
      </c>
      <c r="D224" s="6" t="s">
        <v>24</v>
      </c>
      <c r="E224" s="5">
        <v>1004</v>
      </c>
      <c r="F224" s="5">
        <v>4.5999999999999999E-2</v>
      </c>
      <c r="G224" s="5">
        <v>44254938</v>
      </c>
      <c r="H224" s="5">
        <v>1831.8030000000001</v>
      </c>
      <c r="I224" s="5">
        <v>48.069000000000003</v>
      </c>
      <c r="J224" s="5">
        <v>2031.787</v>
      </c>
      <c r="K224" s="5">
        <v>2079.8560000000002</v>
      </c>
      <c r="L224" s="6" t="s">
        <v>14</v>
      </c>
    </row>
    <row r="225" spans="1:26" ht="13" x14ac:dyDescent="0.15">
      <c r="A225" s="5">
        <v>4</v>
      </c>
      <c r="B225" s="5">
        <v>2</v>
      </c>
      <c r="C225" s="5">
        <v>3</v>
      </c>
      <c r="D225" s="6" t="s">
        <v>24</v>
      </c>
      <c r="E225" s="5">
        <v>1779</v>
      </c>
      <c r="F225" s="5">
        <v>0.23100000000000001</v>
      </c>
      <c r="G225" s="5">
        <v>15463550</v>
      </c>
      <c r="H225" s="5">
        <v>1297.491</v>
      </c>
      <c r="I225" s="5">
        <v>16.797999999999998</v>
      </c>
      <c r="J225" s="5">
        <v>1348.74</v>
      </c>
      <c r="K225" s="5">
        <v>1365.566</v>
      </c>
      <c r="L225" s="6" t="s">
        <v>14</v>
      </c>
    </row>
    <row r="226" spans="1:26" ht="13" x14ac:dyDescent="0.15">
      <c r="A226" s="5">
        <v>4</v>
      </c>
      <c r="B226" s="5">
        <v>2</v>
      </c>
      <c r="C226" s="5">
        <v>4</v>
      </c>
      <c r="D226" s="6" t="s">
        <v>24</v>
      </c>
      <c r="E226" s="5">
        <v>1380</v>
      </c>
      <c r="F226" s="5">
        <v>0.111</v>
      </c>
      <c r="G226" s="5">
        <v>45317195</v>
      </c>
      <c r="H226" s="5">
        <v>2203.7759999999998</v>
      </c>
      <c r="I226" s="5">
        <v>34.805999999999997</v>
      </c>
      <c r="J226" s="5">
        <v>2431.6990000000001</v>
      </c>
      <c r="K226" s="5">
        <v>2466.527</v>
      </c>
      <c r="L226" s="6" t="s">
        <v>14</v>
      </c>
    </row>
    <row r="227" spans="1:26" ht="13" x14ac:dyDescent="0.15">
      <c r="A227" s="5">
        <v>4</v>
      </c>
      <c r="B227" s="5">
        <v>2</v>
      </c>
      <c r="C227" s="5">
        <v>5</v>
      </c>
      <c r="D227" s="6" t="s">
        <v>24</v>
      </c>
      <c r="E227" s="5">
        <v>1216</v>
      </c>
      <c r="F227" s="5">
        <v>0.17699999999999999</v>
      </c>
      <c r="G227" s="5">
        <v>20011150</v>
      </c>
      <c r="H227" s="5">
        <v>1716.81</v>
      </c>
      <c r="I227" s="5">
        <v>23.581</v>
      </c>
      <c r="J227" s="5">
        <v>1794.8409999999999</v>
      </c>
      <c r="K227" s="5">
        <v>1818.441</v>
      </c>
      <c r="L227" s="6" t="s">
        <v>14</v>
      </c>
    </row>
    <row r="228" spans="1:26" ht="13" x14ac:dyDescent="0.15">
      <c r="A228" s="5">
        <v>4</v>
      </c>
      <c r="B228" s="5">
        <v>2</v>
      </c>
      <c r="C228" s="5">
        <v>6</v>
      </c>
      <c r="D228" s="6" t="s">
        <v>24</v>
      </c>
      <c r="E228" s="5">
        <v>1259</v>
      </c>
      <c r="F228" s="5">
        <v>0.153</v>
      </c>
      <c r="G228" s="5">
        <v>66248186</v>
      </c>
      <c r="H228" s="5">
        <v>3251.8319999999999</v>
      </c>
      <c r="I228" s="5">
        <v>49.098999999999997</v>
      </c>
      <c r="J228" s="5">
        <v>3569.25</v>
      </c>
      <c r="K228" s="5">
        <v>3618.373</v>
      </c>
      <c r="L228" s="6" t="s">
        <v>14</v>
      </c>
    </row>
    <row r="229" spans="1:26" ht="13" x14ac:dyDescent="0.15">
      <c r="A229" s="5">
        <v>5</v>
      </c>
      <c r="B229" s="5">
        <v>1</v>
      </c>
      <c r="C229" s="5">
        <v>1</v>
      </c>
      <c r="D229" s="6" t="s">
        <v>24</v>
      </c>
      <c r="E229" s="5">
        <v>1378</v>
      </c>
      <c r="F229" s="5">
        <v>0.156</v>
      </c>
      <c r="G229" s="5">
        <v>49595108</v>
      </c>
      <c r="H229" s="5">
        <v>2403.0940000000001</v>
      </c>
      <c r="I229" s="5">
        <v>34.633000000000003</v>
      </c>
      <c r="J229" s="5">
        <v>2630.558</v>
      </c>
      <c r="K229" s="5">
        <v>2665.2089999999998</v>
      </c>
      <c r="L229" s="6" t="s">
        <v>14</v>
      </c>
    </row>
    <row r="230" spans="1:26" ht="13" x14ac:dyDescent="0.15">
      <c r="A230" s="5">
        <v>5</v>
      </c>
      <c r="B230" s="5">
        <v>1</v>
      </c>
      <c r="C230" s="5">
        <v>2</v>
      </c>
      <c r="D230" s="6" t="s">
        <v>24</v>
      </c>
      <c r="E230" s="5">
        <v>1004</v>
      </c>
      <c r="F230" s="5">
        <v>3.9E-2</v>
      </c>
      <c r="G230" s="5">
        <v>40577557</v>
      </c>
      <c r="H230" s="5">
        <v>1321.098</v>
      </c>
      <c r="I230" s="5">
        <v>44.652999999999999</v>
      </c>
      <c r="J230" s="5">
        <v>1499.4659999999999</v>
      </c>
      <c r="K230" s="5">
        <v>1544.1189999999999</v>
      </c>
      <c r="L230" s="6" t="s">
        <v>14</v>
      </c>
    </row>
    <row r="231" spans="1:26" ht="13" x14ac:dyDescent="0.15">
      <c r="A231" s="5">
        <v>5</v>
      </c>
      <c r="B231" s="5">
        <v>1</v>
      </c>
      <c r="C231" s="5">
        <v>3</v>
      </c>
      <c r="D231" s="6" t="s">
        <v>24</v>
      </c>
      <c r="E231" s="5">
        <v>1779</v>
      </c>
      <c r="F231" s="5">
        <v>0.125</v>
      </c>
      <c r="G231" s="5">
        <v>10668148</v>
      </c>
      <c r="H231" s="5">
        <v>410.02699999999999</v>
      </c>
      <c r="I231" s="5">
        <v>14.292</v>
      </c>
      <c r="J231" s="5">
        <v>445.32299999999998</v>
      </c>
      <c r="K231" s="5">
        <v>459.67500000000001</v>
      </c>
      <c r="L231" s="6" t="s">
        <v>14</v>
      </c>
    </row>
    <row r="232" spans="1:26" ht="13" x14ac:dyDescent="0.15">
      <c r="A232" s="5">
        <v>5</v>
      </c>
      <c r="B232" s="5">
        <v>1</v>
      </c>
      <c r="C232" s="5">
        <v>4</v>
      </c>
      <c r="D232" s="6" t="s">
        <v>24</v>
      </c>
      <c r="E232" s="5">
        <v>1380</v>
      </c>
      <c r="F232" s="5">
        <v>0.26100000000000001</v>
      </c>
      <c r="G232" s="5">
        <v>39942162</v>
      </c>
      <c r="H232" s="5">
        <v>1754.2570000000001</v>
      </c>
      <c r="I232" s="5">
        <v>29.324000000000002</v>
      </c>
      <c r="J232" s="5">
        <v>1939.2619999999999</v>
      </c>
      <c r="K232" s="5">
        <v>1968.607</v>
      </c>
      <c r="L232" s="6" t="s">
        <v>14</v>
      </c>
    </row>
    <row r="233" spans="1:26" ht="13" x14ac:dyDescent="0.15">
      <c r="A233" s="5">
        <v>5</v>
      </c>
      <c r="B233" s="5">
        <v>1</v>
      </c>
      <c r="C233" s="5">
        <v>5</v>
      </c>
      <c r="D233" s="6" t="s">
        <v>24</v>
      </c>
      <c r="E233" s="5">
        <v>1216</v>
      </c>
      <c r="F233" s="5">
        <v>0.13900000000000001</v>
      </c>
      <c r="G233" s="5">
        <v>15689529</v>
      </c>
      <c r="H233" s="5">
        <v>1118.0920000000001</v>
      </c>
      <c r="I233" s="5">
        <v>20.087</v>
      </c>
      <c r="J233" s="5">
        <v>1183.9739999999999</v>
      </c>
      <c r="K233" s="5">
        <v>1204.0920000000001</v>
      </c>
      <c r="L233" s="6" t="s">
        <v>14</v>
      </c>
    </row>
    <row r="234" spans="1:26" ht="13" x14ac:dyDescent="0.15">
      <c r="A234" s="5">
        <v>5</v>
      </c>
      <c r="B234" s="5">
        <v>1</v>
      </c>
      <c r="C234" s="5">
        <v>6</v>
      </c>
      <c r="D234" s="6" t="s">
        <v>24</v>
      </c>
      <c r="E234" s="5">
        <v>1259</v>
      </c>
      <c r="F234" s="5">
        <v>0.114</v>
      </c>
      <c r="G234" s="5">
        <v>58594280</v>
      </c>
      <c r="H234" s="5">
        <v>2801.3879999999999</v>
      </c>
      <c r="I234" s="5">
        <v>46.454999999999998</v>
      </c>
      <c r="J234" s="5">
        <v>3081.9859999999999</v>
      </c>
      <c r="K234" s="5">
        <v>3128.4589999999998</v>
      </c>
      <c r="L234" s="6" t="s">
        <v>14</v>
      </c>
    </row>
    <row r="235" spans="1:26" ht="13" x14ac:dyDescent="0.15">
      <c r="A235" s="5">
        <v>5</v>
      </c>
      <c r="B235" s="5">
        <v>1</v>
      </c>
      <c r="C235" s="5">
        <v>7</v>
      </c>
      <c r="D235" s="6" t="s">
        <v>24</v>
      </c>
      <c r="E235" s="5">
        <v>1407</v>
      </c>
      <c r="F235" s="5">
        <v>0.156</v>
      </c>
      <c r="G235" s="5">
        <v>61789380</v>
      </c>
      <c r="H235" s="5">
        <v>4984.5749999999998</v>
      </c>
      <c r="I235" s="5">
        <v>37.71</v>
      </c>
      <c r="J235" s="5">
        <v>5279.9129999999996</v>
      </c>
      <c r="K235" s="5">
        <v>5317.625</v>
      </c>
      <c r="L235" s="6" t="s">
        <v>14</v>
      </c>
    </row>
    <row r="236" spans="1:26" ht="13" x14ac:dyDescent="0.15">
      <c r="A236" s="2">
        <v>1</v>
      </c>
      <c r="B236" s="2">
        <v>1</v>
      </c>
      <c r="C236" s="2">
        <v>9</v>
      </c>
      <c r="D236" s="2" t="s">
        <v>13</v>
      </c>
      <c r="E236" s="2">
        <v>27</v>
      </c>
      <c r="F236" s="2">
        <v>2.1000000000000001E-2</v>
      </c>
      <c r="G236" s="2">
        <v>58827</v>
      </c>
      <c r="H236" s="2">
        <v>2.62</v>
      </c>
      <c r="I236" s="2">
        <v>0.58199999999999996</v>
      </c>
      <c r="J236" s="2">
        <v>2.903</v>
      </c>
      <c r="K236" s="2">
        <v>3.4849999999999999</v>
      </c>
      <c r="L236" s="2" t="s">
        <v>35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>
        <v>1</v>
      </c>
      <c r="B237" s="2">
        <v>1</v>
      </c>
      <c r="C237" s="2">
        <v>11</v>
      </c>
      <c r="D237" s="2" t="s">
        <v>15</v>
      </c>
      <c r="E237" s="2">
        <v>18</v>
      </c>
      <c r="F237" s="2">
        <v>6.0000000000000001E-3</v>
      </c>
      <c r="G237" s="2">
        <v>58631</v>
      </c>
      <c r="H237" s="2">
        <v>3.246</v>
      </c>
      <c r="I237" s="2">
        <v>0.58899999999999997</v>
      </c>
      <c r="J237" s="2">
        <v>3.5369999999999999</v>
      </c>
      <c r="K237" s="2">
        <v>4.1260000000000003</v>
      </c>
      <c r="L237" s="2" t="s">
        <v>35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>
        <v>1</v>
      </c>
      <c r="B238" s="2">
        <v>2</v>
      </c>
      <c r="C238" s="2">
        <v>9</v>
      </c>
      <c r="D238" s="2" t="s">
        <v>16</v>
      </c>
      <c r="E238" s="2">
        <v>119</v>
      </c>
      <c r="F238" s="2">
        <v>1.2999999999999999E-2</v>
      </c>
      <c r="G238" s="2">
        <v>2473498</v>
      </c>
      <c r="H238" s="2">
        <v>145.499</v>
      </c>
      <c r="I238" s="2">
        <v>3.85</v>
      </c>
      <c r="J238" s="2">
        <v>157.60300000000001</v>
      </c>
      <c r="K238" s="2">
        <v>161.453</v>
      </c>
      <c r="L238" s="2" t="s">
        <v>35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>
        <v>1</v>
      </c>
      <c r="B239" s="2">
        <v>2</v>
      </c>
      <c r="C239" s="2">
        <v>10</v>
      </c>
      <c r="D239" s="2" t="s">
        <v>17</v>
      </c>
      <c r="E239" s="2">
        <v>131</v>
      </c>
      <c r="F239" s="2">
        <v>1.0999999999999999E-2</v>
      </c>
      <c r="G239" s="2">
        <v>2384234</v>
      </c>
      <c r="H239" s="2">
        <v>69.872</v>
      </c>
      <c r="I239" s="2">
        <v>4.1749999999999998</v>
      </c>
      <c r="J239" s="2">
        <v>81.41</v>
      </c>
      <c r="K239" s="2">
        <v>85.584999999999994</v>
      </c>
      <c r="L239" s="2" t="s">
        <v>35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>
        <v>1</v>
      </c>
      <c r="B240" s="2">
        <v>2</v>
      </c>
      <c r="C240" s="2">
        <v>11</v>
      </c>
      <c r="D240" s="2" t="s">
        <v>18</v>
      </c>
      <c r="E240" s="2">
        <v>101</v>
      </c>
      <c r="F240" s="2">
        <v>1.4E-2</v>
      </c>
      <c r="G240" s="2">
        <v>2613841</v>
      </c>
      <c r="H240" s="2">
        <v>170.709</v>
      </c>
      <c r="I240" s="2">
        <v>4.2039999999999997</v>
      </c>
      <c r="J240" s="2">
        <v>184.14599999999999</v>
      </c>
      <c r="K240" s="2">
        <v>188.35</v>
      </c>
      <c r="L240" s="2" t="s">
        <v>35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>
        <v>1</v>
      </c>
      <c r="B241" s="2">
        <v>3</v>
      </c>
      <c r="C241" s="2">
        <v>4</v>
      </c>
      <c r="D241" s="2" t="s">
        <v>19</v>
      </c>
      <c r="E241" s="2">
        <v>314</v>
      </c>
      <c r="F241" s="2">
        <v>6.0999999999999999E-2</v>
      </c>
      <c r="G241" s="2">
        <v>28568099</v>
      </c>
      <c r="H241" s="2">
        <v>2356.1019999999999</v>
      </c>
      <c r="I241" s="2">
        <v>15.209</v>
      </c>
      <c r="J241" s="2">
        <v>2498.087</v>
      </c>
      <c r="K241" s="2">
        <v>2513.2959999999998</v>
      </c>
      <c r="L241" s="2" t="s">
        <v>35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>
        <v>1</v>
      </c>
      <c r="B242" s="2">
        <v>3</v>
      </c>
      <c r="C242" s="2">
        <v>9</v>
      </c>
      <c r="D242" s="2" t="s">
        <v>16</v>
      </c>
      <c r="E242" s="2">
        <v>379</v>
      </c>
      <c r="F242" s="2">
        <v>5.0999999999999997E-2</v>
      </c>
      <c r="G242" s="2">
        <v>30381729</v>
      </c>
      <c r="H242" s="2">
        <v>1931.396</v>
      </c>
      <c r="I242" s="2">
        <v>14.939</v>
      </c>
      <c r="J242" s="2">
        <v>2081.3420000000001</v>
      </c>
      <c r="K242" s="2">
        <v>2096.2809999999999</v>
      </c>
      <c r="L242" s="2" t="s">
        <v>35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>
        <v>1</v>
      </c>
      <c r="B243" s="2">
        <v>3</v>
      </c>
      <c r="C243" s="2">
        <v>10</v>
      </c>
      <c r="D243" s="2" t="s">
        <v>20</v>
      </c>
      <c r="E243" s="2">
        <v>358</v>
      </c>
      <c r="F243" s="2">
        <v>4.8000000000000001E-2</v>
      </c>
      <c r="G243" s="2">
        <v>27059508</v>
      </c>
      <c r="H243" s="2">
        <v>791.96400000000006</v>
      </c>
      <c r="I243" s="2">
        <v>14.776</v>
      </c>
      <c r="J243" s="2">
        <v>924.029</v>
      </c>
      <c r="K243" s="2">
        <v>938.80499999999995</v>
      </c>
      <c r="L243" s="2" t="s">
        <v>35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>
        <v>1</v>
      </c>
      <c r="B244" s="2">
        <v>3</v>
      </c>
      <c r="C244" s="2">
        <v>11</v>
      </c>
      <c r="D244" s="2" t="s">
        <v>18</v>
      </c>
      <c r="E244" s="2">
        <v>290</v>
      </c>
      <c r="F244" s="2">
        <v>0.06</v>
      </c>
      <c r="G244" s="2">
        <v>28611883</v>
      </c>
      <c r="H244" s="2">
        <v>1757.509</v>
      </c>
      <c r="I244" s="2">
        <v>15.736000000000001</v>
      </c>
      <c r="J244" s="2">
        <v>1903.653</v>
      </c>
      <c r="K244" s="2">
        <v>1919.3889999999999</v>
      </c>
      <c r="L244" s="2" t="s">
        <v>35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>
        <v>1</v>
      </c>
      <c r="B245" s="2">
        <v>4</v>
      </c>
      <c r="C245" s="2">
        <v>4</v>
      </c>
      <c r="D245" s="2" t="s">
        <v>19</v>
      </c>
      <c r="E245" s="2">
        <v>678</v>
      </c>
      <c r="F245" s="2">
        <v>0.09</v>
      </c>
      <c r="G245" s="2">
        <v>175357618</v>
      </c>
      <c r="H245" s="2">
        <v>12092.114</v>
      </c>
      <c r="I245" s="2">
        <v>40.85</v>
      </c>
      <c r="J245" s="2">
        <v>13041.063</v>
      </c>
      <c r="K245" s="2">
        <v>13081.912</v>
      </c>
      <c r="L245" s="2" t="s">
        <v>35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>
        <v>1</v>
      </c>
      <c r="B246" s="2">
        <v>4</v>
      </c>
      <c r="C246" s="2">
        <v>9</v>
      </c>
      <c r="D246" s="2" t="s">
        <v>16</v>
      </c>
      <c r="E246" s="2">
        <v>761</v>
      </c>
      <c r="F246" s="2">
        <v>5.8999999999999997E-2</v>
      </c>
      <c r="G246" s="2">
        <v>200045433</v>
      </c>
      <c r="H246" s="2">
        <v>11733.77</v>
      </c>
      <c r="I246" s="2">
        <v>40.85</v>
      </c>
      <c r="J246" s="2">
        <v>12793.195</v>
      </c>
      <c r="K246" s="2">
        <v>12834.044</v>
      </c>
      <c r="L246" s="2" t="s">
        <v>35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>
        <v>1</v>
      </c>
      <c r="B247" s="2">
        <v>4</v>
      </c>
      <c r="C247" s="2">
        <v>10</v>
      </c>
      <c r="D247" s="2" t="s">
        <v>20</v>
      </c>
      <c r="E247" s="2">
        <v>814</v>
      </c>
      <c r="F247" s="2">
        <v>0.108</v>
      </c>
      <c r="G247" s="2">
        <v>172253997</v>
      </c>
      <c r="H247" s="2">
        <v>5651.6959999999999</v>
      </c>
      <c r="I247" s="2">
        <v>40.67</v>
      </c>
      <c r="J247" s="2">
        <v>6578.3019999999997</v>
      </c>
      <c r="K247" s="2">
        <v>6618.973</v>
      </c>
      <c r="L247" s="2" t="s">
        <v>35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>
        <v>1</v>
      </c>
      <c r="B248" s="2">
        <v>4</v>
      </c>
      <c r="C248" s="2">
        <v>11</v>
      </c>
      <c r="D248" s="2" t="s">
        <v>18</v>
      </c>
      <c r="E248" s="2">
        <v>746</v>
      </c>
      <c r="F248" s="2">
        <v>8.1000000000000003E-2</v>
      </c>
      <c r="G248" s="2">
        <v>181878956</v>
      </c>
      <c r="H248" s="2">
        <v>11027.460999999999</v>
      </c>
      <c r="I248" s="2">
        <v>41.832999999999998</v>
      </c>
      <c r="J248" s="2">
        <v>11966.181</v>
      </c>
      <c r="K248" s="2">
        <v>12008.013999999999</v>
      </c>
      <c r="L248" s="2" t="s">
        <v>35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>
        <v>1</v>
      </c>
      <c r="B249" s="2">
        <v>4</v>
      </c>
      <c r="C249" s="2">
        <v>17</v>
      </c>
      <c r="D249" s="2" t="s">
        <v>21</v>
      </c>
      <c r="E249" s="2">
        <v>661</v>
      </c>
      <c r="F249" s="2">
        <v>0.112</v>
      </c>
      <c r="G249" s="2">
        <v>191139358</v>
      </c>
      <c r="H249" s="2">
        <v>8703.3950000000004</v>
      </c>
      <c r="I249" s="2">
        <v>41.381999999999998</v>
      </c>
      <c r="J249" s="2">
        <v>9723.6620000000003</v>
      </c>
      <c r="K249" s="2">
        <v>9765.0439999999999</v>
      </c>
      <c r="L249" s="2" t="s">
        <v>35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>
        <v>1</v>
      </c>
      <c r="B250" s="2">
        <v>4</v>
      </c>
      <c r="C250" s="2">
        <v>19</v>
      </c>
      <c r="D250" s="2" t="s">
        <v>22</v>
      </c>
      <c r="E250" s="2">
        <v>702</v>
      </c>
      <c r="F250" s="2">
        <v>2.9000000000000001E-2</v>
      </c>
      <c r="G250" s="2">
        <v>175603694</v>
      </c>
      <c r="H250" s="2">
        <v>4293.1229999999996</v>
      </c>
      <c r="I250" s="2">
        <v>42.787999999999997</v>
      </c>
      <c r="J250" s="2">
        <v>5255.7420000000002</v>
      </c>
      <c r="K250" s="2">
        <v>5298.5290000000005</v>
      </c>
      <c r="L250" s="2" t="s">
        <v>35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3">
        <v>1</v>
      </c>
      <c r="B251" s="3">
        <v>5</v>
      </c>
      <c r="C251" s="3">
        <v>4</v>
      </c>
      <c r="D251" s="4" t="s">
        <v>23</v>
      </c>
      <c r="E251" s="3">
        <v>1380</v>
      </c>
      <c r="F251" s="3">
        <v>0.127</v>
      </c>
      <c r="G251" s="3">
        <v>777993469</v>
      </c>
      <c r="H251" s="3">
        <v>49735.033000000003</v>
      </c>
      <c r="I251" s="3">
        <v>90.188000000000002</v>
      </c>
      <c r="J251" s="3">
        <v>54041.877</v>
      </c>
      <c r="K251" s="3">
        <v>54132.065000000002</v>
      </c>
      <c r="L251" s="4" t="s">
        <v>35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1">
        <v>1</v>
      </c>
      <c r="B252" s="1">
        <v>1</v>
      </c>
      <c r="C252" s="1">
        <v>1</v>
      </c>
      <c r="D252" s="1" t="s">
        <v>24</v>
      </c>
      <c r="E252" s="1">
        <v>16</v>
      </c>
      <c r="F252" s="1">
        <v>5.0000000000000001E-3</v>
      </c>
      <c r="G252" s="1">
        <v>48721</v>
      </c>
      <c r="H252" s="1">
        <v>0.54600000000000004</v>
      </c>
      <c r="I252" s="1">
        <v>0.72299999999999998</v>
      </c>
      <c r="J252" s="1">
        <v>0.77200000000000002</v>
      </c>
      <c r="K252" s="1">
        <v>1.4950000000000001</v>
      </c>
      <c r="L252" s="1" t="s">
        <v>35</v>
      </c>
      <c r="N252" s="1" t="s">
        <v>36</v>
      </c>
    </row>
    <row r="253" spans="1:26" ht="13" x14ac:dyDescent="0.15">
      <c r="A253" s="1">
        <v>1</v>
      </c>
      <c r="B253" s="1">
        <v>1</v>
      </c>
      <c r="C253" s="1">
        <v>2</v>
      </c>
      <c r="D253" s="1" t="s">
        <v>24</v>
      </c>
      <c r="E253" s="1">
        <v>20</v>
      </c>
      <c r="F253" s="1">
        <v>2.7E-2</v>
      </c>
      <c r="G253" s="1">
        <v>45932</v>
      </c>
      <c r="H253" s="1">
        <v>0.64500000000000002</v>
      </c>
      <c r="I253" s="1">
        <v>0.70299999999999996</v>
      </c>
      <c r="J253" s="1">
        <v>0.85199999999999998</v>
      </c>
      <c r="K253" s="1">
        <v>1.5549999999999999</v>
      </c>
      <c r="L253" s="1" t="s">
        <v>35</v>
      </c>
    </row>
    <row r="254" spans="1:26" ht="13" x14ac:dyDescent="0.15">
      <c r="A254" s="1">
        <v>1</v>
      </c>
      <c r="B254" s="1">
        <v>1</v>
      </c>
      <c r="C254" s="1">
        <v>3</v>
      </c>
      <c r="D254" s="1" t="s">
        <v>24</v>
      </c>
      <c r="E254" s="1">
        <v>27</v>
      </c>
      <c r="F254" s="1">
        <v>8.1000000000000003E-2</v>
      </c>
      <c r="G254" s="1">
        <v>61515</v>
      </c>
      <c r="H254" s="1">
        <v>1.534</v>
      </c>
      <c r="I254" s="1">
        <v>0.84699999999999998</v>
      </c>
      <c r="J254" s="1">
        <v>1.835</v>
      </c>
      <c r="K254" s="1">
        <v>2.6819999999999999</v>
      </c>
      <c r="L254" s="1" t="s">
        <v>35</v>
      </c>
    </row>
    <row r="255" spans="1:26" ht="13" x14ac:dyDescent="0.15">
      <c r="A255" s="1">
        <v>1</v>
      </c>
      <c r="B255" s="1">
        <v>1</v>
      </c>
      <c r="C255" s="1">
        <v>4</v>
      </c>
      <c r="D255" s="1" t="s">
        <v>24</v>
      </c>
      <c r="E255" s="1">
        <v>21</v>
      </c>
      <c r="F255" s="1">
        <v>8.4000000000000005E-2</v>
      </c>
      <c r="G255" s="1">
        <v>55326</v>
      </c>
      <c r="H255" s="1">
        <v>1.6220000000000001</v>
      </c>
      <c r="I255" s="1">
        <v>0.88200000000000001</v>
      </c>
      <c r="J255" s="1">
        <v>1.867</v>
      </c>
      <c r="K255" s="1">
        <v>2.7490000000000001</v>
      </c>
      <c r="L255" s="1" t="s">
        <v>35</v>
      </c>
    </row>
    <row r="256" spans="1:26" ht="13" x14ac:dyDescent="0.15">
      <c r="A256" s="1">
        <v>1</v>
      </c>
      <c r="B256" s="1">
        <v>1</v>
      </c>
      <c r="C256" s="1">
        <v>5</v>
      </c>
      <c r="D256" s="1" t="s">
        <v>24</v>
      </c>
      <c r="E256" s="1">
        <v>18</v>
      </c>
      <c r="F256" s="1">
        <v>8.2000000000000003E-2</v>
      </c>
      <c r="G256" s="1">
        <v>34310</v>
      </c>
      <c r="H256" s="1">
        <v>0.34100000000000003</v>
      </c>
      <c r="I256" s="1">
        <v>1.0089999999999999</v>
      </c>
      <c r="J256" s="1">
        <v>0.51100000000000001</v>
      </c>
      <c r="K256" s="1">
        <v>1.52</v>
      </c>
      <c r="L256" s="1" t="s">
        <v>35</v>
      </c>
    </row>
    <row r="257" spans="1:12" ht="13" x14ac:dyDescent="0.15">
      <c r="A257" s="1">
        <v>1</v>
      </c>
      <c r="B257" s="1">
        <v>1</v>
      </c>
      <c r="C257" s="1">
        <v>6</v>
      </c>
      <c r="D257" s="1" t="s">
        <v>24</v>
      </c>
      <c r="E257" s="1">
        <v>15</v>
      </c>
      <c r="F257" s="1">
        <v>2.9000000000000001E-2</v>
      </c>
      <c r="G257" s="1">
        <v>63525</v>
      </c>
      <c r="H257" s="1">
        <v>0.63700000000000001</v>
      </c>
      <c r="I257" s="1">
        <v>0.73799999999999999</v>
      </c>
      <c r="J257" s="1">
        <v>0.94799999999999995</v>
      </c>
      <c r="K257" s="1">
        <v>1.6859999999999999</v>
      </c>
      <c r="L257" s="1" t="s">
        <v>35</v>
      </c>
    </row>
    <row r="258" spans="1:12" ht="13" x14ac:dyDescent="0.15">
      <c r="A258" s="1">
        <v>1</v>
      </c>
      <c r="B258" s="1">
        <v>1</v>
      </c>
      <c r="C258" s="1">
        <v>7</v>
      </c>
      <c r="D258" s="1" t="s">
        <v>24</v>
      </c>
      <c r="E258" s="1">
        <v>16</v>
      </c>
      <c r="F258" s="1">
        <v>0.03</v>
      </c>
      <c r="G258" s="1">
        <v>49323</v>
      </c>
      <c r="H258" s="1">
        <v>0.58799999999999997</v>
      </c>
      <c r="I258" s="1">
        <v>0.75</v>
      </c>
      <c r="J258" s="1">
        <v>0.81299999999999994</v>
      </c>
      <c r="K258" s="1">
        <v>1.5629999999999999</v>
      </c>
      <c r="L258" s="1" t="s">
        <v>35</v>
      </c>
    </row>
    <row r="259" spans="1:12" ht="13" x14ac:dyDescent="0.15">
      <c r="A259" s="1">
        <v>1</v>
      </c>
      <c r="B259" s="1">
        <v>1</v>
      </c>
      <c r="C259" s="1">
        <v>8</v>
      </c>
      <c r="D259" s="1" t="s">
        <v>24</v>
      </c>
      <c r="E259" s="1">
        <v>24</v>
      </c>
      <c r="F259" s="1">
        <v>1.6E-2</v>
      </c>
      <c r="G259" s="1">
        <v>55880</v>
      </c>
      <c r="H259" s="1">
        <v>1.6120000000000001</v>
      </c>
      <c r="I259" s="1">
        <v>0.59899999999999998</v>
      </c>
      <c r="J259" s="1">
        <v>1.855</v>
      </c>
      <c r="K259" s="1">
        <v>2.4540000000000002</v>
      </c>
      <c r="L259" s="1" t="s">
        <v>35</v>
      </c>
    </row>
    <row r="260" spans="1:12" ht="13" x14ac:dyDescent="0.15">
      <c r="A260" s="1">
        <v>1</v>
      </c>
      <c r="B260" s="1">
        <v>1</v>
      </c>
      <c r="C260" s="1">
        <v>10</v>
      </c>
      <c r="D260" s="1" t="s">
        <v>24</v>
      </c>
      <c r="E260" s="1">
        <v>21</v>
      </c>
      <c r="F260" s="1">
        <v>5.0000000000000001E-3</v>
      </c>
      <c r="G260" s="1">
        <v>56334</v>
      </c>
      <c r="H260" s="1">
        <v>0.81200000000000006</v>
      </c>
      <c r="I260" s="1">
        <v>0.58199999999999996</v>
      </c>
      <c r="J260" s="1">
        <v>1.06</v>
      </c>
      <c r="K260" s="1">
        <v>1.6419999999999999</v>
      </c>
      <c r="L260" s="1" t="s">
        <v>35</v>
      </c>
    </row>
    <row r="261" spans="1:12" ht="13" x14ac:dyDescent="0.15">
      <c r="A261" s="1">
        <v>1</v>
      </c>
      <c r="B261" s="1">
        <v>1</v>
      </c>
      <c r="C261" s="1">
        <v>12</v>
      </c>
      <c r="D261" s="1" t="s">
        <v>24</v>
      </c>
      <c r="E261" s="1">
        <v>19</v>
      </c>
      <c r="F261" s="1">
        <v>5.0000000000000001E-3</v>
      </c>
      <c r="G261" s="1">
        <v>61263</v>
      </c>
      <c r="H261" s="1">
        <v>0.65200000000000002</v>
      </c>
      <c r="I261" s="1">
        <v>0.624</v>
      </c>
      <c r="J261" s="1">
        <v>0.95899999999999996</v>
      </c>
      <c r="K261" s="1">
        <v>1.583</v>
      </c>
      <c r="L261" s="1" t="s">
        <v>35</v>
      </c>
    </row>
    <row r="262" spans="1:12" ht="13" x14ac:dyDescent="0.15">
      <c r="A262" s="1">
        <v>1</v>
      </c>
      <c r="B262" s="1">
        <v>1</v>
      </c>
      <c r="C262" s="1">
        <v>13</v>
      </c>
      <c r="D262" s="1" t="s">
        <v>24</v>
      </c>
      <c r="E262" s="1">
        <v>15</v>
      </c>
      <c r="F262" s="1">
        <v>1.7000000000000001E-2</v>
      </c>
      <c r="G262" s="1">
        <v>55798</v>
      </c>
      <c r="H262" s="1">
        <v>0.61199999999999999</v>
      </c>
      <c r="I262" s="1">
        <v>0.64300000000000002</v>
      </c>
      <c r="J262" s="1">
        <v>0.86499999999999999</v>
      </c>
      <c r="K262" s="1">
        <v>1.508</v>
      </c>
      <c r="L262" s="1" t="s">
        <v>35</v>
      </c>
    </row>
    <row r="263" spans="1:12" ht="13" x14ac:dyDescent="0.15">
      <c r="A263" s="1">
        <v>1</v>
      </c>
      <c r="B263" s="1">
        <v>1</v>
      </c>
      <c r="C263" s="1">
        <v>14</v>
      </c>
      <c r="D263" s="1" t="s">
        <v>24</v>
      </c>
      <c r="E263" s="1">
        <v>15</v>
      </c>
      <c r="F263" s="1">
        <v>1.6E-2</v>
      </c>
      <c r="G263" s="1">
        <v>56702</v>
      </c>
      <c r="H263" s="1">
        <v>0.67400000000000004</v>
      </c>
      <c r="I263" s="1">
        <v>0.59499999999999997</v>
      </c>
      <c r="J263" s="1">
        <v>0.93400000000000005</v>
      </c>
      <c r="K263" s="1">
        <v>1.53</v>
      </c>
      <c r="L263" s="1" t="s">
        <v>35</v>
      </c>
    </row>
    <row r="264" spans="1:12" ht="13" x14ac:dyDescent="0.15">
      <c r="A264" s="1">
        <v>1</v>
      </c>
      <c r="B264" s="1">
        <v>1</v>
      </c>
      <c r="C264" s="1">
        <v>15</v>
      </c>
      <c r="D264" s="1" t="s">
        <v>24</v>
      </c>
      <c r="E264" s="1">
        <v>15</v>
      </c>
      <c r="F264" s="1">
        <v>0.02</v>
      </c>
      <c r="G264" s="1">
        <v>64258</v>
      </c>
      <c r="H264" s="1">
        <v>0.55400000000000005</v>
      </c>
      <c r="I264" s="1">
        <v>0.61899999999999999</v>
      </c>
      <c r="J264" s="1">
        <v>0.85699999999999998</v>
      </c>
      <c r="K264" s="1">
        <v>1.476</v>
      </c>
      <c r="L264" s="1" t="s">
        <v>35</v>
      </c>
    </row>
    <row r="265" spans="1:12" ht="13" x14ac:dyDescent="0.15">
      <c r="A265" s="1">
        <v>1</v>
      </c>
      <c r="B265" s="1">
        <v>1</v>
      </c>
      <c r="C265" s="1">
        <v>16</v>
      </c>
      <c r="D265" s="1" t="s">
        <v>24</v>
      </c>
      <c r="E265" s="1">
        <v>21</v>
      </c>
      <c r="F265" s="1">
        <v>4.2000000000000003E-2</v>
      </c>
      <c r="G265" s="1">
        <v>57686</v>
      </c>
      <c r="H265" s="1">
        <v>2.605</v>
      </c>
      <c r="I265" s="1">
        <v>0.61799999999999999</v>
      </c>
      <c r="J265" s="1">
        <v>2.8940000000000001</v>
      </c>
      <c r="K265" s="1">
        <v>3.512</v>
      </c>
      <c r="L265" s="1" t="s">
        <v>35</v>
      </c>
    </row>
    <row r="266" spans="1:12" ht="13" x14ac:dyDescent="0.15">
      <c r="A266" s="1">
        <v>1</v>
      </c>
      <c r="B266" s="1">
        <v>1</v>
      </c>
      <c r="C266" s="1">
        <v>17</v>
      </c>
      <c r="D266" s="1" t="s">
        <v>24</v>
      </c>
      <c r="E266" s="1">
        <v>15</v>
      </c>
      <c r="F266" s="1">
        <v>5.0000000000000001E-3</v>
      </c>
      <c r="G266" s="1">
        <v>60444</v>
      </c>
      <c r="H266" s="1">
        <v>0.56699999999999995</v>
      </c>
      <c r="I266" s="1">
        <v>0.624</v>
      </c>
      <c r="J266" s="1">
        <v>0.85899999999999999</v>
      </c>
      <c r="K266" s="1">
        <v>1.4830000000000001</v>
      </c>
      <c r="L266" s="1" t="s">
        <v>35</v>
      </c>
    </row>
    <row r="267" spans="1:12" ht="13" x14ac:dyDescent="0.15">
      <c r="A267" s="1">
        <v>1</v>
      </c>
      <c r="B267" s="1">
        <v>1</v>
      </c>
      <c r="C267" s="1">
        <v>18</v>
      </c>
      <c r="D267" s="1" t="s">
        <v>24</v>
      </c>
      <c r="E267" s="1">
        <v>20</v>
      </c>
      <c r="F267" s="1">
        <v>5.1999999999999998E-2</v>
      </c>
      <c r="G267" s="1">
        <v>43456</v>
      </c>
      <c r="H267" s="1">
        <v>0.44700000000000001</v>
      </c>
      <c r="I267" s="1">
        <v>0.88900000000000001</v>
      </c>
      <c r="J267" s="1">
        <v>0.65300000000000002</v>
      </c>
      <c r="K267" s="1">
        <v>1.542</v>
      </c>
      <c r="L267" s="1" t="s">
        <v>35</v>
      </c>
    </row>
    <row r="268" spans="1:12" ht="13" x14ac:dyDescent="0.15">
      <c r="A268" s="1">
        <v>1</v>
      </c>
      <c r="B268" s="1">
        <v>1</v>
      </c>
      <c r="C268" s="1">
        <v>19</v>
      </c>
      <c r="D268" s="1" t="s">
        <v>24</v>
      </c>
      <c r="E268" s="1">
        <v>19</v>
      </c>
      <c r="F268" s="1">
        <v>5.5E-2</v>
      </c>
      <c r="G268" s="1">
        <v>53464</v>
      </c>
      <c r="H268" s="1">
        <v>0.57899999999999996</v>
      </c>
      <c r="I268" s="1">
        <v>0.86799999999999999</v>
      </c>
      <c r="J268" s="1">
        <v>0.83599999999999997</v>
      </c>
      <c r="K268" s="1">
        <v>1.704</v>
      </c>
      <c r="L268" s="1" t="s">
        <v>35</v>
      </c>
    </row>
    <row r="269" spans="1:12" ht="13" x14ac:dyDescent="0.15">
      <c r="A269" s="1">
        <v>1</v>
      </c>
      <c r="B269" s="1">
        <v>1</v>
      </c>
      <c r="C269" s="1">
        <v>20</v>
      </c>
      <c r="D269" s="1" t="s">
        <v>24</v>
      </c>
      <c r="E269" s="1">
        <v>16</v>
      </c>
      <c r="F269" s="1">
        <v>6.0000000000000001E-3</v>
      </c>
      <c r="G269" s="1">
        <v>47886</v>
      </c>
      <c r="H269" s="1">
        <v>0.60099999999999998</v>
      </c>
      <c r="I269" s="1">
        <v>0.65</v>
      </c>
      <c r="J269" s="1">
        <v>0.82099999999999995</v>
      </c>
      <c r="K269" s="1">
        <v>1.4710000000000001</v>
      </c>
      <c r="L269" s="1" t="s">
        <v>35</v>
      </c>
    </row>
    <row r="270" spans="1:12" ht="13" x14ac:dyDescent="0.15">
      <c r="A270" s="1">
        <v>1</v>
      </c>
      <c r="B270" s="1">
        <v>2</v>
      </c>
      <c r="C270" s="1">
        <v>1</v>
      </c>
      <c r="D270" s="1" t="s">
        <v>24</v>
      </c>
      <c r="E270" s="1">
        <v>84</v>
      </c>
      <c r="F270" s="1">
        <v>7.0000000000000001E-3</v>
      </c>
      <c r="G270" s="1">
        <v>2151977</v>
      </c>
      <c r="H270" s="1">
        <v>36.997999999999998</v>
      </c>
      <c r="I270" s="1">
        <v>4.202</v>
      </c>
      <c r="J270" s="1">
        <v>48.372</v>
      </c>
      <c r="K270" s="1">
        <v>52.573999999999998</v>
      </c>
      <c r="L270" s="1" t="s">
        <v>35</v>
      </c>
    </row>
    <row r="271" spans="1:12" ht="13" x14ac:dyDescent="0.15">
      <c r="A271" s="1">
        <v>1</v>
      </c>
      <c r="B271" s="1">
        <v>2</v>
      </c>
      <c r="C271" s="1">
        <v>2</v>
      </c>
      <c r="D271" s="1" t="s">
        <v>24</v>
      </c>
      <c r="E271" s="1">
        <v>93</v>
      </c>
      <c r="F271" s="1">
        <v>2.5000000000000001E-2</v>
      </c>
      <c r="G271" s="1">
        <v>1792900</v>
      </c>
      <c r="H271" s="1">
        <v>30.861999999999998</v>
      </c>
      <c r="I271" s="1">
        <v>4.1950000000000003</v>
      </c>
      <c r="J271" s="1">
        <v>39.792000000000002</v>
      </c>
      <c r="K271" s="1">
        <v>43.987000000000002</v>
      </c>
      <c r="L271" s="1" t="s">
        <v>35</v>
      </c>
    </row>
    <row r="272" spans="1:12" ht="13" x14ac:dyDescent="0.15">
      <c r="A272" s="1">
        <v>1</v>
      </c>
      <c r="B272" s="1">
        <v>2</v>
      </c>
      <c r="C272" s="1">
        <v>3</v>
      </c>
      <c r="D272" s="1" t="s">
        <v>24</v>
      </c>
      <c r="E272" s="1">
        <v>130</v>
      </c>
      <c r="F272" s="1">
        <v>9.1999999999999998E-2</v>
      </c>
      <c r="G272" s="1">
        <v>2419636</v>
      </c>
      <c r="H272" s="1">
        <v>165.631</v>
      </c>
      <c r="I272" s="1">
        <v>4.0119999999999996</v>
      </c>
      <c r="J272" s="1">
        <v>177.821</v>
      </c>
      <c r="K272" s="1">
        <v>181.833</v>
      </c>
      <c r="L272" s="1" t="s">
        <v>35</v>
      </c>
    </row>
    <row r="273" spans="1:12" ht="13" x14ac:dyDescent="0.15">
      <c r="A273" s="1">
        <v>1</v>
      </c>
      <c r="B273" s="1">
        <v>2</v>
      </c>
      <c r="C273" s="1">
        <v>4</v>
      </c>
      <c r="D273" s="1" t="s">
        <v>24</v>
      </c>
      <c r="E273" s="1">
        <v>102</v>
      </c>
      <c r="F273" s="1">
        <v>8.5000000000000006E-2</v>
      </c>
      <c r="G273" s="1">
        <v>2262854</v>
      </c>
      <c r="H273" s="1">
        <v>57.320999999999998</v>
      </c>
      <c r="I273" s="1">
        <v>4.2389999999999999</v>
      </c>
      <c r="J273" s="1">
        <v>68.495000000000005</v>
      </c>
      <c r="K273" s="1">
        <v>72.733999999999995</v>
      </c>
      <c r="L273" s="1" t="s">
        <v>35</v>
      </c>
    </row>
    <row r="274" spans="1:12" ht="13" x14ac:dyDescent="0.15">
      <c r="A274" s="1">
        <v>1</v>
      </c>
      <c r="B274" s="1">
        <v>2</v>
      </c>
      <c r="C274" s="1">
        <v>5</v>
      </c>
      <c r="D274" s="1" t="s">
        <v>24</v>
      </c>
      <c r="E274" s="1">
        <v>63</v>
      </c>
      <c r="F274" s="1">
        <v>8.3000000000000004E-2</v>
      </c>
      <c r="G274" s="1">
        <v>1665220</v>
      </c>
      <c r="H274" s="1">
        <v>23.712</v>
      </c>
      <c r="I274" s="1">
        <v>4.5460000000000003</v>
      </c>
      <c r="J274" s="1">
        <v>32.064999999999998</v>
      </c>
      <c r="K274" s="1">
        <v>36.612000000000002</v>
      </c>
      <c r="L274" s="1" t="s">
        <v>35</v>
      </c>
    </row>
    <row r="275" spans="1:12" ht="13" x14ac:dyDescent="0.15">
      <c r="A275" s="1">
        <v>1</v>
      </c>
      <c r="B275" s="1">
        <v>2</v>
      </c>
      <c r="C275" s="1">
        <v>6</v>
      </c>
      <c r="D275" s="1" t="s">
        <v>24</v>
      </c>
      <c r="E275" s="1">
        <v>74</v>
      </c>
      <c r="F275" s="1">
        <v>8.9999999999999993E-3</v>
      </c>
      <c r="G275" s="1">
        <v>1943072</v>
      </c>
      <c r="H275" s="1">
        <v>29.213000000000001</v>
      </c>
      <c r="I275" s="1">
        <v>4.0949999999999998</v>
      </c>
      <c r="J275" s="1">
        <v>39.070999999999998</v>
      </c>
      <c r="K275" s="1">
        <v>43.165999999999997</v>
      </c>
      <c r="L275" s="1" t="s">
        <v>35</v>
      </c>
    </row>
    <row r="276" spans="1:12" ht="13" x14ac:dyDescent="0.15">
      <c r="A276" s="1">
        <v>1</v>
      </c>
      <c r="B276" s="1">
        <v>2</v>
      </c>
      <c r="C276" s="1">
        <v>7</v>
      </c>
      <c r="D276" s="1" t="s">
        <v>24</v>
      </c>
      <c r="E276" s="1">
        <v>92</v>
      </c>
      <c r="F276" s="1">
        <v>8.0000000000000002E-3</v>
      </c>
      <c r="G276" s="1">
        <v>2289731</v>
      </c>
      <c r="H276" s="1">
        <v>43.384</v>
      </c>
      <c r="I276" s="1">
        <v>4.1349999999999998</v>
      </c>
      <c r="J276" s="1">
        <v>55.646999999999998</v>
      </c>
      <c r="K276" s="1">
        <v>59.783000000000001</v>
      </c>
      <c r="L276" s="1" t="s">
        <v>35</v>
      </c>
    </row>
    <row r="277" spans="1:12" ht="13" x14ac:dyDescent="0.15">
      <c r="A277" s="1">
        <v>1</v>
      </c>
      <c r="B277" s="1">
        <v>2</v>
      </c>
      <c r="C277" s="1">
        <v>8</v>
      </c>
      <c r="D277" s="1" t="s">
        <v>24</v>
      </c>
      <c r="E277" s="1">
        <v>115</v>
      </c>
      <c r="F277" s="1">
        <v>0.01</v>
      </c>
      <c r="G277" s="1">
        <v>2296952</v>
      </c>
      <c r="H277" s="1">
        <v>82.308000000000007</v>
      </c>
      <c r="I277" s="1">
        <v>4.0579999999999998</v>
      </c>
      <c r="J277" s="1">
        <v>93.391000000000005</v>
      </c>
      <c r="K277" s="1">
        <v>97.448999999999998</v>
      </c>
      <c r="L277" s="1" t="s">
        <v>35</v>
      </c>
    </row>
    <row r="278" spans="1:12" ht="13" x14ac:dyDescent="0.15">
      <c r="A278" s="1">
        <v>1</v>
      </c>
      <c r="B278" s="1">
        <v>2</v>
      </c>
      <c r="C278" s="1">
        <v>12</v>
      </c>
      <c r="D278" s="1" t="s">
        <v>24</v>
      </c>
      <c r="E278" s="1">
        <v>107</v>
      </c>
      <c r="F278" s="1">
        <v>8.0000000000000002E-3</v>
      </c>
      <c r="G278" s="1">
        <v>2430186</v>
      </c>
      <c r="H278" s="1">
        <v>47.816000000000003</v>
      </c>
      <c r="I278" s="1">
        <v>4.343</v>
      </c>
      <c r="J278" s="1">
        <v>60.401000000000003</v>
      </c>
      <c r="K278" s="1">
        <v>64.744</v>
      </c>
      <c r="L278" s="1" t="s">
        <v>35</v>
      </c>
    </row>
    <row r="279" spans="1:12" ht="13" x14ac:dyDescent="0.15">
      <c r="A279" s="1">
        <v>1</v>
      </c>
      <c r="B279" s="1">
        <v>2</v>
      </c>
      <c r="C279" s="1">
        <v>13</v>
      </c>
      <c r="D279" s="1" t="s">
        <v>24</v>
      </c>
      <c r="E279" s="1">
        <v>64</v>
      </c>
      <c r="F279" s="1">
        <v>7.0000000000000001E-3</v>
      </c>
      <c r="G279" s="1">
        <v>2056880</v>
      </c>
      <c r="H279" s="1">
        <v>36.945</v>
      </c>
      <c r="I279" s="1">
        <v>4.4429999999999996</v>
      </c>
      <c r="J279" s="1">
        <v>47.341000000000001</v>
      </c>
      <c r="K279" s="1">
        <v>51.784999999999997</v>
      </c>
      <c r="L279" s="1" t="s">
        <v>35</v>
      </c>
    </row>
    <row r="280" spans="1:12" ht="13" x14ac:dyDescent="0.15">
      <c r="A280" s="1">
        <v>1</v>
      </c>
      <c r="B280" s="1">
        <v>2</v>
      </c>
      <c r="C280" s="1">
        <v>14</v>
      </c>
      <c r="D280" s="1" t="s">
        <v>24</v>
      </c>
      <c r="E280" s="1">
        <v>81</v>
      </c>
      <c r="F280" s="1">
        <v>7.0000000000000001E-3</v>
      </c>
      <c r="G280" s="1">
        <v>2098868</v>
      </c>
      <c r="H280" s="1">
        <v>44.93</v>
      </c>
      <c r="I280" s="1">
        <v>4.4240000000000004</v>
      </c>
      <c r="J280" s="1">
        <v>55.438000000000002</v>
      </c>
      <c r="K280" s="1">
        <v>59.862000000000002</v>
      </c>
      <c r="L280" s="1" t="s">
        <v>35</v>
      </c>
    </row>
    <row r="281" spans="1:12" ht="13" x14ac:dyDescent="0.15">
      <c r="A281" s="1">
        <v>1</v>
      </c>
      <c r="B281" s="1">
        <v>2</v>
      </c>
      <c r="C281" s="1">
        <v>15</v>
      </c>
      <c r="D281" s="1" t="s">
        <v>24</v>
      </c>
      <c r="E281" s="1">
        <v>83</v>
      </c>
      <c r="F281" s="1">
        <v>8.0000000000000002E-3</v>
      </c>
      <c r="G281" s="1">
        <v>2319378</v>
      </c>
      <c r="H281" s="1">
        <v>39.884999999999998</v>
      </c>
      <c r="I281" s="1">
        <v>4.0629999999999997</v>
      </c>
      <c r="J281" s="1">
        <v>51.927</v>
      </c>
      <c r="K281" s="1">
        <v>55.988999999999997</v>
      </c>
      <c r="L281" s="1" t="s">
        <v>35</v>
      </c>
    </row>
    <row r="282" spans="1:12" ht="13" x14ac:dyDescent="0.15">
      <c r="A282" s="1">
        <v>1</v>
      </c>
      <c r="B282" s="1">
        <v>2</v>
      </c>
      <c r="C282" s="1">
        <v>16</v>
      </c>
      <c r="D282" s="1" t="s">
        <v>24</v>
      </c>
      <c r="E282" s="1">
        <v>95</v>
      </c>
      <c r="F282" s="1">
        <v>8.9999999999999993E-3</v>
      </c>
      <c r="G282" s="1">
        <v>2481057</v>
      </c>
      <c r="H282" s="1">
        <v>107.226</v>
      </c>
      <c r="I282" s="1">
        <v>4.0919999999999996</v>
      </c>
      <c r="J282" s="1">
        <v>119.694</v>
      </c>
      <c r="K282" s="1">
        <v>123.786</v>
      </c>
      <c r="L282" s="1" t="s">
        <v>35</v>
      </c>
    </row>
    <row r="283" spans="1:12" ht="13" x14ac:dyDescent="0.15">
      <c r="A283" s="1">
        <v>1</v>
      </c>
      <c r="B283" s="1">
        <v>2</v>
      </c>
      <c r="C283" s="1">
        <v>17</v>
      </c>
      <c r="D283" s="1" t="s">
        <v>24</v>
      </c>
      <c r="E283" s="1">
        <v>84</v>
      </c>
      <c r="F283" s="1">
        <v>7.0000000000000001E-3</v>
      </c>
      <c r="G283" s="1">
        <v>2369887</v>
      </c>
      <c r="H283" s="1">
        <v>54.043999999999997</v>
      </c>
      <c r="I283" s="1">
        <v>4.0449999999999999</v>
      </c>
      <c r="J283" s="1">
        <v>66.370999999999995</v>
      </c>
      <c r="K283" s="1">
        <v>70.415999999999997</v>
      </c>
      <c r="L283" s="1" t="s">
        <v>35</v>
      </c>
    </row>
    <row r="284" spans="1:12" ht="13" x14ac:dyDescent="0.15">
      <c r="A284" s="1">
        <v>1</v>
      </c>
      <c r="B284" s="1">
        <v>2</v>
      </c>
      <c r="C284" s="1">
        <v>18</v>
      </c>
      <c r="D284" s="1" t="s">
        <v>24</v>
      </c>
      <c r="E284" s="1">
        <v>84</v>
      </c>
      <c r="F284" s="1">
        <v>8.0000000000000002E-3</v>
      </c>
      <c r="G284" s="1">
        <v>2144578</v>
      </c>
      <c r="H284" s="1">
        <v>49.598999999999997</v>
      </c>
      <c r="I284" s="1">
        <v>4.5030000000000001</v>
      </c>
      <c r="J284" s="1">
        <v>60.767000000000003</v>
      </c>
      <c r="K284" s="1">
        <v>65.271000000000001</v>
      </c>
      <c r="L284" s="1" t="s">
        <v>35</v>
      </c>
    </row>
    <row r="285" spans="1:12" ht="13" x14ac:dyDescent="0.15">
      <c r="A285" s="1">
        <v>1</v>
      </c>
      <c r="B285" s="1">
        <v>2</v>
      </c>
      <c r="C285" s="1">
        <v>19</v>
      </c>
      <c r="D285" s="1" t="s">
        <v>24</v>
      </c>
      <c r="E285" s="1">
        <v>95</v>
      </c>
      <c r="F285" s="1">
        <v>8.0000000000000002E-3</v>
      </c>
      <c r="G285" s="1">
        <v>2111196</v>
      </c>
      <c r="H285" s="1">
        <v>40.027999999999999</v>
      </c>
      <c r="I285" s="1">
        <v>4.3890000000000002</v>
      </c>
      <c r="J285" s="1">
        <v>51.104999999999997</v>
      </c>
      <c r="K285" s="1">
        <v>55.494</v>
      </c>
      <c r="L285" s="1" t="s">
        <v>35</v>
      </c>
    </row>
    <row r="286" spans="1:12" ht="13" x14ac:dyDescent="0.15">
      <c r="A286" s="1">
        <v>1</v>
      </c>
      <c r="B286" s="1">
        <v>2</v>
      </c>
      <c r="C286" s="1">
        <v>20</v>
      </c>
      <c r="D286" s="1" t="s">
        <v>24</v>
      </c>
      <c r="E286" s="1">
        <v>97</v>
      </c>
      <c r="F286" s="1">
        <v>8.0000000000000002E-3</v>
      </c>
      <c r="G286" s="1">
        <v>2164091</v>
      </c>
      <c r="H286" s="1">
        <v>43.78</v>
      </c>
      <c r="I286" s="1">
        <v>4.0419999999999998</v>
      </c>
      <c r="J286" s="1">
        <v>54.796999999999997</v>
      </c>
      <c r="K286" s="1">
        <v>58.838999999999999</v>
      </c>
      <c r="L286" s="1" t="s">
        <v>35</v>
      </c>
    </row>
    <row r="287" spans="1:12" ht="13" x14ac:dyDescent="0.15">
      <c r="A287" s="1">
        <v>1</v>
      </c>
      <c r="B287" s="1">
        <v>3</v>
      </c>
      <c r="C287" s="1">
        <v>1</v>
      </c>
      <c r="D287" s="1" t="s">
        <v>24</v>
      </c>
      <c r="E287" s="1">
        <v>231</v>
      </c>
      <c r="F287" s="1">
        <v>1.2999999999999999E-2</v>
      </c>
      <c r="G287" s="1">
        <v>24695277</v>
      </c>
      <c r="H287" s="1">
        <v>585.97699999999998</v>
      </c>
      <c r="I287" s="1">
        <v>15.241</v>
      </c>
      <c r="J287" s="1">
        <v>711.77</v>
      </c>
      <c r="K287" s="1">
        <v>727.01099999999997</v>
      </c>
      <c r="L287" s="1" t="s">
        <v>35</v>
      </c>
    </row>
    <row r="288" spans="1:12" ht="13" x14ac:dyDescent="0.15">
      <c r="A288" s="1">
        <v>1</v>
      </c>
      <c r="B288" s="1">
        <v>3</v>
      </c>
      <c r="C288" s="1">
        <v>2</v>
      </c>
      <c r="D288" s="1" t="s">
        <v>24</v>
      </c>
      <c r="E288" s="1">
        <v>221</v>
      </c>
      <c r="F288" s="1">
        <v>1.0999999999999999E-2</v>
      </c>
      <c r="G288" s="1">
        <v>22269030</v>
      </c>
      <c r="H288" s="1">
        <v>416.46199999999999</v>
      </c>
      <c r="I288" s="1">
        <v>14.776</v>
      </c>
      <c r="J288" s="1">
        <v>528.81500000000005</v>
      </c>
      <c r="K288" s="1">
        <v>543.59100000000001</v>
      </c>
      <c r="L288" s="1" t="s">
        <v>35</v>
      </c>
    </row>
    <row r="289" spans="1:12" ht="13" x14ac:dyDescent="0.15">
      <c r="A289" s="1">
        <v>1</v>
      </c>
      <c r="B289" s="1">
        <v>3</v>
      </c>
      <c r="C289" s="1">
        <v>3</v>
      </c>
      <c r="D289" s="1" t="s">
        <v>24</v>
      </c>
      <c r="E289" s="1">
        <v>381</v>
      </c>
      <c r="F289" s="1">
        <v>5.3999999999999999E-2</v>
      </c>
      <c r="G289" s="1">
        <v>28619481</v>
      </c>
      <c r="H289" s="1">
        <v>1611.9380000000001</v>
      </c>
      <c r="I289" s="1">
        <v>15.22</v>
      </c>
      <c r="J289" s="1">
        <v>1754.385</v>
      </c>
      <c r="K289" s="1">
        <v>1769.605</v>
      </c>
      <c r="L289" s="1" t="s">
        <v>35</v>
      </c>
    </row>
    <row r="290" spans="1:12" ht="13" x14ac:dyDescent="0.15">
      <c r="A290" s="1">
        <v>1</v>
      </c>
      <c r="B290" s="1">
        <v>3</v>
      </c>
      <c r="C290" s="1">
        <v>5</v>
      </c>
      <c r="D290" s="1" t="s">
        <v>24</v>
      </c>
      <c r="E290" s="1">
        <v>216</v>
      </c>
      <c r="F290" s="1">
        <v>1.2E-2</v>
      </c>
      <c r="G290" s="1">
        <v>24781437</v>
      </c>
      <c r="H290" s="1">
        <v>531.17600000000004</v>
      </c>
      <c r="I290" s="1">
        <v>15.93</v>
      </c>
      <c r="J290" s="1">
        <v>660.92700000000002</v>
      </c>
      <c r="K290" s="1">
        <v>676.85599999999999</v>
      </c>
      <c r="L290" s="1" t="s">
        <v>35</v>
      </c>
    </row>
    <row r="291" spans="1:12" ht="13" x14ac:dyDescent="0.15">
      <c r="A291" s="1">
        <v>1</v>
      </c>
      <c r="B291" s="1">
        <v>3</v>
      </c>
      <c r="C291" s="1">
        <v>6</v>
      </c>
      <c r="D291" s="1" t="s">
        <v>24</v>
      </c>
      <c r="E291" s="1">
        <v>213</v>
      </c>
      <c r="F291" s="1">
        <v>1.0999999999999999E-2</v>
      </c>
      <c r="G291" s="1">
        <v>26148843</v>
      </c>
      <c r="H291" s="1">
        <v>453.46300000000002</v>
      </c>
      <c r="I291" s="1">
        <v>15.321999999999999</v>
      </c>
      <c r="J291" s="1">
        <v>582.19200000000001</v>
      </c>
      <c r="K291" s="1">
        <v>597.51400000000001</v>
      </c>
      <c r="L291" s="1" t="s">
        <v>35</v>
      </c>
    </row>
    <row r="292" spans="1:12" ht="13" x14ac:dyDescent="0.15">
      <c r="A292" s="1">
        <v>1</v>
      </c>
      <c r="B292" s="1">
        <v>3</v>
      </c>
      <c r="C292" s="1">
        <v>7</v>
      </c>
      <c r="D292" s="1" t="s">
        <v>24</v>
      </c>
      <c r="E292" s="1">
        <v>272</v>
      </c>
      <c r="F292" s="1">
        <v>0.10100000000000001</v>
      </c>
      <c r="G292" s="1">
        <v>25697873</v>
      </c>
      <c r="H292" s="1">
        <v>574.45699999999999</v>
      </c>
      <c r="I292" s="1">
        <v>15.316000000000001</v>
      </c>
      <c r="J292" s="1">
        <v>703.91200000000003</v>
      </c>
      <c r="K292" s="1">
        <v>719.22900000000004</v>
      </c>
      <c r="L292" s="1" t="s">
        <v>35</v>
      </c>
    </row>
    <row r="293" spans="1:12" ht="13" x14ac:dyDescent="0.15">
      <c r="A293" s="1">
        <v>1</v>
      </c>
      <c r="B293" s="1">
        <v>3</v>
      </c>
      <c r="C293" s="1">
        <v>8</v>
      </c>
      <c r="D293" s="1" t="s">
        <v>24</v>
      </c>
      <c r="E293" s="1">
        <v>364</v>
      </c>
      <c r="F293" s="1">
        <v>5.8000000000000003E-2</v>
      </c>
      <c r="G293" s="1">
        <v>29507835</v>
      </c>
      <c r="H293" s="1">
        <v>1132.2550000000001</v>
      </c>
      <c r="I293" s="1">
        <v>15.327</v>
      </c>
      <c r="J293" s="1">
        <v>1275.626</v>
      </c>
      <c r="K293" s="1">
        <v>1290.953</v>
      </c>
      <c r="L293" s="1" t="s">
        <v>35</v>
      </c>
    </row>
    <row r="294" spans="1:12" ht="13" x14ac:dyDescent="0.15">
      <c r="A294" s="1">
        <v>1</v>
      </c>
      <c r="B294" s="1">
        <v>3</v>
      </c>
      <c r="C294" s="1">
        <v>12</v>
      </c>
      <c r="D294" s="1" t="s">
        <v>24</v>
      </c>
      <c r="E294" s="1">
        <v>296</v>
      </c>
      <c r="F294" s="1">
        <v>3.4000000000000002E-2</v>
      </c>
      <c r="G294" s="1">
        <v>28976061</v>
      </c>
      <c r="H294" s="1">
        <v>911.88300000000004</v>
      </c>
      <c r="I294" s="1">
        <v>15.459</v>
      </c>
      <c r="J294" s="1">
        <v>1059.242</v>
      </c>
      <c r="K294" s="1">
        <v>1074.701</v>
      </c>
      <c r="L294" s="1" t="s">
        <v>35</v>
      </c>
    </row>
    <row r="295" spans="1:12" ht="13" x14ac:dyDescent="0.15">
      <c r="A295" s="1">
        <v>1</v>
      </c>
      <c r="B295" s="1">
        <v>3</v>
      </c>
      <c r="C295" s="1">
        <v>13</v>
      </c>
      <c r="D295" s="1" t="s">
        <v>24</v>
      </c>
      <c r="E295" s="1">
        <v>242</v>
      </c>
      <c r="F295" s="1">
        <v>8.5999999999999993E-2</v>
      </c>
      <c r="G295" s="1">
        <v>28015821</v>
      </c>
      <c r="H295" s="1">
        <v>945.48500000000001</v>
      </c>
      <c r="I295" s="1">
        <v>15.145</v>
      </c>
      <c r="J295" s="1">
        <v>1086.683</v>
      </c>
      <c r="K295" s="1">
        <v>1101.827</v>
      </c>
      <c r="L295" s="1" t="s">
        <v>35</v>
      </c>
    </row>
    <row r="296" spans="1:12" ht="13" x14ac:dyDescent="0.15">
      <c r="A296" s="1">
        <v>1</v>
      </c>
      <c r="B296" s="1">
        <v>3</v>
      </c>
      <c r="C296" s="1">
        <v>14</v>
      </c>
      <c r="D296" s="1" t="s">
        <v>24</v>
      </c>
      <c r="E296" s="1">
        <v>219</v>
      </c>
      <c r="F296" s="1">
        <v>8.3000000000000004E-2</v>
      </c>
      <c r="G296" s="1">
        <v>25271315</v>
      </c>
      <c r="H296" s="1">
        <v>588.87800000000004</v>
      </c>
      <c r="I296" s="1">
        <v>15.808999999999999</v>
      </c>
      <c r="J296" s="1">
        <v>718.346</v>
      </c>
      <c r="K296" s="1">
        <v>734.154</v>
      </c>
      <c r="L296" s="1" t="s">
        <v>35</v>
      </c>
    </row>
    <row r="297" spans="1:12" ht="13" x14ac:dyDescent="0.15">
      <c r="A297" s="1">
        <v>1</v>
      </c>
      <c r="B297" s="1">
        <v>3</v>
      </c>
      <c r="C297" s="1">
        <v>15</v>
      </c>
      <c r="D297" s="1" t="s">
        <v>24</v>
      </c>
      <c r="E297" s="1">
        <v>219</v>
      </c>
      <c r="F297" s="1">
        <v>0.10100000000000001</v>
      </c>
      <c r="G297" s="1">
        <v>25622593</v>
      </c>
      <c r="H297" s="1">
        <v>500.88600000000002</v>
      </c>
      <c r="I297" s="1">
        <v>15.023</v>
      </c>
      <c r="J297" s="1">
        <v>628.39200000000005</v>
      </c>
      <c r="K297" s="1">
        <v>643.41499999999996</v>
      </c>
      <c r="L297" s="1" t="s">
        <v>35</v>
      </c>
    </row>
    <row r="298" spans="1:12" ht="13" x14ac:dyDescent="0.15">
      <c r="A298" s="1">
        <v>1</v>
      </c>
      <c r="B298" s="1">
        <v>3</v>
      </c>
      <c r="C298" s="1">
        <v>16</v>
      </c>
      <c r="D298" s="1" t="s">
        <v>24</v>
      </c>
      <c r="E298" s="1">
        <v>302</v>
      </c>
      <c r="F298" s="1">
        <v>7.5999999999999998E-2</v>
      </c>
      <c r="G298" s="1">
        <v>28278365</v>
      </c>
      <c r="H298" s="1">
        <v>1338.9469999999999</v>
      </c>
      <c r="I298" s="1">
        <v>15.555</v>
      </c>
      <c r="J298" s="1">
        <v>1482.28</v>
      </c>
      <c r="K298" s="1">
        <v>1497.835</v>
      </c>
      <c r="L298" s="1" t="s">
        <v>35</v>
      </c>
    </row>
    <row r="299" spans="1:12" ht="13" x14ac:dyDescent="0.15">
      <c r="A299" s="1">
        <v>1</v>
      </c>
      <c r="B299" s="1">
        <v>3</v>
      </c>
      <c r="C299" s="1">
        <v>17</v>
      </c>
      <c r="D299" s="1" t="s">
        <v>24</v>
      </c>
      <c r="E299" s="1">
        <v>259</v>
      </c>
      <c r="F299" s="1">
        <v>2.5000000000000001E-2</v>
      </c>
      <c r="G299" s="1">
        <v>29908121</v>
      </c>
      <c r="H299" s="1">
        <v>826.33699999999999</v>
      </c>
      <c r="I299" s="1">
        <v>15.509</v>
      </c>
      <c r="J299" s="1">
        <v>976.33600000000001</v>
      </c>
      <c r="K299" s="1">
        <v>991.84400000000005</v>
      </c>
      <c r="L299" s="1" t="s">
        <v>35</v>
      </c>
    </row>
    <row r="300" spans="1:12" ht="13" x14ac:dyDescent="0.15">
      <c r="A300" s="1">
        <v>1</v>
      </c>
      <c r="B300" s="1">
        <v>3</v>
      </c>
      <c r="C300" s="1">
        <v>18</v>
      </c>
      <c r="D300" s="1" t="s">
        <v>24</v>
      </c>
      <c r="E300" s="1">
        <v>281</v>
      </c>
      <c r="F300" s="1">
        <v>2.1999999999999999E-2</v>
      </c>
      <c r="G300" s="1">
        <v>27129659</v>
      </c>
      <c r="H300" s="1">
        <v>630.19600000000003</v>
      </c>
      <c r="I300" s="1">
        <v>16.196000000000002</v>
      </c>
      <c r="J300" s="1">
        <v>763.24099999999999</v>
      </c>
      <c r="K300" s="1">
        <v>779.43700000000001</v>
      </c>
      <c r="L300" s="1" t="s">
        <v>35</v>
      </c>
    </row>
    <row r="301" spans="1:12" ht="13" x14ac:dyDescent="0.15">
      <c r="A301" s="1">
        <v>1</v>
      </c>
      <c r="B301" s="1">
        <v>3</v>
      </c>
      <c r="C301" s="1">
        <v>19</v>
      </c>
      <c r="D301" s="1" t="s">
        <v>24</v>
      </c>
      <c r="E301" s="1">
        <v>282</v>
      </c>
      <c r="F301" s="1">
        <v>2.8000000000000001E-2</v>
      </c>
      <c r="G301" s="1">
        <v>26041390</v>
      </c>
      <c r="H301" s="1">
        <v>520.92399999999998</v>
      </c>
      <c r="I301" s="1">
        <v>15.282999999999999</v>
      </c>
      <c r="J301" s="1">
        <v>649.649</v>
      </c>
      <c r="K301" s="1">
        <v>664.93200000000002</v>
      </c>
      <c r="L301" s="1" t="s">
        <v>35</v>
      </c>
    </row>
    <row r="302" spans="1:12" ht="13" x14ac:dyDescent="0.15">
      <c r="A302" s="1">
        <v>1</v>
      </c>
      <c r="B302" s="1">
        <v>3</v>
      </c>
      <c r="C302" s="1">
        <v>20</v>
      </c>
      <c r="D302" s="1" t="s">
        <v>24</v>
      </c>
      <c r="E302" s="1">
        <v>296</v>
      </c>
      <c r="F302" s="1">
        <v>1.6E-2</v>
      </c>
      <c r="G302" s="1">
        <v>26035849</v>
      </c>
      <c r="H302" s="1">
        <v>616.42499999999995</v>
      </c>
      <c r="I302" s="1">
        <v>15.223000000000001</v>
      </c>
      <c r="J302" s="1">
        <v>743.42899999999997</v>
      </c>
      <c r="K302" s="1">
        <v>758.65200000000004</v>
      </c>
      <c r="L302" s="1" t="s">
        <v>35</v>
      </c>
    </row>
    <row r="303" spans="1:12" ht="13" x14ac:dyDescent="0.15">
      <c r="A303" s="1">
        <v>1</v>
      </c>
      <c r="B303" s="1">
        <v>4</v>
      </c>
      <c r="C303" s="1">
        <v>1</v>
      </c>
      <c r="D303" s="1" t="s">
        <v>24</v>
      </c>
      <c r="E303" s="1">
        <v>534</v>
      </c>
      <c r="F303" s="1">
        <v>5.5E-2</v>
      </c>
      <c r="G303" s="1">
        <v>158377142</v>
      </c>
      <c r="H303" s="1">
        <v>4379.1790000000001</v>
      </c>
      <c r="I303" s="1">
        <v>40.945</v>
      </c>
      <c r="J303" s="1">
        <v>5187.7219999999998</v>
      </c>
      <c r="K303" s="1">
        <v>5228.6670000000004</v>
      </c>
      <c r="L303" s="1" t="s">
        <v>35</v>
      </c>
    </row>
    <row r="304" spans="1:12" ht="13" x14ac:dyDescent="0.15">
      <c r="A304" s="1">
        <v>1</v>
      </c>
      <c r="B304" s="1">
        <v>4</v>
      </c>
      <c r="C304" s="1">
        <v>2</v>
      </c>
      <c r="D304" s="1" t="s">
        <v>24</v>
      </c>
      <c r="E304" s="1">
        <v>449</v>
      </c>
      <c r="F304" s="1">
        <v>4.5999999999999999E-2</v>
      </c>
      <c r="G304" s="1">
        <v>147076391</v>
      </c>
      <c r="H304" s="1">
        <v>4067.2460000000001</v>
      </c>
      <c r="I304" s="1">
        <v>39.633000000000003</v>
      </c>
      <c r="J304" s="1">
        <v>4764.7889999999998</v>
      </c>
      <c r="K304" s="1">
        <v>4804.4229999999998</v>
      </c>
      <c r="L304" s="1" t="s">
        <v>35</v>
      </c>
    </row>
    <row r="305" spans="1:12" ht="13" x14ac:dyDescent="0.15">
      <c r="A305" s="1">
        <v>1</v>
      </c>
      <c r="B305" s="1">
        <v>4</v>
      </c>
      <c r="C305" s="1">
        <v>3</v>
      </c>
      <c r="D305" s="1" t="s">
        <v>24</v>
      </c>
      <c r="E305" s="1">
        <v>878</v>
      </c>
      <c r="F305" s="1">
        <v>9.8000000000000004E-2</v>
      </c>
      <c r="G305" s="1">
        <v>189867713</v>
      </c>
      <c r="H305" s="1">
        <v>8960.8209999999999</v>
      </c>
      <c r="I305" s="1">
        <v>41.216000000000001</v>
      </c>
      <c r="J305" s="1">
        <v>9973.8029999999999</v>
      </c>
      <c r="K305" s="1">
        <v>10015.02</v>
      </c>
      <c r="L305" s="1" t="s">
        <v>35</v>
      </c>
    </row>
    <row r="306" spans="1:12" ht="13" x14ac:dyDescent="0.15">
      <c r="A306" s="1">
        <v>1</v>
      </c>
      <c r="B306" s="1">
        <v>4</v>
      </c>
      <c r="C306" s="1">
        <v>5</v>
      </c>
      <c r="D306" s="1" t="s">
        <v>24</v>
      </c>
      <c r="E306" s="1">
        <v>524</v>
      </c>
      <c r="F306" s="1">
        <v>4.7E-2</v>
      </c>
      <c r="G306" s="1">
        <v>155724889</v>
      </c>
      <c r="H306" s="1">
        <v>3570.8220000000001</v>
      </c>
      <c r="I306" s="1">
        <v>41.747999999999998</v>
      </c>
      <c r="J306" s="1">
        <v>4513.3720000000003</v>
      </c>
      <c r="K306" s="1">
        <v>4555.12</v>
      </c>
      <c r="L306" s="1" t="s">
        <v>35</v>
      </c>
    </row>
    <row r="307" spans="1:12" ht="13" x14ac:dyDescent="0.15">
      <c r="A307" s="1">
        <v>1</v>
      </c>
      <c r="B307" s="1">
        <v>4</v>
      </c>
      <c r="C307" s="1">
        <v>6</v>
      </c>
      <c r="D307" s="1" t="s">
        <v>24</v>
      </c>
      <c r="E307" s="1">
        <v>555</v>
      </c>
      <c r="F307" s="1">
        <v>0.08</v>
      </c>
      <c r="G307" s="1">
        <v>174842899</v>
      </c>
      <c r="H307" s="1">
        <v>3478.5050000000001</v>
      </c>
      <c r="I307" s="1">
        <v>40.923999999999999</v>
      </c>
      <c r="J307" s="1">
        <v>4408.375</v>
      </c>
      <c r="K307" s="1">
        <v>4449.3</v>
      </c>
      <c r="L307" s="1" t="s">
        <v>35</v>
      </c>
    </row>
    <row r="308" spans="1:12" ht="13" x14ac:dyDescent="0.15">
      <c r="A308" s="1">
        <v>1</v>
      </c>
      <c r="B308" s="1">
        <v>4</v>
      </c>
      <c r="C308" s="1">
        <v>7</v>
      </c>
      <c r="D308" s="1" t="s">
        <v>24</v>
      </c>
      <c r="E308" s="1">
        <v>643</v>
      </c>
      <c r="F308" s="1">
        <v>9.8000000000000004E-2</v>
      </c>
      <c r="G308" s="1">
        <v>167773758</v>
      </c>
      <c r="H308" s="1">
        <v>7934.8270000000002</v>
      </c>
      <c r="I308" s="1">
        <v>41.094000000000001</v>
      </c>
      <c r="J308" s="1">
        <v>8805.8130000000001</v>
      </c>
      <c r="K308" s="1">
        <v>8846.9069999999992</v>
      </c>
      <c r="L308" s="1" t="s">
        <v>35</v>
      </c>
    </row>
    <row r="309" spans="1:12" ht="13" x14ac:dyDescent="0.15">
      <c r="A309" s="1">
        <v>1</v>
      </c>
      <c r="B309" s="1">
        <v>4</v>
      </c>
      <c r="C309" s="1">
        <v>8</v>
      </c>
      <c r="D309" s="1" t="s">
        <v>24</v>
      </c>
      <c r="E309" s="1">
        <v>771</v>
      </c>
      <c r="F309" s="1">
        <v>0.06</v>
      </c>
      <c r="G309" s="1">
        <v>188150678</v>
      </c>
      <c r="H309" s="1">
        <v>11450.511</v>
      </c>
      <c r="I309" s="1">
        <v>41.031999999999996</v>
      </c>
      <c r="J309" s="1">
        <v>12428.438</v>
      </c>
      <c r="K309" s="1">
        <v>12469.47</v>
      </c>
      <c r="L309" s="1" t="s">
        <v>35</v>
      </c>
    </row>
    <row r="310" spans="1:12" ht="13" x14ac:dyDescent="0.15">
      <c r="A310" s="1">
        <v>1</v>
      </c>
      <c r="B310" s="1">
        <v>4</v>
      </c>
      <c r="C310" s="1">
        <v>12</v>
      </c>
      <c r="D310" s="1" t="s">
        <v>24</v>
      </c>
      <c r="E310" s="1">
        <v>729</v>
      </c>
      <c r="F310" s="1">
        <v>7.0999999999999994E-2</v>
      </c>
      <c r="G310" s="1">
        <v>184886883</v>
      </c>
      <c r="H310" s="1">
        <v>9041.4390000000003</v>
      </c>
      <c r="I310" s="1">
        <v>42.072000000000003</v>
      </c>
      <c r="J310" s="1">
        <v>10036.205</v>
      </c>
      <c r="K310" s="1">
        <v>10078.276</v>
      </c>
      <c r="L310" s="1" t="s">
        <v>35</v>
      </c>
    </row>
    <row r="311" spans="1:12" ht="13" x14ac:dyDescent="0.15">
      <c r="A311" s="1">
        <v>1</v>
      </c>
      <c r="B311" s="1">
        <v>4</v>
      </c>
      <c r="C311" s="1">
        <v>13</v>
      </c>
      <c r="D311" s="1" t="s">
        <v>24</v>
      </c>
      <c r="E311" s="1">
        <v>550</v>
      </c>
      <c r="F311" s="1">
        <v>0.03</v>
      </c>
      <c r="G311" s="1">
        <v>169200903</v>
      </c>
      <c r="H311" s="1">
        <v>5861.8940000000002</v>
      </c>
      <c r="I311" s="1">
        <v>41.134</v>
      </c>
      <c r="J311" s="1">
        <v>6765.4309999999996</v>
      </c>
      <c r="K311" s="1">
        <v>6806.567</v>
      </c>
      <c r="L311" s="1" t="s">
        <v>35</v>
      </c>
    </row>
    <row r="312" spans="1:12" ht="13" x14ac:dyDescent="0.15">
      <c r="A312" s="1">
        <v>1</v>
      </c>
      <c r="B312" s="1">
        <v>4</v>
      </c>
      <c r="C312" s="1">
        <v>14</v>
      </c>
      <c r="D312" s="1" t="s">
        <v>24</v>
      </c>
      <c r="E312" s="1">
        <v>599</v>
      </c>
      <c r="F312" s="1">
        <v>3.2000000000000001E-2</v>
      </c>
      <c r="G312" s="1">
        <v>173400973</v>
      </c>
      <c r="H312" s="1">
        <v>5450.8130000000001</v>
      </c>
      <c r="I312" s="1">
        <v>42.658999999999999</v>
      </c>
      <c r="J312" s="1">
        <v>6395.8829999999998</v>
      </c>
      <c r="K312" s="1">
        <v>6438.5420000000004</v>
      </c>
      <c r="L312" s="1" t="s">
        <v>35</v>
      </c>
    </row>
    <row r="313" spans="1:12" ht="13" x14ac:dyDescent="0.15">
      <c r="A313" s="1">
        <v>1</v>
      </c>
      <c r="B313" s="1">
        <v>4</v>
      </c>
      <c r="C313" s="1">
        <v>15</v>
      </c>
      <c r="D313" s="1" t="s">
        <v>24</v>
      </c>
      <c r="E313" s="1">
        <v>454</v>
      </c>
      <c r="F313" s="1">
        <v>2.1000000000000001E-2</v>
      </c>
      <c r="G313" s="1">
        <v>153330124</v>
      </c>
      <c r="H313" s="1">
        <v>3430.5140000000001</v>
      </c>
      <c r="I313" s="1">
        <v>40.409999999999997</v>
      </c>
      <c r="J313" s="1">
        <v>4199.87</v>
      </c>
      <c r="K313" s="1">
        <v>4240.28</v>
      </c>
      <c r="L313" s="1" t="s">
        <v>35</v>
      </c>
    </row>
    <row r="314" spans="1:12" ht="13" x14ac:dyDescent="0.15">
      <c r="A314" s="1">
        <v>1</v>
      </c>
      <c r="B314" s="1">
        <v>4</v>
      </c>
      <c r="C314" s="1">
        <v>16</v>
      </c>
      <c r="D314" s="1" t="s">
        <v>24</v>
      </c>
      <c r="E314" s="1">
        <v>761</v>
      </c>
      <c r="F314" s="1">
        <v>7.2999999999999995E-2</v>
      </c>
      <c r="G314" s="1">
        <v>180520187</v>
      </c>
      <c r="H314" s="1">
        <v>9450.8960000000006</v>
      </c>
      <c r="I314" s="1">
        <v>41.566000000000003</v>
      </c>
      <c r="J314" s="1">
        <v>10435.93</v>
      </c>
      <c r="K314" s="1">
        <v>10477.495999999999</v>
      </c>
      <c r="L314" s="1" t="s">
        <v>35</v>
      </c>
    </row>
    <row r="315" spans="1:12" ht="13" x14ac:dyDescent="0.15">
      <c r="A315" s="1">
        <v>1</v>
      </c>
      <c r="B315" s="1">
        <v>4</v>
      </c>
      <c r="C315" s="1">
        <v>18</v>
      </c>
      <c r="D315" s="1" t="s">
        <v>24</v>
      </c>
      <c r="E315" s="1">
        <v>737</v>
      </c>
      <c r="F315" s="1">
        <v>3.1E-2</v>
      </c>
      <c r="G315" s="1">
        <v>178240940</v>
      </c>
      <c r="H315" s="1">
        <v>5035.4870000000001</v>
      </c>
      <c r="I315" s="1">
        <v>43.417000000000002</v>
      </c>
      <c r="J315" s="1">
        <v>5969.5519999999997</v>
      </c>
      <c r="K315" s="1">
        <v>6012.9679999999998</v>
      </c>
      <c r="L315" s="1" t="s">
        <v>35</v>
      </c>
    </row>
    <row r="316" spans="1:12" ht="13" x14ac:dyDescent="0.15">
      <c r="A316" s="1">
        <v>1</v>
      </c>
      <c r="B316" s="1">
        <v>4</v>
      </c>
      <c r="C316" s="1">
        <v>20</v>
      </c>
      <c r="D316" s="1" t="s">
        <v>24</v>
      </c>
      <c r="E316" s="1">
        <v>571</v>
      </c>
      <c r="F316" s="1">
        <v>2.9000000000000001E-2</v>
      </c>
      <c r="G316" s="1">
        <v>155516603</v>
      </c>
      <c r="H316" s="1">
        <v>4392.8959999999997</v>
      </c>
      <c r="I316" s="1">
        <v>40.271000000000001</v>
      </c>
      <c r="J316" s="1">
        <v>5222.1890000000003</v>
      </c>
      <c r="K316" s="1">
        <v>5262.46</v>
      </c>
      <c r="L316" s="1" t="s">
        <v>35</v>
      </c>
    </row>
    <row r="317" spans="1:12" ht="13" x14ac:dyDescent="0.15">
      <c r="A317" s="5">
        <v>1</v>
      </c>
      <c r="B317" s="5">
        <v>5</v>
      </c>
      <c r="C317" s="5">
        <v>1</v>
      </c>
      <c r="D317" s="6" t="s">
        <v>24</v>
      </c>
      <c r="E317" s="5">
        <v>1378</v>
      </c>
      <c r="F317" s="5">
        <v>9.6000000000000002E-2</v>
      </c>
      <c r="G317" s="5">
        <v>746558335</v>
      </c>
      <c r="H317" s="5">
        <v>23549.852999999999</v>
      </c>
      <c r="I317" s="5">
        <v>90.25</v>
      </c>
      <c r="J317" s="5">
        <v>27675.901000000002</v>
      </c>
      <c r="K317" s="5">
        <v>27766.151000000002</v>
      </c>
      <c r="L317" s="6" t="s">
        <v>35</v>
      </c>
    </row>
    <row r="318" spans="1:12" ht="13" x14ac:dyDescent="0.15">
      <c r="A318" s="5">
        <v>1</v>
      </c>
      <c r="B318" s="5">
        <v>5</v>
      </c>
      <c r="C318" s="5">
        <v>2</v>
      </c>
      <c r="D318" s="6" t="s">
        <v>24</v>
      </c>
      <c r="E318" s="5">
        <v>1004</v>
      </c>
      <c r="F318" s="5">
        <v>7.2999999999999995E-2</v>
      </c>
      <c r="G318" s="5">
        <v>680212384</v>
      </c>
      <c r="H318" s="5">
        <v>26582.33</v>
      </c>
      <c r="I318" s="5">
        <v>87.406000000000006</v>
      </c>
      <c r="J318" s="5">
        <v>30152.638999999999</v>
      </c>
      <c r="K318" s="5">
        <v>30240.044999999998</v>
      </c>
      <c r="L318" s="6" t="s">
        <v>35</v>
      </c>
    </row>
    <row r="319" spans="1:12" ht="13" x14ac:dyDescent="0.15">
      <c r="A319" s="5">
        <v>1</v>
      </c>
      <c r="B319" s="5">
        <v>5</v>
      </c>
      <c r="C319" s="5">
        <v>3</v>
      </c>
      <c r="D319" s="6" t="s">
        <v>24</v>
      </c>
      <c r="E319" s="5">
        <v>1779</v>
      </c>
      <c r="F319" s="5">
        <v>0.155</v>
      </c>
      <c r="G319" s="5">
        <v>821856647</v>
      </c>
      <c r="H319" s="5">
        <v>41884.103000000003</v>
      </c>
      <c r="I319" s="5">
        <v>91.093999999999994</v>
      </c>
      <c r="J319" s="5">
        <v>46570.432999999997</v>
      </c>
      <c r="K319" s="5">
        <v>46661.527000000002</v>
      </c>
      <c r="L319" s="6" t="s">
        <v>35</v>
      </c>
    </row>
    <row r="320" spans="1:12" ht="13" x14ac:dyDescent="0.15">
      <c r="A320" s="5">
        <v>1</v>
      </c>
      <c r="B320" s="5">
        <v>5</v>
      </c>
      <c r="C320" s="5">
        <v>5</v>
      </c>
      <c r="D320" s="6" t="s">
        <v>24</v>
      </c>
      <c r="E320" s="5">
        <v>1216</v>
      </c>
      <c r="F320" s="5">
        <v>8.8999999999999996E-2</v>
      </c>
      <c r="G320" s="5">
        <v>716440094</v>
      </c>
      <c r="H320" s="5">
        <v>19357.386999999999</v>
      </c>
      <c r="I320" s="5">
        <v>91.983999999999995</v>
      </c>
      <c r="J320" s="5">
        <v>23437.744999999999</v>
      </c>
      <c r="K320" s="5">
        <v>23529.73</v>
      </c>
      <c r="L320" s="6" t="s">
        <v>35</v>
      </c>
    </row>
    <row r="321" spans="1:26" ht="13" x14ac:dyDescent="0.15">
      <c r="A321" s="5">
        <v>1</v>
      </c>
      <c r="B321" s="5">
        <v>5</v>
      </c>
      <c r="C321" s="5">
        <v>6</v>
      </c>
      <c r="D321" s="6" t="s">
        <v>24</v>
      </c>
      <c r="E321" s="5">
        <v>1259</v>
      </c>
      <c r="F321" s="5">
        <v>8.5000000000000006E-2</v>
      </c>
      <c r="G321" s="5">
        <v>776980446</v>
      </c>
      <c r="H321" s="5">
        <v>21703.996999999999</v>
      </c>
      <c r="I321" s="5">
        <v>90.686000000000007</v>
      </c>
      <c r="J321" s="5">
        <v>26227.742999999999</v>
      </c>
      <c r="K321" s="5">
        <v>26318.432000000001</v>
      </c>
      <c r="L321" s="6" t="s">
        <v>35</v>
      </c>
    </row>
    <row r="322" spans="1:26" ht="13" x14ac:dyDescent="0.15">
      <c r="A322" s="5">
        <v>1</v>
      </c>
      <c r="B322" s="5">
        <v>5</v>
      </c>
      <c r="C322" s="5">
        <v>7</v>
      </c>
      <c r="D322" s="6" t="s">
        <v>24</v>
      </c>
      <c r="E322" s="5">
        <v>1407</v>
      </c>
      <c r="F322" s="5">
        <v>0.14399999999999999</v>
      </c>
      <c r="G322" s="5">
        <v>780892461</v>
      </c>
      <c r="H322" s="5">
        <v>32457.42</v>
      </c>
      <c r="I322" s="5">
        <v>90.403000000000006</v>
      </c>
      <c r="J322" s="5">
        <v>36641.69</v>
      </c>
      <c r="K322" s="5">
        <v>36732.095000000001</v>
      </c>
      <c r="L322" s="6" t="s">
        <v>35</v>
      </c>
    </row>
    <row r="323" spans="1:26" ht="13" x14ac:dyDescent="0.15">
      <c r="A323" s="2">
        <v>2</v>
      </c>
      <c r="B323" s="2">
        <v>1</v>
      </c>
      <c r="C323" s="2">
        <v>9</v>
      </c>
      <c r="D323" s="2" t="s">
        <v>25</v>
      </c>
      <c r="E323" s="2">
        <v>119</v>
      </c>
      <c r="F323" s="2">
        <v>1.2999999999999999E-2</v>
      </c>
      <c r="G323" s="2">
        <v>2437510</v>
      </c>
      <c r="H323" s="2">
        <v>171.33699999999999</v>
      </c>
      <c r="I323" s="2">
        <v>3.9710000000000001</v>
      </c>
      <c r="J323" s="2">
        <v>183.4</v>
      </c>
      <c r="K323" s="2">
        <v>187.37100000000001</v>
      </c>
      <c r="L323" s="2" t="s">
        <v>35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>
        <v>2</v>
      </c>
      <c r="B324" s="2">
        <v>1</v>
      </c>
      <c r="C324" s="2">
        <v>10</v>
      </c>
      <c r="D324" s="2" t="s">
        <v>17</v>
      </c>
      <c r="E324" s="2">
        <v>131</v>
      </c>
      <c r="F324" s="2">
        <v>1.2E-2</v>
      </c>
      <c r="G324" s="2">
        <v>2321723</v>
      </c>
      <c r="H324" s="2">
        <v>90.74</v>
      </c>
      <c r="I324" s="2">
        <v>3.9670000000000001</v>
      </c>
      <c r="J324" s="2">
        <v>102.185</v>
      </c>
      <c r="K324" s="2">
        <v>106.152</v>
      </c>
      <c r="L324" s="2" t="s">
        <v>35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>
        <v>2</v>
      </c>
      <c r="B325" s="2">
        <v>1</v>
      </c>
      <c r="C325" s="2">
        <v>19</v>
      </c>
      <c r="D325" s="2" t="s">
        <v>37</v>
      </c>
      <c r="E325" s="2">
        <v>95</v>
      </c>
      <c r="F325" s="2">
        <v>0.16600000000000001</v>
      </c>
      <c r="G325" s="2">
        <v>2086732</v>
      </c>
      <c r="H325" s="2">
        <v>112.80500000000001</v>
      </c>
      <c r="I325" s="2">
        <v>4.2930000000000001</v>
      </c>
      <c r="J325" s="2">
        <v>123.194</v>
      </c>
      <c r="K325" s="2">
        <v>127.48699999999999</v>
      </c>
      <c r="L325" s="2" t="s">
        <v>35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>
        <v>2</v>
      </c>
      <c r="B326" s="2">
        <v>2</v>
      </c>
      <c r="C326" s="2">
        <v>4</v>
      </c>
      <c r="D326" s="2" t="s">
        <v>19</v>
      </c>
      <c r="E326" s="2">
        <v>314</v>
      </c>
      <c r="F326" s="2">
        <v>0.14199999999999999</v>
      </c>
      <c r="G326" s="2">
        <v>28073198</v>
      </c>
      <c r="H326" s="2">
        <v>1948.596</v>
      </c>
      <c r="I326" s="2">
        <v>15.164999999999999</v>
      </c>
      <c r="J326" s="2">
        <v>2088.8879999999999</v>
      </c>
      <c r="K326" s="2">
        <v>2104.0540000000001</v>
      </c>
      <c r="L326" s="2" t="s">
        <v>35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>
        <v>2</v>
      </c>
      <c r="B327" s="2">
        <v>2</v>
      </c>
      <c r="C327" s="2">
        <v>7</v>
      </c>
      <c r="D327" s="2" t="s">
        <v>27</v>
      </c>
      <c r="E327" s="2">
        <v>272</v>
      </c>
      <c r="F327" s="2">
        <v>1.7999999999999999E-2</v>
      </c>
      <c r="G327" s="2">
        <v>25558356</v>
      </c>
      <c r="H327" s="2">
        <v>1053.953</v>
      </c>
      <c r="I327" s="2">
        <v>15.288</v>
      </c>
      <c r="J327" s="2">
        <v>1181.117</v>
      </c>
      <c r="K327" s="2">
        <v>1196.405</v>
      </c>
      <c r="L327" s="2" t="s">
        <v>35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>
        <v>2</v>
      </c>
      <c r="B328" s="2">
        <v>2</v>
      </c>
      <c r="C328" s="2">
        <v>9</v>
      </c>
      <c r="D328" s="2" t="s">
        <v>25</v>
      </c>
      <c r="E328" s="2">
        <v>379</v>
      </c>
      <c r="F328" s="2">
        <v>0.04</v>
      </c>
      <c r="G328" s="2">
        <v>30187756</v>
      </c>
      <c r="H328" s="2">
        <v>2312.5059999999999</v>
      </c>
      <c r="I328" s="2">
        <v>14.45</v>
      </c>
      <c r="J328" s="2">
        <v>2460.42</v>
      </c>
      <c r="K328" s="2">
        <v>2474.87</v>
      </c>
      <c r="L328" s="2" t="s">
        <v>35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>
        <v>2</v>
      </c>
      <c r="B329" s="2">
        <v>2</v>
      </c>
      <c r="C329" s="2">
        <v>10</v>
      </c>
      <c r="D329" s="2" t="s">
        <v>20</v>
      </c>
      <c r="E329" s="2">
        <v>358</v>
      </c>
      <c r="F329" s="2">
        <v>2.3E-2</v>
      </c>
      <c r="G329" s="2">
        <v>26497549</v>
      </c>
      <c r="H329" s="2">
        <v>1013.6950000000001</v>
      </c>
      <c r="I329" s="2">
        <v>15.009</v>
      </c>
      <c r="J329" s="2">
        <v>1145.7929999999999</v>
      </c>
      <c r="K329" s="2">
        <v>1160.8019999999999</v>
      </c>
      <c r="L329" s="2" t="s">
        <v>35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>
        <v>2</v>
      </c>
      <c r="B330" s="2">
        <v>2</v>
      </c>
      <c r="C330" s="2">
        <v>13</v>
      </c>
      <c r="D330" s="2" t="s">
        <v>38</v>
      </c>
      <c r="E330" s="2">
        <v>242</v>
      </c>
      <c r="F330" s="2">
        <v>0.14000000000000001</v>
      </c>
      <c r="G330" s="2">
        <v>27802146</v>
      </c>
      <c r="H330" s="2">
        <v>1693.5239999999999</v>
      </c>
      <c r="I330" s="2">
        <v>14.839</v>
      </c>
      <c r="J330" s="2">
        <v>1832.33</v>
      </c>
      <c r="K330" s="2">
        <v>1847.17</v>
      </c>
      <c r="L330" s="2" t="s">
        <v>35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>
        <v>2</v>
      </c>
      <c r="B331" s="2">
        <v>2</v>
      </c>
      <c r="C331" s="2">
        <v>19</v>
      </c>
      <c r="D331" s="2" t="s">
        <v>37</v>
      </c>
      <c r="E331" s="2">
        <v>282</v>
      </c>
      <c r="F331" s="2">
        <v>3.3000000000000002E-2</v>
      </c>
      <c r="G331" s="2">
        <v>26377281</v>
      </c>
      <c r="H331" s="2">
        <v>1160.307</v>
      </c>
      <c r="I331" s="2">
        <v>15.247999999999999</v>
      </c>
      <c r="J331" s="2">
        <v>1289.873</v>
      </c>
      <c r="K331" s="2">
        <v>1305.1199999999999</v>
      </c>
      <c r="L331" s="2" t="s">
        <v>35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>
        <v>2</v>
      </c>
      <c r="B332" s="2">
        <v>3</v>
      </c>
      <c r="C332" s="2">
        <v>4</v>
      </c>
      <c r="D332" s="2" t="s">
        <v>19</v>
      </c>
      <c r="E332" s="2">
        <v>678</v>
      </c>
      <c r="F332" s="2">
        <v>8.2000000000000003E-2</v>
      </c>
      <c r="G332" s="2">
        <v>180788693</v>
      </c>
      <c r="H332" s="2">
        <v>12286.71</v>
      </c>
      <c r="I332" s="2">
        <v>40.280999999999999</v>
      </c>
      <c r="J332" s="2">
        <v>13244.635</v>
      </c>
      <c r="K332" s="2">
        <v>13284.916999999999</v>
      </c>
      <c r="L332" s="2" t="s">
        <v>35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>
        <v>2</v>
      </c>
      <c r="B333" s="2">
        <v>3</v>
      </c>
      <c r="C333" s="2">
        <v>7</v>
      </c>
      <c r="D333" s="2" t="s">
        <v>27</v>
      </c>
      <c r="E333" s="2">
        <v>643</v>
      </c>
      <c r="F333" s="2">
        <v>4.8000000000000001E-2</v>
      </c>
      <c r="G333" s="2">
        <v>174337807</v>
      </c>
      <c r="H333" s="2">
        <v>9781.7649999999994</v>
      </c>
      <c r="I333" s="2">
        <v>40.677999999999997</v>
      </c>
      <c r="J333" s="2">
        <v>10730.566000000001</v>
      </c>
      <c r="K333" s="2">
        <v>10771.245000000001</v>
      </c>
      <c r="L333" s="2" t="s">
        <v>35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>
        <v>2</v>
      </c>
      <c r="B334" s="2">
        <v>3</v>
      </c>
      <c r="C334" s="2">
        <v>9</v>
      </c>
      <c r="D334" s="2" t="s">
        <v>25</v>
      </c>
      <c r="E334" s="2">
        <v>761</v>
      </c>
      <c r="F334" s="2">
        <v>7.2999999999999995E-2</v>
      </c>
      <c r="G334" s="2">
        <v>205651442</v>
      </c>
      <c r="H334" s="2">
        <v>14842.427</v>
      </c>
      <c r="I334" s="2">
        <v>40.752000000000002</v>
      </c>
      <c r="J334" s="2">
        <v>15960.03</v>
      </c>
      <c r="K334" s="2">
        <v>16000.784</v>
      </c>
      <c r="L334" s="2" t="s">
        <v>35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>
        <v>2</v>
      </c>
      <c r="B335" s="2">
        <v>3</v>
      </c>
      <c r="C335" s="2">
        <v>10</v>
      </c>
      <c r="D335" s="2" t="s">
        <v>20</v>
      </c>
      <c r="E335" s="2">
        <v>814</v>
      </c>
      <c r="F335" s="2">
        <v>0.05</v>
      </c>
      <c r="G335" s="2">
        <v>176440723</v>
      </c>
      <c r="H335" s="2">
        <v>7345.8789999999999</v>
      </c>
      <c r="I335" s="2">
        <v>40.767000000000003</v>
      </c>
      <c r="J335" s="2">
        <v>8219.4449999999997</v>
      </c>
      <c r="K335" s="2">
        <v>8260.2150000000001</v>
      </c>
      <c r="L335" s="2" t="s">
        <v>35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>
        <v>2</v>
      </c>
      <c r="B336" s="2">
        <v>3</v>
      </c>
      <c r="C336" s="2">
        <v>13</v>
      </c>
      <c r="D336" s="2" t="s">
        <v>39</v>
      </c>
      <c r="E336" s="2">
        <v>550</v>
      </c>
      <c r="F336" s="2">
        <v>0.04</v>
      </c>
      <c r="G336" s="2">
        <v>175495626</v>
      </c>
      <c r="H336" s="2">
        <v>9295.3819999999996</v>
      </c>
      <c r="I336" s="2">
        <v>40.728000000000002</v>
      </c>
      <c r="J336" s="2">
        <v>10262.406999999999</v>
      </c>
      <c r="K336" s="2">
        <v>10303.136</v>
      </c>
      <c r="L336" s="2" t="s">
        <v>35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>
        <v>2</v>
      </c>
      <c r="B337" s="2">
        <v>3</v>
      </c>
      <c r="C337" s="2">
        <v>14</v>
      </c>
      <c r="D337" s="2" t="s">
        <v>30</v>
      </c>
      <c r="E337" s="2">
        <v>599</v>
      </c>
      <c r="F337" s="2">
        <v>0.06</v>
      </c>
      <c r="G337" s="2">
        <v>178209674</v>
      </c>
      <c r="H337" s="2">
        <v>10887.300999999999</v>
      </c>
      <c r="I337" s="2">
        <v>42.537999999999997</v>
      </c>
      <c r="J337" s="2">
        <v>11835.549000000001</v>
      </c>
      <c r="K337" s="2">
        <v>11878.087</v>
      </c>
      <c r="L337" s="2" t="s">
        <v>35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>
        <v>2</v>
      </c>
      <c r="B338" s="2">
        <v>3</v>
      </c>
      <c r="C338" s="2">
        <v>17</v>
      </c>
      <c r="D338" s="2" t="s">
        <v>21</v>
      </c>
      <c r="E338" s="2">
        <v>661</v>
      </c>
      <c r="F338" s="2">
        <v>4.7E-2</v>
      </c>
      <c r="G338" s="2">
        <v>197991914</v>
      </c>
      <c r="H338" s="2">
        <v>8787.9339999999993</v>
      </c>
      <c r="I338" s="2">
        <v>41.116999999999997</v>
      </c>
      <c r="J338" s="2">
        <v>9874.6419999999998</v>
      </c>
      <c r="K338" s="2">
        <v>9915.759</v>
      </c>
      <c r="L338" s="2" t="s">
        <v>35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>
        <v>2</v>
      </c>
      <c r="B339" s="2">
        <v>3</v>
      </c>
      <c r="C339" s="2">
        <v>19</v>
      </c>
      <c r="D339" s="2" t="s">
        <v>22</v>
      </c>
      <c r="E339" s="2">
        <v>702</v>
      </c>
      <c r="F339" s="2">
        <v>4.2999999999999997E-2</v>
      </c>
      <c r="G339" s="2">
        <v>186219876</v>
      </c>
      <c r="H339" s="2">
        <v>7547.5309999999999</v>
      </c>
      <c r="I339" s="2">
        <v>41.762</v>
      </c>
      <c r="J339" s="2">
        <v>8548.1190000000006</v>
      </c>
      <c r="K339" s="2">
        <v>8589.8809999999994</v>
      </c>
      <c r="L339" s="2" t="s">
        <v>35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3">
        <v>2</v>
      </c>
      <c r="B340" s="3">
        <v>4</v>
      </c>
      <c r="C340" s="3">
        <v>4</v>
      </c>
      <c r="D340" s="4" t="s">
        <v>23</v>
      </c>
      <c r="E340" s="3">
        <v>1380</v>
      </c>
      <c r="F340" s="3">
        <v>0.13300000000000001</v>
      </c>
      <c r="G340" s="3">
        <v>837930044</v>
      </c>
      <c r="H340" s="3">
        <v>54204.883000000002</v>
      </c>
      <c r="I340" s="3">
        <v>90.096999999999994</v>
      </c>
      <c r="J340" s="3">
        <v>59208.995000000003</v>
      </c>
      <c r="K340" s="3">
        <v>59299.091999999997</v>
      </c>
      <c r="L340" s="4" t="s">
        <v>35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1">
        <v>2</v>
      </c>
      <c r="B341" s="1">
        <v>1</v>
      </c>
      <c r="C341" s="1">
        <v>1</v>
      </c>
      <c r="D341" s="1" t="s">
        <v>24</v>
      </c>
      <c r="E341" s="1">
        <v>84</v>
      </c>
      <c r="F341" s="1">
        <v>4.2000000000000003E-2</v>
      </c>
      <c r="G341" s="1">
        <v>2118740</v>
      </c>
      <c r="H341" s="1">
        <v>93.447000000000003</v>
      </c>
      <c r="I341" s="1">
        <v>4.1760000000000002</v>
      </c>
      <c r="J341" s="1">
        <v>104.53700000000001</v>
      </c>
      <c r="K341" s="1">
        <v>108.71299999999999</v>
      </c>
      <c r="L341" s="1" t="s">
        <v>35</v>
      </c>
    </row>
    <row r="342" spans="1:26" ht="13" x14ac:dyDescent="0.15">
      <c r="A342" s="1">
        <v>2</v>
      </c>
      <c r="B342" s="1">
        <v>1</v>
      </c>
      <c r="C342" s="1">
        <v>2</v>
      </c>
      <c r="D342" s="1" t="s">
        <v>24</v>
      </c>
      <c r="E342" s="1">
        <v>93</v>
      </c>
      <c r="F342" s="1">
        <v>2.5999999999999999E-2</v>
      </c>
      <c r="G342" s="1">
        <v>1787895</v>
      </c>
      <c r="H342" s="1">
        <v>36.771999999999998</v>
      </c>
      <c r="I342" s="1">
        <v>4.0730000000000004</v>
      </c>
      <c r="J342" s="1">
        <v>45.406999999999996</v>
      </c>
      <c r="K342" s="1">
        <v>49.48</v>
      </c>
      <c r="L342" s="1" t="s">
        <v>35</v>
      </c>
    </row>
    <row r="343" spans="1:26" ht="13" x14ac:dyDescent="0.15">
      <c r="A343" s="1">
        <v>2</v>
      </c>
      <c r="B343" s="1">
        <v>1</v>
      </c>
      <c r="C343" s="1">
        <v>3</v>
      </c>
      <c r="D343" s="1" t="s">
        <v>24</v>
      </c>
      <c r="E343" s="1">
        <v>130</v>
      </c>
      <c r="F343" s="1">
        <v>0.09</v>
      </c>
      <c r="G343" s="1">
        <v>2365374</v>
      </c>
      <c r="H343" s="1">
        <v>133.74</v>
      </c>
      <c r="I343" s="1">
        <v>4.008</v>
      </c>
      <c r="J343" s="1">
        <v>145.202</v>
      </c>
      <c r="K343" s="1">
        <v>149.21</v>
      </c>
      <c r="L343" s="1" t="s">
        <v>35</v>
      </c>
    </row>
    <row r="344" spans="1:26" ht="13" x14ac:dyDescent="0.15">
      <c r="A344" s="1">
        <v>2</v>
      </c>
      <c r="B344" s="1">
        <v>1</v>
      </c>
      <c r="C344" s="1">
        <v>4</v>
      </c>
      <c r="D344" s="1" t="s">
        <v>24</v>
      </c>
      <c r="E344" s="1">
        <v>102</v>
      </c>
      <c r="F344" s="1">
        <v>8.3000000000000004E-2</v>
      </c>
      <c r="G344" s="1">
        <v>2245259</v>
      </c>
      <c r="H344" s="1">
        <v>33.892000000000003</v>
      </c>
      <c r="I344" s="1">
        <v>4.3319999999999999</v>
      </c>
      <c r="J344" s="1">
        <v>45.445999999999998</v>
      </c>
      <c r="K344" s="1">
        <v>49.777999999999999</v>
      </c>
      <c r="L344" s="1" t="s">
        <v>35</v>
      </c>
    </row>
    <row r="345" spans="1:26" ht="13" x14ac:dyDescent="0.15">
      <c r="A345" s="1">
        <v>2</v>
      </c>
      <c r="B345" s="1">
        <v>1</v>
      </c>
      <c r="C345" s="1">
        <v>5</v>
      </c>
      <c r="D345" s="1" t="s">
        <v>24</v>
      </c>
      <c r="E345" s="1">
        <v>63</v>
      </c>
      <c r="F345" s="1">
        <v>8.3000000000000004E-2</v>
      </c>
      <c r="G345" s="1">
        <v>1671503</v>
      </c>
      <c r="H345" s="1">
        <v>23.408000000000001</v>
      </c>
      <c r="I345" s="1">
        <v>4.4610000000000003</v>
      </c>
      <c r="J345" s="1">
        <v>31.943000000000001</v>
      </c>
      <c r="K345" s="1">
        <v>36.404000000000003</v>
      </c>
      <c r="L345" s="1" t="s">
        <v>35</v>
      </c>
    </row>
    <row r="346" spans="1:26" ht="13" x14ac:dyDescent="0.15">
      <c r="A346" s="1">
        <v>2</v>
      </c>
      <c r="B346" s="1">
        <v>1</v>
      </c>
      <c r="C346" s="1">
        <v>6</v>
      </c>
      <c r="D346" s="1" t="s">
        <v>24</v>
      </c>
      <c r="E346" s="1">
        <v>74</v>
      </c>
      <c r="F346" s="1">
        <v>7.0000000000000001E-3</v>
      </c>
      <c r="G346" s="1">
        <v>1786851</v>
      </c>
      <c r="H346" s="1">
        <v>26.664999999999999</v>
      </c>
      <c r="I346" s="1">
        <v>4.173</v>
      </c>
      <c r="J346" s="1">
        <v>35.994999999999997</v>
      </c>
      <c r="K346" s="1">
        <v>40.167999999999999</v>
      </c>
      <c r="L346" s="1" t="s">
        <v>35</v>
      </c>
    </row>
    <row r="347" spans="1:26" ht="13" x14ac:dyDescent="0.15">
      <c r="A347" s="1">
        <v>2</v>
      </c>
      <c r="B347" s="1">
        <v>1</v>
      </c>
      <c r="C347" s="1">
        <v>7</v>
      </c>
      <c r="D347" s="1" t="s">
        <v>24</v>
      </c>
      <c r="E347" s="1">
        <v>92</v>
      </c>
      <c r="F347" s="1">
        <v>0.01</v>
      </c>
      <c r="G347" s="1">
        <v>2232771</v>
      </c>
      <c r="H347" s="1">
        <v>47.567</v>
      </c>
      <c r="I347" s="1">
        <v>4.0449999999999999</v>
      </c>
      <c r="J347" s="1">
        <v>58.734000000000002</v>
      </c>
      <c r="K347" s="1">
        <v>62.779000000000003</v>
      </c>
      <c r="L347" s="1" t="s">
        <v>35</v>
      </c>
    </row>
    <row r="348" spans="1:26" ht="13" x14ac:dyDescent="0.15">
      <c r="A348" s="1">
        <v>2</v>
      </c>
      <c r="B348" s="1">
        <v>1</v>
      </c>
      <c r="C348" s="1">
        <v>8</v>
      </c>
      <c r="D348" s="1" t="s">
        <v>24</v>
      </c>
      <c r="E348" s="1">
        <v>115</v>
      </c>
      <c r="F348" s="1">
        <v>8.0000000000000002E-3</v>
      </c>
      <c r="G348" s="1">
        <v>2255904</v>
      </c>
      <c r="H348" s="1">
        <v>46.954999999999998</v>
      </c>
      <c r="I348" s="1">
        <v>3.9889999999999999</v>
      </c>
      <c r="J348" s="1">
        <v>57.92</v>
      </c>
      <c r="K348" s="1">
        <v>61.91</v>
      </c>
      <c r="L348" s="1" t="s">
        <v>35</v>
      </c>
    </row>
    <row r="349" spans="1:26" ht="13" x14ac:dyDescent="0.15">
      <c r="A349" s="1">
        <v>2</v>
      </c>
      <c r="B349" s="1">
        <v>1</v>
      </c>
      <c r="C349" s="1">
        <v>11</v>
      </c>
      <c r="D349" s="1" t="s">
        <v>24</v>
      </c>
      <c r="E349" s="1">
        <v>101</v>
      </c>
      <c r="F349" s="1">
        <v>1.0999999999999999E-2</v>
      </c>
      <c r="G349" s="1">
        <v>2582058</v>
      </c>
      <c r="H349" s="1">
        <v>93.486999999999995</v>
      </c>
      <c r="I349" s="1">
        <v>4.1859999999999999</v>
      </c>
      <c r="J349" s="1">
        <v>106.51600000000001</v>
      </c>
      <c r="K349" s="1">
        <v>110.703</v>
      </c>
      <c r="L349" s="1" t="s">
        <v>35</v>
      </c>
    </row>
    <row r="350" spans="1:26" ht="13" x14ac:dyDescent="0.15">
      <c r="A350" s="1">
        <v>2</v>
      </c>
      <c r="B350" s="1">
        <v>1</v>
      </c>
      <c r="C350" s="1">
        <v>12</v>
      </c>
      <c r="D350" s="1" t="s">
        <v>24</v>
      </c>
      <c r="E350" s="1">
        <v>107</v>
      </c>
      <c r="F350" s="1">
        <v>8.0000000000000002E-3</v>
      </c>
      <c r="G350" s="1">
        <v>2361541</v>
      </c>
      <c r="H350" s="1">
        <v>52.103000000000002</v>
      </c>
      <c r="I350" s="1">
        <v>4.0460000000000003</v>
      </c>
      <c r="J350" s="1">
        <v>63.784999999999997</v>
      </c>
      <c r="K350" s="1">
        <v>67.83</v>
      </c>
      <c r="L350" s="1" t="s">
        <v>35</v>
      </c>
    </row>
    <row r="351" spans="1:26" ht="13" x14ac:dyDescent="0.15">
      <c r="A351" s="1">
        <v>2</v>
      </c>
      <c r="B351" s="1">
        <v>1</v>
      </c>
      <c r="C351" s="1">
        <v>13</v>
      </c>
      <c r="D351" s="1" t="s">
        <v>24</v>
      </c>
      <c r="E351" s="1">
        <v>64</v>
      </c>
      <c r="F351" s="1">
        <v>7.0000000000000001E-3</v>
      </c>
      <c r="G351" s="1">
        <v>2070981</v>
      </c>
      <c r="H351" s="1">
        <v>36.743000000000002</v>
      </c>
      <c r="I351" s="1">
        <v>4.101</v>
      </c>
      <c r="J351" s="1">
        <v>47.128999999999998</v>
      </c>
      <c r="K351" s="1">
        <v>51.231000000000002</v>
      </c>
      <c r="L351" s="1" t="s">
        <v>35</v>
      </c>
    </row>
    <row r="352" spans="1:26" ht="13" x14ac:dyDescent="0.15">
      <c r="A352" s="1">
        <v>2</v>
      </c>
      <c r="B352" s="1">
        <v>1</v>
      </c>
      <c r="C352" s="1">
        <v>14</v>
      </c>
      <c r="D352" s="1" t="s">
        <v>24</v>
      </c>
      <c r="E352" s="1">
        <v>81</v>
      </c>
      <c r="F352" s="1">
        <v>0.161</v>
      </c>
      <c r="G352" s="1">
        <v>2089282</v>
      </c>
      <c r="H352" s="1">
        <v>39.112000000000002</v>
      </c>
      <c r="I352" s="1">
        <v>4.1079999999999997</v>
      </c>
      <c r="J352" s="1">
        <v>49.646000000000001</v>
      </c>
      <c r="K352" s="1">
        <v>53.753999999999998</v>
      </c>
      <c r="L352" s="1" t="s">
        <v>35</v>
      </c>
    </row>
    <row r="353" spans="1:12" ht="13" x14ac:dyDescent="0.15">
      <c r="A353" s="1">
        <v>2</v>
      </c>
      <c r="B353" s="1">
        <v>1</v>
      </c>
      <c r="C353" s="1">
        <v>15</v>
      </c>
      <c r="D353" s="1" t="s">
        <v>24</v>
      </c>
      <c r="E353" s="1">
        <v>83</v>
      </c>
      <c r="F353" s="1">
        <v>7.0000000000000001E-3</v>
      </c>
      <c r="G353" s="1">
        <v>2222923</v>
      </c>
      <c r="H353" s="1">
        <v>39.375999999999998</v>
      </c>
      <c r="I353" s="1">
        <v>4.1130000000000004</v>
      </c>
      <c r="J353" s="1">
        <v>50.781999999999996</v>
      </c>
      <c r="K353" s="1">
        <v>54.895000000000003</v>
      </c>
      <c r="L353" s="1" t="s">
        <v>35</v>
      </c>
    </row>
    <row r="354" spans="1:12" ht="13" x14ac:dyDescent="0.15">
      <c r="A354" s="1">
        <v>2</v>
      </c>
      <c r="B354" s="1">
        <v>1</v>
      </c>
      <c r="C354" s="1">
        <v>16</v>
      </c>
      <c r="D354" s="1" t="s">
        <v>24</v>
      </c>
      <c r="E354" s="1">
        <v>95</v>
      </c>
      <c r="F354" s="1">
        <v>8.0000000000000002E-3</v>
      </c>
      <c r="G354" s="1">
        <v>2408398</v>
      </c>
      <c r="H354" s="1">
        <v>67.680000000000007</v>
      </c>
      <c r="I354" s="1">
        <v>4.1710000000000003</v>
      </c>
      <c r="J354" s="1">
        <v>79.900999999999996</v>
      </c>
      <c r="K354" s="1">
        <v>84.070999999999998</v>
      </c>
      <c r="L354" s="1" t="s">
        <v>35</v>
      </c>
    </row>
    <row r="355" spans="1:12" ht="13" x14ac:dyDescent="0.15">
      <c r="A355" s="1">
        <v>2</v>
      </c>
      <c r="B355" s="1">
        <v>1</v>
      </c>
      <c r="C355" s="1">
        <v>17</v>
      </c>
      <c r="D355" s="1" t="s">
        <v>24</v>
      </c>
      <c r="E355" s="1">
        <v>84</v>
      </c>
      <c r="F355" s="1">
        <v>7.0000000000000001E-3</v>
      </c>
      <c r="G355" s="1">
        <v>2389024</v>
      </c>
      <c r="H355" s="1">
        <v>54.253</v>
      </c>
      <c r="I355" s="1">
        <v>4.08</v>
      </c>
      <c r="J355" s="1">
        <v>66.733000000000004</v>
      </c>
      <c r="K355" s="1">
        <v>70.813000000000002</v>
      </c>
      <c r="L355" s="1" t="s">
        <v>35</v>
      </c>
    </row>
    <row r="356" spans="1:12" ht="13" x14ac:dyDescent="0.15">
      <c r="A356" s="1">
        <v>2</v>
      </c>
      <c r="B356" s="1">
        <v>1</v>
      </c>
      <c r="C356" s="1">
        <v>18</v>
      </c>
      <c r="D356" s="1" t="s">
        <v>24</v>
      </c>
      <c r="E356" s="1">
        <v>84</v>
      </c>
      <c r="F356" s="1">
        <v>0.158</v>
      </c>
      <c r="G356" s="1">
        <v>2116428</v>
      </c>
      <c r="H356" s="1">
        <v>49.680999999999997</v>
      </c>
      <c r="I356" s="1">
        <v>4.444</v>
      </c>
      <c r="J356" s="1">
        <v>60.652000000000001</v>
      </c>
      <c r="K356" s="1">
        <v>65.096000000000004</v>
      </c>
      <c r="L356" s="1" t="s">
        <v>35</v>
      </c>
    </row>
    <row r="357" spans="1:12" ht="13" x14ac:dyDescent="0.15">
      <c r="A357" s="1">
        <v>2</v>
      </c>
      <c r="B357" s="1">
        <v>1</v>
      </c>
      <c r="C357" s="1">
        <v>20</v>
      </c>
      <c r="D357" s="1" t="s">
        <v>24</v>
      </c>
      <c r="E357" s="1">
        <v>97</v>
      </c>
      <c r="F357" s="1">
        <v>8.9999999999999993E-3</v>
      </c>
      <c r="G357" s="1">
        <v>2126976</v>
      </c>
      <c r="H357" s="1">
        <v>62.134999999999998</v>
      </c>
      <c r="I357" s="1">
        <v>4.0570000000000004</v>
      </c>
      <c r="J357" s="1">
        <v>73.284999999999997</v>
      </c>
      <c r="K357" s="1">
        <v>77.341999999999999</v>
      </c>
      <c r="L357" s="1" t="s">
        <v>35</v>
      </c>
    </row>
    <row r="358" spans="1:12" ht="13" x14ac:dyDescent="0.15">
      <c r="A358" s="1">
        <v>2</v>
      </c>
      <c r="B358" s="1">
        <v>2</v>
      </c>
      <c r="C358" s="1">
        <v>1</v>
      </c>
      <c r="D358" s="1" t="s">
        <v>24</v>
      </c>
      <c r="E358" s="1">
        <v>231</v>
      </c>
      <c r="F358" s="1">
        <v>3.5000000000000003E-2</v>
      </c>
      <c r="G358" s="1">
        <v>24427776</v>
      </c>
      <c r="H358" s="1">
        <v>1184.5050000000001</v>
      </c>
      <c r="I358" s="1">
        <v>15.131</v>
      </c>
      <c r="J358" s="1">
        <v>1305.9690000000001</v>
      </c>
      <c r="K358" s="1">
        <v>1321.1</v>
      </c>
      <c r="L358" s="1" t="s">
        <v>35</v>
      </c>
    </row>
    <row r="359" spans="1:12" ht="13" x14ac:dyDescent="0.15">
      <c r="A359" s="1">
        <v>2</v>
      </c>
      <c r="B359" s="1">
        <v>2</v>
      </c>
      <c r="C359" s="1">
        <v>2</v>
      </c>
      <c r="D359" s="1" t="s">
        <v>24</v>
      </c>
      <c r="E359" s="1">
        <v>221</v>
      </c>
      <c r="F359" s="1">
        <v>5.8000000000000003E-2</v>
      </c>
      <c r="G359" s="1">
        <v>22151444</v>
      </c>
      <c r="H359" s="1">
        <v>542.81100000000004</v>
      </c>
      <c r="I359" s="1">
        <v>14.535</v>
      </c>
      <c r="J359" s="1">
        <v>652.68499999999995</v>
      </c>
      <c r="K359" s="1">
        <v>667.221</v>
      </c>
      <c r="L359" s="1" t="s">
        <v>35</v>
      </c>
    </row>
    <row r="360" spans="1:12" ht="13" x14ac:dyDescent="0.15">
      <c r="A360" s="1">
        <v>2</v>
      </c>
      <c r="B360" s="1">
        <v>2</v>
      </c>
      <c r="C360" s="1">
        <v>3</v>
      </c>
      <c r="D360" s="1" t="s">
        <v>24</v>
      </c>
      <c r="E360" s="1">
        <v>381</v>
      </c>
      <c r="F360" s="1">
        <v>0.14399999999999999</v>
      </c>
      <c r="G360" s="1">
        <v>28247261</v>
      </c>
      <c r="H360" s="1">
        <v>1668.6130000000001</v>
      </c>
      <c r="I360" s="1">
        <v>14.9</v>
      </c>
      <c r="J360" s="1">
        <v>1813.212</v>
      </c>
      <c r="K360" s="1">
        <v>1828.1120000000001</v>
      </c>
      <c r="L360" s="1" t="s">
        <v>35</v>
      </c>
    </row>
    <row r="361" spans="1:12" ht="13" x14ac:dyDescent="0.15">
      <c r="A361" s="1">
        <v>2</v>
      </c>
      <c r="B361" s="1">
        <v>2</v>
      </c>
      <c r="C361" s="1">
        <v>5</v>
      </c>
      <c r="D361" s="1" t="s">
        <v>24</v>
      </c>
      <c r="E361" s="1">
        <v>216</v>
      </c>
      <c r="F361" s="1">
        <v>0.125</v>
      </c>
      <c r="G361" s="1">
        <v>24942348</v>
      </c>
      <c r="H361" s="1">
        <v>673.39800000000002</v>
      </c>
      <c r="I361" s="1">
        <v>15.926</v>
      </c>
      <c r="J361" s="1">
        <v>798.70399999999995</v>
      </c>
      <c r="K361" s="1">
        <v>814.63</v>
      </c>
      <c r="L361" s="1" t="s">
        <v>35</v>
      </c>
    </row>
    <row r="362" spans="1:12" ht="13" x14ac:dyDescent="0.15">
      <c r="A362" s="1">
        <v>2</v>
      </c>
      <c r="B362" s="1">
        <v>2</v>
      </c>
      <c r="C362" s="1">
        <v>6</v>
      </c>
      <c r="D362" s="1" t="s">
        <v>24</v>
      </c>
      <c r="E362" s="1">
        <v>213</v>
      </c>
      <c r="F362" s="1">
        <v>1.0999999999999999E-2</v>
      </c>
      <c r="G362" s="1">
        <v>25285237</v>
      </c>
      <c r="H362" s="1">
        <v>490.09199999999998</v>
      </c>
      <c r="I362" s="1">
        <v>15.525</v>
      </c>
      <c r="J362" s="1">
        <v>616.40599999999995</v>
      </c>
      <c r="K362" s="1">
        <v>631.93100000000004</v>
      </c>
      <c r="L362" s="1" t="s">
        <v>35</v>
      </c>
    </row>
    <row r="363" spans="1:12" ht="13" x14ac:dyDescent="0.15">
      <c r="A363" s="1">
        <v>2</v>
      </c>
      <c r="B363" s="1">
        <v>2</v>
      </c>
      <c r="C363" s="1">
        <v>8</v>
      </c>
      <c r="D363" s="1" t="s">
        <v>24</v>
      </c>
      <c r="E363" s="1">
        <v>364</v>
      </c>
      <c r="F363" s="1">
        <v>2.3E-2</v>
      </c>
      <c r="G363" s="1">
        <v>28991469</v>
      </c>
      <c r="H363" s="1">
        <v>1082.367</v>
      </c>
      <c r="I363" s="1">
        <v>15.205</v>
      </c>
      <c r="J363" s="1">
        <v>1222.279</v>
      </c>
      <c r="K363" s="1">
        <v>1237.4839999999999</v>
      </c>
      <c r="L363" s="1" t="s">
        <v>35</v>
      </c>
    </row>
    <row r="364" spans="1:12" ht="13" x14ac:dyDescent="0.15">
      <c r="A364" s="1">
        <v>2</v>
      </c>
      <c r="B364" s="1">
        <v>2</v>
      </c>
      <c r="C364" s="1">
        <v>11</v>
      </c>
      <c r="D364" s="1" t="s">
        <v>24</v>
      </c>
      <c r="E364" s="1">
        <v>290</v>
      </c>
      <c r="F364" s="1">
        <v>2.3E-2</v>
      </c>
      <c r="G364" s="1">
        <v>28310714</v>
      </c>
      <c r="H364" s="1">
        <v>1323.998</v>
      </c>
      <c r="I364" s="1">
        <v>15.481999999999999</v>
      </c>
      <c r="J364" s="1">
        <v>1468.0730000000001</v>
      </c>
      <c r="K364" s="1">
        <v>1483.5540000000001</v>
      </c>
      <c r="L364" s="1" t="s">
        <v>35</v>
      </c>
    </row>
    <row r="365" spans="1:12" ht="13" x14ac:dyDescent="0.15">
      <c r="A365" s="1">
        <v>2</v>
      </c>
      <c r="B365" s="1">
        <v>2</v>
      </c>
      <c r="C365" s="1">
        <v>12</v>
      </c>
      <c r="D365" s="1" t="s">
        <v>24</v>
      </c>
      <c r="E365" s="1">
        <v>296</v>
      </c>
      <c r="F365" s="1">
        <v>0.13700000000000001</v>
      </c>
      <c r="G365" s="1">
        <v>28734559</v>
      </c>
      <c r="H365" s="1">
        <v>948.21699999999998</v>
      </c>
      <c r="I365" s="1">
        <v>15.968</v>
      </c>
      <c r="J365" s="1">
        <v>1091.19</v>
      </c>
      <c r="K365" s="1">
        <v>1107.1579999999999</v>
      </c>
      <c r="L365" s="1" t="s">
        <v>35</v>
      </c>
    </row>
    <row r="366" spans="1:12" ht="13" x14ac:dyDescent="0.15">
      <c r="A366" s="1">
        <v>2</v>
      </c>
      <c r="B366" s="1">
        <v>2</v>
      </c>
      <c r="C366" s="1">
        <v>14</v>
      </c>
      <c r="D366" s="1" t="s">
        <v>24</v>
      </c>
      <c r="E366" s="1">
        <v>219</v>
      </c>
      <c r="F366" s="1">
        <v>2.8000000000000001E-2</v>
      </c>
      <c r="G366" s="1">
        <v>24881688</v>
      </c>
      <c r="H366" s="1">
        <v>758.80600000000004</v>
      </c>
      <c r="I366" s="1">
        <v>15.548</v>
      </c>
      <c r="J366" s="1">
        <v>887.63</v>
      </c>
      <c r="K366" s="1">
        <v>903.178</v>
      </c>
      <c r="L366" s="1" t="s">
        <v>35</v>
      </c>
    </row>
    <row r="367" spans="1:12" ht="13" x14ac:dyDescent="0.15">
      <c r="A367" s="1">
        <v>2</v>
      </c>
      <c r="B367" s="1">
        <v>2</v>
      </c>
      <c r="C367" s="1">
        <v>15</v>
      </c>
      <c r="D367" s="1" t="s">
        <v>24</v>
      </c>
      <c r="E367" s="1">
        <v>219</v>
      </c>
      <c r="F367" s="1">
        <v>6.5000000000000002E-2</v>
      </c>
      <c r="G367" s="1">
        <v>24873112</v>
      </c>
      <c r="H367" s="1">
        <v>504.90499999999997</v>
      </c>
      <c r="I367" s="1">
        <v>15.212</v>
      </c>
      <c r="J367" s="1">
        <v>631.86199999999997</v>
      </c>
      <c r="K367" s="1">
        <v>647.07500000000005</v>
      </c>
      <c r="L367" s="1" t="s">
        <v>35</v>
      </c>
    </row>
    <row r="368" spans="1:12" ht="13" x14ac:dyDescent="0.15">
      <c r="A368" s="1">
        <v>2</v>
      </c>
      <c r="B368" s="1">
        <v>2</v>
      </c>
      <c r="C368" s="1">
        <v>16</v>
      </c>
      <c r="D368" s="1" t="s">
        <v>24</v>
      </c>
      <c r="E368" s="1">
        <v>302</v>
      </c>
      <c r="F368" s="1">
        <v>1.7000000000000001E-2</v>
      </c>
      <c r="G368" s="1">
        <v>27850872</v>
      </c>
      <c r="H368" s="1">
        <v>892.51199999999994</v>
      </c>
      <c r="I368" s="1">
        <v>15.413</v>
      </c>
      <c r="J368" s="1">
        <v>1031.739</v>
      </c>
      <c r="K368" s="1">
        <v>1047.152</v>
      </c>
      <c r="L368" s="1" t="s">
        <v>35</v>
      </c>
    </row>
    <row r="369" spans="1:12" ht="13" x14ac:dyDescent="0.15">
      <c r="A369" s="1">
        <v>2</v>
      </c>
      <c r="B369" s="1">
        <v>2</v>
      </c>
      <c r="C369" s="1">
        <v>17</v>
      </c>
      <c r="D369" s="1" t="s">
        <v>24</v>
      </c>
      <c r="E369" s="1">
        <v>259</v>
      </c>
      <c r="F369" s="1">
        <v>4.4999999999999998E-2</v>
      </c>
      <c r="G369" s="1">
        <v>29934207</v>
      </c>
      <c r="H369" s="1">
        <v>816.98</v>
      </c>
      <c r="I369" s="1">
        <v>15.391</v>
      </c>
      <c r="J369" s="1">
        <v>966.67200000000003</v>
      </c>
      <c r="K369" s="1">
        <v>982.06299999999999</v>
      </c>
      <c r="L369" s="1" t="s">
        <v>35</v>
      </c>
    </row>
    <row r="370" spans="1:12" ht="13" x14ac:dyDescent="0.15">
      <c r="A370" s="1">
        <v>2</v>
      </c>
      <c r="B370" s="1">
        <v>2</v>
      </c>
      <c r="C370" s="1">
        <v>18</v>
      </c>
      <c r="D370" s="1" t="s">
        <v>24</v>
      </c>
      <c r="E370" s="1">
        <v>281</v>
      </c>
      <c r="F370" s="1">
        <v>4.7E-2</v>
      </c>
      <c r="G370" s="1">
        <v>26992139</v>
      </c>
      <c r="H370" s="1">
        <v>626.50199999999995</v>
      </c>
      <c r="I370" s="1">
        <v>16.125</v>
      </c>
      <c r="J370" s="1">
        <v>756.88499999999999</v>
      </c>
      <c r="K370" s="1">
        <v>773.01</v>
      </c>
      <c r="L370" s="1" t="s">
        <v>35</v>
      </c>
    </row>
    <row r="371" spans="1:12" ht="13" x14ac:dyDescent="0.15">
      <c r="A371" s="1">
        <v>2</v>
      </c>
      <c r="B371" s="1">
        <v>2</v>
      </c>
      <c r="C371" s="1">
        <v>20</v>
      </c>
      <c r="D371" s="1" t="s">
        <v>24</v>
      </c>
      <c r="E371" s="1">
        <v>296</v>
      </c>
      <c r="F371" s="1">
        <v>0.04</v>
      </c>
      <c r="G371" s="1">
        <v>25827073</v>
      </c>
      <c r="H371" s="1">
        <v>840.40800000000002</v>
      </c>
      <c r="I371" s="1">
        <v>15.087999999999999</v>
      </c>
      <c r="J371" s="1">
        <v>967.798</v>
      </c>
      <c r="K371" s="1">
        <v>982.88699999999994</v>
      </c>
      <c r="L371" s="1" t="s">
        <v>35</v>
      </c>
    </row>
    <row r="372" spans="1:12" ht="13" x14ac:dyDescent="0.15">
      <c r="A372" s="1">
        <v>2</v>
      </c>
      <c r="B372" s="1">
        <v>3</v>
      </c>
      <c r="C372" s="1">
        <v>1</v>
      </c>
      <c r="D372" s="1" t="s">
        <v>24</v>
      </c>
      <c r="E372" s="1">
        <v>534</v>
      </c>
      <c r="F372" s="1">
        <v>6.0999999999999999E-2</v>
      </c>
      <c r="G372" s="1">
        <v>163349043</v>
      </c>
      <c r="H372" s="1">
        <v>8409.7340000000004</v>
      </c>
      <c r="I372" s="1">
        <v>41.11</v>
      </c>
      <c r="J372" s="1">
        <v>9230.91</v>
      </c>
      <c r="K372" s="1">
        <v>9272.02</v>
      </c>
      <c r="L372" s="1" t="s">
        <v>35</v>
      </c>
    </row>
    <row r="373" spans="1:12" ht="13" x14ac:dyDescent="0.15">
      <c r="A373" s="1">
        <v>2</v>
      </c>
      <c r="B373" s="1">
        <v>3</v>
      </c>
      <c r="C373" s="1">
        <v>2</v>
      </c>
      <c r="D373" s="1" t="s">
        <v>24</v>
      </c>
      <c r="E373" s="1">
        <v>449</v>
      </c>
      <c r="F373" s="1">
        <v>5.5E-2</v>
      </c>
      <c r="G373" s="1">
        <v>149448614</v>
      </c>
      <c r="H373" s="1">
        <v>4473.3670000000002</v>
      </c>
      <c r="I373" s="1">
        <v>40.290999999999997</v>
      </c>
      <c r="J373" s="1">
        <v>5169.6319999999996</v>
      </c>
      <c r="K373" s="1">
        <v>5209.9229999999998</v>
      </c>
      <c r="L373" s="1" t="s">
        <v>35</v>
      </c>
    </row>
    <row r="374" spans="1:12" ht="13" x14ac:dyDescent="0.15">
      <c r="A374" s="1">
        <v>2</v>
      </c>
      <c r="B374" s="1">
        <v>3</v>
      </c>
      <c r="C374" s="1">
        <v>3</v>
      </c>
      <c r="D374" s="1" t="s">
        <v>24</v>
      </c>
      <c r="E374" s="1">
        <v>878</v>
      </c>
      <c r="F374" s="1">
        <v>7.2999999999999995E-2</v>
      </c>
      <c r="G374" s="1">
        <v>196655908</v>
      </c>
      <c r="H374" s="1">
        <v>10323.462</v>
      </c>
      <c r="I374" s="1">
        <v>41.59</v>
      </c>
      <c r="J374" s="1">
        <v>11391.300999999999</v>
      </c>
      <c r="K374" s="1">
        <v>11432.892</v>
      </c>
      <c r="L374" s="1" t="s">
        <v>35</v>
      </c>
    </row>
    <row r="375" spans="1:12" ht="13" x14ac:dyDescent="0.15">
      <c r="A375" s="1">
        <v>2</v>
      </c>
      <c r="B375" s="1">
        <v>3</v>
      </c>
      <c r="C375" s="1">
        <v>5</v>
      </c>
      <c r="D375" s="1" t="s">
        <v>24</v>
      </c>
      <c r="E375" s="1">
        <v>524</v>
      </c>
      <c r="F375" s="1">
        <v>4.5999999999999999E-2</v>
      </c>
      <c r="G375" s="1">
        <v>165769683</v>
      </c>
      <c r="H375" s="1">
        <v>4439.45</v>
      </c>
      <c r="I375" s="1">
        <v>40.917999999999999</v>
      </c>
      <c r="J375" s="1">
        <v>5307.4160000000002</v>
      </c>
      <c r="K375" s="1">
        <v>5348.3339999999998</v>
      </c>
      <c r="L375" s="1" t="s">
        <v>35</v>
      </c>
    </row>
    <row r="376" spans="1:12" ht="13" x14ac:dyDescent="0.15">
      <c r="A376" s="1">
        <v>2</v>
      </c>
      <c r="B376" s="1">
        <v>3</v>
      </c>
      <c r="C376" s="1">
        <v>6</v>
      </c>
      <c r="D376" s="1" t="s">
        <v>24</v>
      </c>
      <c r="E376" s="1">
        <v>555</v>
      </c>
      <c r="F376" s="1">
        <v>0.03</v>
      </c>
      <c r="G376" s="1">
        <v>178516465</v>
      </c>
      <c r="H376" s="1">
        <v>4278.3140000000003</v>
      </c>
      <c r="I376" s="1">
        <v>42.076000000000001</v>
      </c>
      <c r="J376" s="1">
        <v>5228.6170000000002</v>
      </c>
      <c r="K376" s="1">
        <v>5270.692</v>
      </c>
      <c r="L376" s="1" t="s">
        <v>35</v>
      </c>
    </row>
    <row r="377" spans="1:12" ht="13" x14ac:dyDescent="0.15">
      <c r="A377" s="1">
        <v>2</v>
      </c>
      <c r="B377" s="1">
        <v>3</v>
      </c>
      <c r="C377" s="1">
        <v>8</v>
      </c>
      <c r="D377" s="1" t="s">
        <v>24</v>
      </c>
      <c r="E377" s="1">
        <v>771</v>
      </c>
      <c r="F377" s="1">
        <v>8.8999999999999996E-2</v>
      </c>
      <c r="G377" s="1">
        <v>191236509</v>
      </c>
      <c r="H377" s="1">
        <v>12529.543</v>
      </c>
      <c r="I377" s="1">
        <v>40.847000000000001</v>
      </c>
      <c r="J377" s="1">
        <v>13522.737999999999</v>
      </c>
      <c r="K377" s="1">
        <v>13563.585999999999</v>
      </c>
      <c r="L377" s="1" t="s">
        <v>35</v>
      </c>
    </row>
    <row r="378" spans="1:12" ht="13" x14ac:dyDescent="0.15">
      <c r="A378" s="1">
        <v>2</v>
      </c>
      <c r="B378" s="1">
        <v>3</v>
      </c>
      <c r="C378" s="1">
        <v>11</v>
      </c>
      <c r="D378" s="1" t="s">
        <v>24</v>
      </c>
      <c r="E378" s="1">
        <v>746</v>
      </c>
      <c r="F378" s="1">
        <v>5.6000000000000001E-2</v>
      </c>
      <c r="G378" s="1">
        <v>189232969</v>
      </c>
      <c r="H378" s="1">
        <v>10507.066000000001</v>
      </c>
      <c r="I378" s="1">
        <v>42.058999999999997</v>
      </c>
      <c r="J378" s="1">
        <v>11561.466</v>
      </c>
      <c r="K378" s="1">
        <v>11603.525</v>
      </c>
      <c r="L378" s="1" t="s">
        <v>35</v>
      </c>
    </row>
    <row r="379" spans="1:12" ht="13" x14ac:dyDescent="0.15">
      <c r="A379" s="1">
        <v>2</v>
      </c>
      <c r="B379" s="1">
        <v>3</v>
      </c>
      <c r="C379" s="1">
        <v>12</v>
      </c>
      <c r="D379" s="1" t="s">
        <v>24</v>
      </c>
      <c r="E379" s="1">
        <v>729</v>
      </c>
      <c r="F379" s="1">
        <v>8.3000000000000004E-2</v>
      </c>
      <c r="G379" s="1">
        <v>190986698</v>
      </c>
      <c r="H379" s="1">
        <v>10496.893</v>
      </c>
      <c r="I379" s="1">
        <v>41.932000000000002</v>
      </c>
      <c r="J379" s="1">
        <v>11515.402</v>
      </c>
      <c r="K379" s="1">
        <v>11557.334000000001</v>
      </c>
      <c r="L379" s="1" t="s">
        <v>35</v>
      </c>
    </row>
    <row r="380" spans="1:12" ht="13" x14ac:dyDescent="0.15">
      <c r="A380" s="1">
        <v>2</v>
      </c>
      <c r="B380" s="1">
        <v>3</v>
      </c>
      <c r="C380" s="1">
        <v>15</v>
      </c>
      <c r="D380" s="1" t="s">
        <v>24</v>
      </c>
      <c r="E380" s="1">
        <v>454</v>
      </c>
      <c r="F380" s="1">
        <v>3.1E-2</v>
      </c>
      <c r="G380" s="1">
        <v>156610214</v>
      </c>
      <c r="H380" s="1">
        <v>3582.2570000000001</v>
      </c>
      <c r="I380" s="1">
        <v>41.207999999999998</v>
      </c>
      <c r="J380" s="1">
        <v>4433.9560000000001</v>
      </c>
      <c r="K380" s="1">
        <v>4475.1639999999998</v>
      </c>
      <c r="L380" s="1" t="s">
        <v>35</v>
      </c>
    </row>
    <row r="381" spans="1:12" ht="13" x14ac:dyDescent="0.15">
      <c r="A381" s="1">
        <v>2</v>
      </c>
      <c r="B381" s="1">
        <v>3</v>
      </c>
      <c r="C381" s="1">
        <v>16</v>
      </c>
      <c r="D381" s="1" t="s">
        <v>24</v>
      </c>
      <c r="E381" s="1">
        <v>761</v>
      </c>
      <c r="F381" s="1">
        <v>4.4999999999999998E-2</v>
      </c>
      <c r="G381" s="1">
        <v>186066167</v>
      </c>
      <c r="H381" s="1">
        <v>8766.0319999999992</v>
      </c>
      <c r="I381" s="1">
        <v>41.223999999999997</v>
      </c>
      <c r="J381" s="1">
        <v>9772.3590000000004</v>
      </c>
      <c r="K381" s="1">
        <v>9813.5830000000005</v>
      </c>
      <c r="L381" s="1" t="s">
        <v>35</v>
      </c>
    </row>
    <row r="382" spans="1:12" ht="13" x14ac:dyDescent="0.15">
      <c r="A382" s="1">
        <v>2</v>
      </c>
      <c r="B382" s="1">
        <v>3</v>
      </c>
      <c r="C382" s="1">
        <v>18</v>
      </c>
      <c r="D382" s="1" t="s">
        <v>24</v>
      </c>
      <c r="E382" s="1">
        <v>737</v>
      </c>
      <c r="F382" s="1">
        <v>3.3000000000000002E-2</v>
      </c>
      <c r="G382" s="1">
        <v>183219485</v>
      </c>
      <c r="H382" s="1">
        <v>5184.9269999999997</v>
      </c>
      <c r="I382" s="1">
        <v>42.843000000000004</v>
      </c>
      <c r="J382" s="1">
        <v>6152.6930000000002</v>
      </c>
      <c r="K382" s="1">
        <v>6195.5360000000001</v>
      </c>
      <c r="L382" s="1" t="s">
        <v>35</v>
      </c>
    </row>
    <row r="383" spans="1:12" ht="13" x14ac:dyDescent="0.15">
      <c r="A383" s="1">
        <v>2</v>
      </c>
      <c r="B383" s="1">
        <v>3</v>
      </c>
      <c r="C383" s="1">
        <v>20</v>
      </c>
      <c r="D383" s="1" t="s">
        <v>24</v>
      </c>
      <c r="E383" s="1">
        <v>571</v>
      </c>
      <c r="F383" s="1">
        <v>3.4000000000000002E-2</v>
      </c>
      <c r="G383" s="1">
        <v>161220187</v>
      </c>
      <c r="H383" s="1">
        <v>6207.8249999999998</v>
      </c>
      <c r="I383" s="1">
        <v>40.194000000000003</v>
      </c>
      <c r="J383" s="1">
        <v>7059.0720000000001</v>
      </c>
      <c r="K383" s="1">
        <v>7099.2659999999996</v>
      </c>
      <c r="L383" s="1" t="s">
        <v>35</v>
      </c>
    </row>
    <row r="384" spans="1:12" ht="13" x14ac:dyDescent="0.15">
      <c r="A384" s="5">
        <v>2</v>
      </c>
      <c r="B384" s="5">
        <v>4</v>
      </c>
      <c r="C384" s="5">
        <v>1</v>
      </c>
      <c r="D384" s="6" t="s">
        <v>24</v>
      </c>
      <c r="E384" s="5">
        <v>1378</v>
      </c>
      <c r="F384" s="5">
        <v>0.16</v>
      </c>
      <c r="G384" s="5">
        <v>802312819</v>
      </c>
      <c r="H384" s="5">
        <v>47212.228000000003</v>
      </c>
      <c r="I384" s="5">
        <v>88.965000000000003</v>
      </c>
      <c r="J384" s="5">
        <v>51663.377</v>
      </c>
      <c r="K384" s="5">
        <v>51752.343999999997</v>
      </c>
      <c r="L384" s="6" t="s">
        <v>35</v>
      </c>
    </row>
    <row r="385" spans="1:26" ht="13" x14ac:dyDescent="0.15">
      <c r="A385" s="5">
        <v>2</v>
      </c>
      <c r="B385" s="5">
        <v>4</v>
      </c>
      <c r="C385" s="5">
        <v>2</v>
      </c>
      <c r="D385" s="6" t="s">
        <v>24</v>
      </c>
      <c r="E385" s="5">
        <v>1004</v>
      </c>
      <c r="F385" s="5">
        <v>0.08</v>
      </c>
      <c r="G385" s="5">
        <v>725389771</v>
      </c>
      <c r="H385" s="5">
        <v>29749.297999999999</v>
      </c>
      <c r="I385" s="5">
        <v>87.05</v>
      </c>
      <c r="J385" s="5">
        <v>33680.135000000002</v>
      </c>
      <c r="K385" s="5">
        <v>33767.184999999998</v>
      </c>
      <c r="L385" s="6" t="s">
        <v>35</v>
      </c>
    </row>
    <row r="386" spans="1:26" ht="13" x14ac:dyDescent="0.15">
      <c r="A386" s="5">
        <v>2</v>
      </c>
      <c r="B386" s="5">
        <v>4</v>
      </c>
      <c r="C386" s="5">
        <v>3</v>
      </c>
      <c r="D386" s="6" t="s">
        <v>24</v>
      </c>
      <c r="E386" s="5">
        <v>1779</v>
      </c>
      <c r="F386" s="5">
        <v>0.20799999999999999</v>
      </c>
      <c r="G386" s="5">
        <v>893835701</v>
      </c>
      <c r="H386" s="5">
        <v>50869.15</v>
      </c>
      <c r="I386" s="5">
        <v>90.787000000000006</v>
      </c>
      <c r="J386" s="5">
        <v>56122.118999999999</v>
      </c>
      <c r="K386" s="5">
        <v>56212.906000000003</v>
      </c>
      <c r="L386" s="6" t="s">
        <v>35</v>
      </c>
    </row>
    <row r="387" spans="1:26" ht="13" x14ac:dyDescent="0.15">
      <c r="A387" s="5">
        <v>2</v>
      </c>
      <c r="B387" s="5">
        <v>4</v>
      </c>
      <c r="C387" s="5">
        <v>5</v>
      </c>
      <c r="D387" s="6" t="s">
        <v>24</v>
      </c>
      <c r="E387" s="5">
        <v>1216</v>
      </c>
      <c r="F387" s="5">
        <v>6.7000000000000004E-2</v>
      </c>
      <c r="G387" s="5">
        <v>797687651</v>
      </c>
      <c r="H387" s="5">
        <v>24081.164000000001</v>
      </c>
      <c r="I387" s="5">
        <v>90.515000000000001</v>
      </c>
      <c r="J387" s="5">
        <v>28471.32</v>
      </c>
      <c r="K387" s="5">
        <v>28561.834999999999</v>
      </c>
      <c r="L387" s="6" t="s">
        <v>35</v>
      </c>
    </row>
    <row r="388" spans="1:26" ht="13" x14ac:dyDescent="0.15">
      <c r="A388" s="5">
        <v>2</v>
      </c>
      <c r="B388" s="5">
        <v>4</v>
      </c>
      <c r="C388" s="5">
        <v>6</v>
      </c>
      <c r="D388" s="6" t="s">
        <v>24</v>
      </c>
      <c r="E388" s="5">
        <v>1259</v>
      </c>
      <c r="F388" s="5">
        <v>7.6999999999999999E-2</v>
      </c>
      <c r="G388" s="5">
        <v>822372564</v>
      </c>
      <c r="H388" s="5">
        <v>25709.467000000001</v>
      </c>
      <c r="I388" s="5">
        <v>90.593000000000004</v>
      </c>
      <c r="J388" s="5">
        <v>30784.095000000001</v>
      </c>
      <c r="K388" s="5">
        <v>30874.687999999998</v>
      </c>
      <c r="L388" s="6" t="s">
        <v>35</v>
      </c>
    </row>
    <row r="389" spans="1:26" ht="13" x14ac:dyDescent="0.15">
      <c r="A389" s="5">
        <v>2</v>
      </c>
      <c r="B389" s="5">
        <v>4</v>
      </c>
      <c r="C389" s="5">
        <v>7</v>
      </c>
      <c r="D389" s="6" t="s">
        <v>24</v>
      </c>
      <c r="E389" s="5">
        <v>1407</v>
      </c>
      <c r="F389" s="5">
        <v>8.8999999999999996E-2</v>
      </c>
      <c r="G389" s="5">
        <v>842336036</v>
      </c>
      <c r="H389" s="5">
        <v>44726.976999999999</v>
      </c>
      <c r="I389" s="5">
        <v>88.951999999999998</v>
      </c>
      <c r="J389" s="5">
        <v>50056.987000000001</v>
      </c>
      <c r="K389" s="5">
        <v>50145.966</v>
      </c>
      <c r="L389" s="6" t="s">
        <v>35</v>
      </c>
    </row>
    <row r="390" spans="1:26" ht="13" x14ac:dyDescent="0.15">
      <c r="A390" s="2">
        <v>3</v>
      </c>
      <c r="B390" s="2">
        <v>1</v>
      </c>
      <c r="C390" s="2">
        <v>4</v>
      </c>
      <c r="D390" s="2" t="s">
        <v>19</v>
      </c>
      <c r="E390" s="2">
        <v>314</v>
      </c>
      <c r="F390" s="2">
        <v>2.7E-2</v>
      </c>
      <c r="G390" s="2">
        <v>27733528</v>
      </c>
      <c r="H390" s="2">
        <v>1738.354</v>
      </c>
      <c r="I390" s="2">
        <v>14.888</v>
      </c>
      <c r="J390" s="2">
        <v>1872.192</v>
      </c>
      <c r="K390" s="2">
        <v>1887.079</v>
      </c>
      <c r="L390" s="2" t="s">
        <v>35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>
        <v>3</v>
      </c>
      <c r="B391" s="2">
        <v>1</v>
      </c>
      <c r="C391" s="2">
        <v>7</v>
      </c>
      <c r="D391" s="2" t="s">
        <v>27</v>
      </c>
      <c r="E391" s="2">
        <v>272</v>
      </c>
      <c r="F391" s="2">
        <v>1.9E-2</v>
      </c>
      <c r="G391" s="2">
        <v>25202152</v>
      </c>
      <c r="H391" s="2">
        <v>1055.451</v>
      </c>
      <c r="I391" s="2">
        <v>15.295999999999999</v>
      </c>
      <c r="J391" s="2">
        <v>1180.787</v>
      </c>
      <c r="K391" s="2">
        <v>1196.0840000000001</v>
      </c>
      <c r="L391" s="2" t="s">
        <v>35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>
        <v>3</v>
      </c>
      <c r="B392" s="2">
        <v>1</v>
      </c>
      <c r="C392" s="2">
        <v>10</v>
      </c>
      <c r="D392" s="2" t="s">
        <v>20</v>
      </c>
      <c r="E392" s="2">
        <v>358</v>
      </c>
      <c r="F392" s="2">
        <v>0.10199999999999999</v>
      </c>
      <c r="G392" s="2">
        <v>25994781</v>
      </c>
      <c r="H392" s="2">
        <v>637.05700000000002</v>
      </c>
      <c r="I392" s="2">
        <v>15.173999999999999</v>
      </c>
      <c r="J392" s="2">
        <v>765.875</v>
      </c>
      <c r="K392" s="2">
        <v>781.04899999999998</v>
      </c>
      <c r="L392" s="2" t="s">
        <v>35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>
        <v>3</v>
      </c>
      <c r="B393" s="2">
        <v>1</v>
      </c>
      <c r="C393" s="2">
        <v>13</v>
      </c>
      <c r="D393" s="2" t="s">
        <v>40</v>
      </c>
      <c r="E393" s="2">
        <v>242</v>
      </c>
      <c r="F393" s="2">
        <v>0.124</v>
      </c>
      <c r="G393" s="2">
        <v>28120224</v>
      </c>
      <c r="H393" s="2">
        <v>1641.2370000000001</v>
      </c>
      <c r="I393" s="2">
        <v>15.096</v>
      </c>
      <c r="J393" s="2">
        <v>1784.6110000000001</v>
      </c>
      <c r="K393" s="2">
        <v>1799.7070000000001</v>
      </c>
      <c r="L393" s="2" t="s">
        <v>35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>
        <v>3</v>
      </c>
      <c r="B394" s="2">
        <v>2</v>
      </c>
      <c r="C394" s="2">
        <v>4</v>
      </c>
      <c r="D394" s="2" t="s">
        <v>19</v>
      </c>
      <c r="E394" s="2">
        <v>678</v>
      </c>
      <c r="F394" s="2">
        <v>5.7000000000000002E-2</v>
      </c>
      <c r="G394" s="2">
        <v>179701098</v>
      </c>
      <c r="H394" s="2">
        <v>12631.662</v>
      </c>
      <c r="I394" s="2">
        <v>40.659999999999997</v>
      </c>
      <c r="J394" s="2">
        <v>13584.757</v>
      </c>
      <c r="K394" s="2">
        <v>13625.416999999999</v>
      </c>
      <c r="L394" s="2" t="s">
        <v>35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>
        <v>3</v>
      </c>
      <c r="B395" s="2">
        <v>2</v>
      </c>
      <c r="C395" s="2">
        <v>7</v>
      </c>
      <c r="D395" s="2" t="s">
        <v>27</v>
      </c>
      <c r="E395" s="2">
        <v>643</v>
      </c>
      <c r="F395" s="2">
        <v>7.1999999999999995E-2</v>
      </c>
      <c r="G395" s="2">
        <v>172714359</v>
      </c>
      <c r="H395" s="2">
        <v>10265.474</v>
      </c>
      <c r="I395" s="2">
        <v>40.823999999999998</v>
      </c>
      <c r="J395" s="2">
        <v>11190.297</v>
      </c>
      <c r="K395" s="2">
        <v>11231.121999999999</v>
      </c>
      <c r="L395" s="2" t="s">
        <v>35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>
        <v>3</v>
      </c>
      <c r="B396" s="2">
        <v>2</v>
      </c>
      <c r="C396" s="2">
        <v>10</v>
      </c>
      <c r="D396" s="2" t="s">
        <v>20</v>
      </c>
      <c r="E396" s="2">
        <v>814</v>
      </c>
      <c r="F396" s="2">
        <v>4.5999999999999999E-2</v>
      </c>
      <c r="G396" s="2">
        <v>173594740</v>
      </c>
      <c r="H396" s="2">
        <v>6196.1819999999998</v>
      </c>
      <c r="I396" s="2">
        <v>40.656999999999996</v>
      </c>
      <c r="J396" s="2">
        <v>7141.2860000000001</v>
      </c>
      <c r="K396" s="2">
        <v>7181.9430000000002</v>
      </c>
      <c r="L396" s="2" t="s">
        <v>35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>
        <v>3</v>
      </c>
      <c r="B397" s="2">
        <v>2</v>
      </c>
      <c r="C397" s="2">
        <v>13</v>
      </c>
      <c r="D397" s="2" t="s">
        <v>39</v>
      </c>
      <c r="E397" s="2">
        <v>550</v>
      </c>
      <c r="F397" s="2">
        <v>6.9000000000000006E-2</v>
      </c>
      <c r="G397" s="2">
        <v>176231461</v>
      </c>
      <c r="H397" s="2">
        <v>10343.656000000001</v>
      </c>
      <c r="I397" s="2">
        <v>40.201999999999998</v>
      </c>
      <c r="J397" s="2">
        <v>11310.343000000001</v>
      </c>
      <c r="K397" s="2">
        <v>11350.545</v>
      </c>
      <c r="L397" s="2" t="s">
        <v>35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>
        <v>3</v>
      </c>
      <c r="B398" s="2">
        <v>2</v>
      </c>
      <c r="C398" s="2">
        <v>14</v>
      </c>
      <c r="D398" s="2" t="s">
        <v>30</v>
      </c>
      <c r="E398" s="2">
        <v>599</v>
      </c>
      <c r="F398" s="2">
        <v>5.0999999999999997E-2</v>
      </c>
      <c r="G398" s="2">
        <v>177775227</v>
      </c>
      <c r="H398" s="2">
        <v>10544.192999999999</v>
      </c>
      <c r="I398" s="2">
        <v>42.835999999999999</v>
      </c>
      <c r="J398" s="2">
        <v>11512.118</v>
      </c>
      <c r="K398" s="2">
        <v>11554.954</v>
      </c>
      <c r="L398" s="2" t="s">
        <v>35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>
        <v>3</v>
      </c>
      <c r="B399" s="2">
        <v>2</v>
      </c>
      <c r="C399" s="2">
        <v>17</v>
      </c>
      <c r="D399" s="2" t="s">
        <v>21</v>
      </c>
      <c r="E399" s="2">
        <v>661</v>
      </c>
      <c r="F399" s="2">
        <v>6.3E-2</v>
      </c>
      <c r="G399" s="2">
        <v>195624516</v>
      </c>
      <c r="H399" s="2">
        <v>11850.967000000001</v>
      </c>
      <c r="I399" s="2">
        <v>41.073999999999998</v>
      </c>
      <c r="J399" s="2">
        <v>12923.027</v>
      </c>
      <c r="K399" s="2">
        <v>12964.102999999999</v>
      </c>
      <c r="L399" s="2" t="s">
        <v>35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>
        <v>3</v>
      </c>
      <c r="B400" s="2">
        <v>2</v>
      </c>
      <c r="C400" s="2">
        <v>19</v>
      </c>
      <c r="D400" s="2" t="s">
        <v>22</v>
      </c>
      <c r="E400" s="2">
        <v>702</v>
      </c>
      <c r="F400" s="2">
        <v>4.4999999999999998E-2</v>
      </c>
      <c r="G400" s="2">
        <v>185145564</v>
      </c>
      <c r="H400" s="2">
        <v>7403.0029999999997</v>
      </c>
      <c r="I400" s="2">
        <v>41.143000000000001</v>
      </c>
      <c r="J400" s="2">
        <v>8383.9169999999995</v>
      </c>
      <c r="K400" s="2">
        <v>8425.0589999999993</v>
      </c>
      <c r="L400" s="2" t="s">
        <v>35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3">
        <v>3</v>
      </c>
      <c r="B401" s="3">
        <v>3</v>
      </c>
      <c r="C401" s="3">
        <v>4</v>
      </c>
      <c r="D401" s="4" t="s">
        <v>23</v>
      </c>
      <c r="E401" s="3">
        <v>1380</v>
      </c>
      <c r="F401" s="3">
        <v>0.13600000000000001</v>
      </c>
      <c r="G401" s="3">
        <v>834212056</v>
      </c>
      <c r="H401" s="3">
        <v>55565.222000000002</v>
      </c>
      <c r="I401" s="3">
        <v>89.906000000000006</v>
      </c>
      <c r="J401" s="3">
        <v>60513.095000000001</v>
      </c>
      <c r="K401" s="3">
        <v>60603.008999999998</v>
      </c>
      <c r="L401" s="4" t="s">
        <v>35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3">
        <v>3</v>
      </c>
      <c r="B402" s="3">
        <v>3</v>
      </c>
      <c r="C402" s="3">
        <v>7</v>
      </c>
      <c r="D402" s="4" t="s">
        <v>33</v>
      </c>
      <c r="E402" s="3">
        <v>1407</v>
      </c>
      <c r="F402" s="3">
        <v>0.11899999999999999</v>
      </c>
      <c r="G402" s="3">
        <v>833075025</v>
      </c>
      <c r="H402" s="3">
        <v>55756.116999999998</v>
      </c>
      <c r="I402" s="3">
        <v>90.468999999999994</v>
      </c>
      <c r="J402" s="3">
        <v>60677.525000000001</v>
      </c>
      <c r="K402" s="3">
        <v>60767.993999999999</v>
      </c>
      <c r="L402" s="4" t="s">
        <v>35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1">
        <v>3</v>
      </c>
      <c r="B403" s="1">
        <v>1</v>
      </c>
      <c r="C403" s="1">
        <v>1</v>
      </c>
      <c r="D403" s="1" t="s">
        <v>24</v>
      </c>
      <c r="E403" s="1">
        <v>231</v>
      </c>
      <c r="F403" s="1">
        <v>3.6999999999999998E-2</v>
      </c>
      <c r="G403" s="1">
        <v>24378270</v>
      </c>
      <c r="H403" s="1">
        <v>597.29200000000003</v>
      </c>
      <c r="I403" s="1">
        <v>15.528</v>
      </c>
      <c r="J403" s="1">
        <v>714.54</v>
      </c>
      <c r="K403" s="1">
        <v>730.06799999999998</v>
      </c>
      <c r="L403" s="1" t="s">
        <v>35</v>
      </c>
    </row>
    <row r="404" spans="1:26" ht="13" x14ac:dyDescent="0.15">
      <c r="A404" s="1">
        <v>3</v>
      </c>
      <c r="B404" s="1">
        <v>1</v>
      </c>
      <c r="C404" s="1">
        <v>2</v>
      </c>
      <c r="D404" s="1" t="s">
        <v>24</v>
      </c>
      <c r="E404" s="1">
        <v>221</v>
      </c>
      <c r="F404" s="1">
        <v>7.0000000000000007E-2</v>
      </c>
      <c r="G404" s="1">
        <v>21922307</v>
      </c>
      <c r="H404" s="1">
        <v>360.07900000000001</v>
      </c>
      <c r="I404" s="1">
        <v>14.77</v>
      </c>
      <c r="J404" s="1">
        <v>467.01400000000001</v>
      </c>
      <c r="K404" s="1">
        <v>481.78300000000002</v>
      </c>
      <c r="L404" s="1" t="s">
        <v>35</v>
      </c>
    </row>
    <row r="405" spans="1:26" ht="13" x14ac:dyDescent="0.15">
      <c r="A405" s="1">
        <v>3</v>
      </c>
      <c r="B405" s="1">
        <v>1</v>
      </c>
      <c r="C405" s="1">
        <v>3</v>
      </c>
      <c r="D405" s="1" t="s">
        <v>24</v>
      </c>
      <c r="E405" s="1">
        <v>381</v>
      </c>
      <c r="F405" s="1">
        <v>2.3E-2</v>
      </c>
      <c r="G405" s="1">
        <v>28132443</v>
      </c>
      <c r="H405" s="1">
        <v>849.69799999999998</v>
      </c>
      <c r="I405" s="1">
        <v>15.038</v>
      </c>
      <c r="J405" s="1">
        <v>995.70600000000002</v>
      </c>
      <c r="K405" s="1">
        <v>1010.744</v>
      </c>
      <c r="L405" s="1" t="s">
        <v>35</v>
      </c>
    </row>
    <row r="406" spans="1:26" ht="13" x14ac:dyDescent="0.15">
      <c r="A406" s="1">
        <v>3</v>
      </c>
      <c r="B406" s="1">
        <v>1</v>
      </c>
      <c r="C406" s="1">
        <v>5</v>
      </c>
      <c r="D406" s="1" t="s">
        <v>24</v>
      </c>
      <c r="E406" s="1">
        <v>216</v>
      </c>
      <c r="F406" s="1">
        <v>1.4999999999999999E-2</v>
      </c>
      <c r="G406" s="1">
        <v>25472045</v>
      </c>
      <c r="H406" s="1">
        <v>767.93700000000001</v>
      </c>
      <c r="I406" s="1">
        <v>15.621</v>
      </c>
      <c r="J406" s="1">
        <v>894.20399999999995</v>
      </c>
      <c r="K406" s="1">
        <v>909.82500000000005</v>
      </c>
      <c r="L406" s="1" t="s">
        <v>35</v>
      </c>
    </row>
    <row r="407" spans="1:26" ht="13" x14ac:dyDescent="0.15">
      <c r="A407" s="1">
        <v>3</v>
      </c>
      <c r="B407" s="1">
        <v>1</v>
      </c>
      <c r="C407" s="1">
        <v>6</v>
      </c>
      <c r="D407" s="1" t="s">
        <v>24</v>
      </c>
      <c r="E407" s="1">
        <v>213</v>
      </c>
      <c r="F407" s="1">
        <v>0.08</v>
      </c>
      <c r="G407" s="1">
        <v>25626841</v>
      </c>
      <c r="H407" s="1">
        <v>462.56099999999998</v>
      </c>
      <c r="I407" s="1">
        <v>15.532</v>
      </c>
      <c r="J407" s="1">
        <v>590.26599999999996</v>
      </c>
      <c r="K407" s="1">
        <v>605.79899999999998</v>
      </c>
      <c r="L407" s="1" t="s">
        <v>35</v>
      </c>
    </row>
    <row r="408" spans="1:26" ht="13" x14ac:dyDescent="0.15">
      <c r="A408" s="1">
        <v>3</v>
      </c>
      <c r="B408" s="1">
        <v>1</v>
      </c>
      <c r="C408" s="1">
        <v>8</v>
      </c>
      <c r="D408" s="1" t="s">
        <v>24</v>
      </c>
      <c r="E408" s="1">
        <v>364</v>
      </c>
      <c r="F408" s="1">
        <v>4.4999999999999998E-2</v>
      </c>
      <c r="G408" s="1">
        <v>28513722</v>
      </c>
      <c r="H408" s="1">
        <v>863.36699999999996</v>
      </c>
      <c r="I408" s="1">
        <v>15.2</v>
      </c>
      <c r="J408" s="1">
        <v>1010.2569999999999</v>
      </c>
      <c r="K408" s="1">
        <v>1025.4580000000001</v>
      </c>
      <c r="L408" s="1" t="s">
        <v>35</v>
      </c>
    </row>
    <row r="409" spans="1:26" ht="13" x14ac:dyDescent="0.15">
      <c r="A409" s="1">
        <v>3</v>
      </c>
      <c r="B409" s="1">
        <v>1</v>
      </c>
      <c r="C409" s="1">
        <v>9</v>
      </c>
      <c r="D409" s="1" t="s">
        <v>24</v>
      </c>
      <c r="E409" s="1">
        <v>379</v>
      </c>
      <c r="F409" s="1">
        <v>6.0999999999999999E-2</v>
      </c>
      <c r="G409" s="1">
        <v>29939385</v>
      </c>
      <c r="H409" s="1">
        <v>1535.7950000000001</v>
      </c>
      <c r="I409" s="1">
        <v>14.634</v>
      </c>
      <c r="J409" s="1">
        <v>1682.5889999999999</v>
      </c>
      <c r="K409" s="1">
        <v>1697.223</v>
      </c>
      <c r="L409" s="1" t="s">
        <v>35</v>
      </c>
    </row>
    <row r="410" spans="1:26" ht="13" x14ac:dyDescent="0.15">
      <c r="A410" s="1">
        <v>3</v>
      </c>
      <c r="B410" s="1">
        <v>1</v>
      </c>
      <c r="C410" s="1">
        <v>11</v>
      </c>
      <c r="D410" s="1" t="s">
        <v>24</v>
      </c>
      <c r="E410" s="1">
        <v>290</v>
      </c>
      <c r="F410" s="1">
        <v>0.10299999999999999</v>
      </c>
      <c r="G410" s="1">
        <v>27726360</v>
      </c>
      <c r="H410" s="1">
        <v>1006.4</v>
      </c>
      <c r="I410" s="1">
        <v>15.759</v>
      </c>
      <c r="J410" s="1">
        <v>1145.3800000000001</v>
      </c>
      <c r="K410" s="1">
        <v>1161.1389999999999</v>
      </c>
      <c r="L410" s="1" t="s">
        <v>35</v>
      </c>
    </row>
    <row r="411" spans="1:26" ht="13" x14ac:dyDescent="0.15">
      <c r="A411" s="1">
        <v>3</v>
      </c>
      <c r="B411" s="1">
        <v>1</v>
      </c>
      <c r="C411" s="1">
        <v>12</v>
      </c>
      <c r="D411" s="1" t="s">
        <v>24</v>
      </c>
      <c r="E411" s="1">
        <v>296</v>
      </c>
      <c r="F411" s="1">
        <v>2.5999999999999999E-2</v>
      </c>
      <c r="G411" s="1">
        <v>28808598</v>
      </c>
      <c r="H411" s="1">
        <v>692.63800000000003</v>
      </c>
      <c r="I411" s="1">
        <v>15.526</v>
      </c>
      <c r="J411" s="1">
        <v>836.66099999999994</v>
      </c>
      <c r="K411" s="1">
        <v>852.18700000000001</v>
      </c>
      <c r="L411" s="1" t="s">
        <v>35</v>
      </c>
    </row>
    <row r="412" spans="1:26" ht="13" x14ac:dyDescent="0.15">
      <c r="A412" s="1">
        <v>3</v>
      </c>
      <c r="B412" s="1">
        <v>1</v>
      </c>
      <c r="C412" s="1">
        <v>14</v>
      </c>
      <c r="D412" s="1" t="s">
        <v>24</v>
      </c>
      <c r="E412" s="1">
        <v>219</v>
      </c>
      <c r="F412" s="1">
        <v>0.114</v>
      </c>
      <c r="G412" s="1">
        <v>24901712</v>
      </c>
      <c r="H412" s="1">
        <v>687.30399999999997</v>
      </c>
      <c r="I412" s="1">
        <v>15.656000000000001</v>
      </c>
      <c r="J412" s="1">
        <v>814.78800000000001</v>
      </c>
      <c r="K412" s="1">
        <v>830.44399999999996</v>
      </c>
      <c r="L412" s="1" t="s">
        <v>35</v>
      </c>
    </row>
    <row r="413" spans="1:26" ht="13" x14ac:dyDescent="0.15">
      <c r="A413" s="1">
        <v>3</v>
      </c>
      <c r="B413" s="1">
        <v>1</v>
      </c>
      <c r="C413" s="1">
        <v>15</v>
      </c>
      <c r="D413" s="1" t="s">
        <v>24</v>
      </c>
      <c r="E413" s="1">
        <v>219</v>
      </c>
      <c r="F413" s="1">
        <v>2.9000000000000001E-2</v>
      </c>
      <c r="G413" s="1">
        <v>24401508</v>
      </c>
      <c r="H413" s="1">
        <v>517.41600000000005</v>
      </c>
      <c r="I413" s="1">
        <v>15.275</v>
      </c>
      <c r="J413" s="1">
        <v>637.26099999999997</v>
      </c>
      <c r="K413" s="1">
        <v>652.53599999999994</v>
      </c>
      <c r="L413" s="1" t="s">
        <v>35</v>
      </c>
    </row>
    <row r="414" spans="1:26" ht="13" x14ac:dyDescent="0.15">
      <c r="A414" s="1">
        <v>3</v>
      </c>
      <c r="B414" s="1">
        <v>1</v>
      </c>
      <c r="C414" s="1">
        <v>16</v>
      </c>
      <c r="D414" s="1" t="s">
        <v>24</v>
      </c>
      <c r="E414" s="1">
        <v>302</v>
      </c>
      <c r="F414" s="1">
        <v>1.4999999999999999E-2</v>
      </c>
      <c r="G414" s="1">
        <v>27862999</v>
      </c>
      <c r="H414" s="1">
        <v>632.44799999999998</v>
      </c>
      <c r="I414" s="1">
        <v>15.458</v>
      </c>
      <c r="J414" s="1">
        <v>771.24599999999998</v>
      </c>
      <c r="K414" s="1">
        <v>786.70399999999995</v>
      </c>
      <c r="L414" s="1" t="s">
        <v>35</v>
      </c>
    </row>
    <row r="415" spans="1:26" ht="13" x14ac:dyDescent="0.15">
      <c r="A415" s="1">
        <v>3</v>
      </c>
      <c r="B415" s="1">
        <v>1</v>
      </c>
      <c r="C415" s="1">
        <v>17</v>
      </c>
      <c r="D415" s="1" t="s">
        <v>24</v>
      </c>
      <c r="E415" s="1">
        <v>259</v>
      </c>
      <c r="F415" s="1">
        <v>1.7000000000000001E-2</v>
      </c>
      <c r="G415" s="1">
        <v>29561996</v>
      </c>
      <c r="H415" s="1">
        <v>1374.0050000000001</v>
      </c>
      <c r="I415" s="1">
        <v>15.314</v>
      </c>
      <c r="J415" s="1">
        <v>1522.723</v>
      </c>
      <c r="K415" s="1">
        <v>1538.037</v>
      </c>
      <c r="L415" s="1" t="s">
        <v>35</v>
      </c>
    </row>
    <row r="416" spans="1:26" ht="13" x14ac:dyDescent="0.15">
      <c r="A416" s="1">
        <v>3</v>
      </c>
      <c r="B416" s="1">
        <v>1</v>
      </c>
      <c r="C416" s="1">
        <v>18</v>
      </c>
      <c r="D416" s="1" t="s">
        <v>24</v>
      </c>
      <c r="E416" s="1">
        <v>281</v>
      </c>
      <c r="F416" s="1">
        <v>1.4E-2</v>
      </c>
      <c r="G416" s="1">
        <v>27056080</v>
      </c>
      <c r="H416" s="1">
        <v>604.51900000000001</v>
      </c>
      <c r="I416" s="1">
        <v>16.193000000000001</v>
      </c>
      <c r="J416" s="1">
        <v>733.70799999999997</v>
      </c>
      <c r="K416" s="1">
        <v>749.90099999999995</v>
      </c>
      <c r="L416" s="1" t="s">
        <v>35</v>
      </c>
    </row>
    <row r="417" spans="1:12" ht="13" x14ac:dyDescent="0.15">
      <c r="A417" s="1">
        <v>3</v>
      </c>
      <c r="B417" s="1">
        <v>1</v>
      </c>
      <c r="C417" s="1">
        <v>19</v>
      </c>
      <c r="D417" s="1" t="s">
        <v>24</v>
      </c>
      <c r="E417" s="1">
        <v>282</v>
      </c>
      <c r="F417" s="1">
        <v>1.7999999999999999E-2</v>
      </c>
      <c r="G417" s="1">
        <v>26459771</v>
      </c>
      <c r="H417" s="1">
        <v>958.90599999999995</v>
      </c>
      <c r="I417" s="1">
        <v>15.382999999999999</v>
      </c>
      <c r="J417" s="1">
        <v>1094.578</v>
      </c>
      <c r="K417" s="1">
        <v>1109.962</v>
      </c>
      <c r="L417" s="1" t="s">
        <v>35</v>
      </c>
    </row>
    <row r="418" spans="1:12" ht="13" x14ac:dyDescent="0.15">
      <c r="A418" s="1">
        <v>3</v>
      </c>
      <c r="B418" s="1">
        <v>1</v>
      </c>
      <c r="C418" s="1">
        <v>20</v>
      </c>
      <c r="D418" s="1" t="s">
        <v>24</v>
      </c>
      <c r="E418" s="1">
        <v>296</v>
      </c>
      <c r="F418" s="1">
        <v>4.1000000000000002E-2</v>
      </c>
      <c r="G418" s="1">
        <v>25716007</v>
      </c>
      <c r="H418" s="1">
        <v>865.10400000000004</v>
      </c>
      <c r="I418" s="1">
        <v>15.189</v>
      </c>
      <c r="J418" s="1">
        <v>991.15</v>
      </c>
      <c r="K418" s="1">
        <v>1006.34</v>
      </c>
      <c r="L418" s="1" t="s">
        <v>35</v>
      </c>
    </row>
    <row r="419" spans="1:12" ht="13" x14ac:dyDescent="0.15">
      <c r="A419" s="1">
        <v>3</v>
      </c>
      <c r="B419" s="1">
        <v>2</v>
      </c>
      <c r="C419" s="1">
        <v>1</v>
      </c>
      <c r="D419" s="1" t="s">
        <v>24</v>
      </c>
      <c r="E419" s="1">
        <v>534</v>
      </c>
      <c r="F419" s="1">
        <v>0.05</v>
      </c>
      <c r="G419" s="1">
        <v>162504507</v>
      </c>
      <c r="H419" s="1">
        <v>5027.875</v>
      </c>
      <c r="I419" s="1">
        <v>41.366999999999997</v>
      </c>
      <c r="J419" s="1">
        <v>5886.7820000000002</v>
      </c>
      <c r="K419" s="1">
        <v>5928.1490000000003</v>
      </c>
      <c r="L419" s="1" t="s">
        <v>35</v>
      </c>
    </row>
    <row r="420" spans="1:12" ht="13" x14ac:dyDescent="0.15">
      <c r="A420" s="1">
        <v>3</v>
      </c>
      <c r="B420" s="1">
        <v>2</v>
      </c>
      <c r="C420" s="1">
        <v>2</v>
      </c>
      <c r="D420" s="1" t="s">
        <v>24</v>
      </c>
      <c r="E420" s="1">
        <v>449</v>
      </c>
      <c r="F420" s="1">
        <v>9.1999999999999998E-2</v>
      </c>
      <c r="G420" s="1">
        <v>145674417</v>
      </c>
      <c r="H420" s="1">
        <v>3443.8339999999998</v>
      </c>
      <c r="I420" s="1">
        <v>39.673000000000002</v>
      </c>
      <c r="J420" s="1">
        <v>4168.7169999999996</v>
      </c>
      <c r="K420" s="1">
        <v>4208.3890000000001</v>
      </c>
      <c r="L420" s="1" t="s">
        <v>35</v>
      </c>
    </row>
    <row r="421" spans="1:12" ht="13" x14ac:dyDescent="0.15">
      <c r="A421" s="1">
        <v>3</v>
      </c>
      <c r="B421" s="1">
        <v>2</v>
      </c>
      <c r="C421" s="1">
        <v>3</v>
      </c>
      <c r="D421" s="1" t="s">
        <v>24</v>
      </c>
      <c r="E421" s="1">
        <v>878</v>
      </c>
      <c r="F421" s="1">
        <v>0.113</v>
      </c>
      <c r="G421" s="1">
        <v>195394438</v>
      </c>
      <c r="H421" s="1">
        <v>12954.873</v>
      </c>
      <c r="I421" s="1">
        <v>40.841000000000001</v>
      </c>
      <c r="J421" s="1">
        <v>13983.11</v>
      </c>
      <c r="K421" s="1">
        <v>14023.950999999999</v>
      </c>
      <c r="L421" s="1" t="s">
        <v>35</v>
      </c>
    </row>
    <row r="422" spans="1:12" ht="13" x14ac:dyDescent="0.15">
      <c r="A422" s="1">
        <v>3</v>
      </c>
      <c r="B422" s="1">
        <v>2</v>
      </c>
      <c r="C422" s="1">
        <v>5</v>
      </c>
      <c r="D422" s="1" t="s">
        <v>24</v>
      </c>
      <c r="E422" s="1">
        <v>524</v>
      </c>
      <c r="F422" s="1">
        <v>3.2000000000000001E-2</v>
      </c>
      <c r="G422" s="1">
        <v>166126193</v>
      </c>
      <c r="H422" s="1">
        <v>5745.0190000000002</v>
      </c>
      <c r="I422" s="1">
        <v>40.642000000000003</v>
      </c>
      <c r="J422" s="1">
        <v>6613.2139999999999</v>
      </c>
      <c r="K422" s="1">
        <v>6653.857</v>
      </c>
      <c r="L422" s="1" t="s">
        <v>35</v>
      </c>
    </row>
    <row r="423" spans="1:12" ht="13" x14ac:dyDescent="0.15">
      <c r="A423" s="1">
        <v>3</v>
      </c>
      <c r="B423" s="1">
        <v>2</v>
      </c>
      <c r="C423" s="1">
        <v>6</v>
      </c>
      <c r="D423" s="1" t="s">
        <v>24</v>
      </c>
      <c r="E423" s="1">
        <v>555</v>
      </c>
      <c r="F423" s="1">
        <v>2.5000000000000001E-2</v>
      </c>
      <c r="G423" s="1">
        <v>178148226</v>
      </c>
      <c r="H423" s="1">
        <v>4246.21</v>
      </c>
      <c r="I423" s="1">
        <v>40.847000000000001</v>
      </c>
      <c r="J423" s="1">
        <v>5164.6769999999997</v>
      </c>
      <c r="K423" s="1">
        <v>5205.527</v>
      </c>
      <c r="L423" s="1" t="s">
        <v>35</v>
      </c>
    </row>
    <row r="424" spans="1:12" ht="13" x14ac:dyDescent="0.15">
      <c r="A424" s="1">
        <v>3</v>
      </c>
      <c r="B424" s="1">
        <v>2</v>
      </c>
      <c r="C424" s="1">
        <v>8</v>
      </c>
      <c r="D424" s="1" t="s">
        <v>24</v>
      </c>
      <c r="E424" s="1">
        <v>771</v>
      </c>
      <c r="F424" s="1">
        <v>5.2999999999999999E-2</v>
      </c>
      <c r="G424" s="1">
        <v>189587974</v>
      </c>
      <c r="H424" s="1">
        <v>9584.2039999999997</v>
      </c>
      <c r="I424" s="1">
        <v>41.250999999999998</v>
      </c>
      <c r="J424" s="1">
        <v>10554.243</v>
      </c>
      <c r="K424" s="1">
        <v>10595.495000000001</v>
      </c>
      <c r="L424" s="1" t="s">
        <v>35</v>
      </c>
    </row>
    <row r="425" spans="1:12" ht="13" x14ac:dyDescent="0.15">
      <c r="A425" s="1">
        <v>3</v>
      </c>
      <c r="B425" s="1">
        <v>2</v>
      </c>
      <c r="C425" s="1">
        <v>9</v>
      </c>
      <c r="D425" s="1" t="s">
        <v>24</v>
      </c>
      <c r="E425" s="1">
        <v>761</v>
      </c>
      <c r="F425" s="1">
        <v>5.7000000000000002E-2</v>
      </c>
      <c r="G425" s="1">
        <v>205225682</v>
      </c>
      <c r="H425" s="1">
        <v>10426.445</v>
      </c>
      <c r="I425" s="1">
        <v>40.494999999999997</v>
      </c>
      <c r="J425" s="1">
        <v>11480.395</v>
      </c>
      <c r="K425" s="1">
        <v>11520.89</v>
      </c>
      <c r="L425" s="1" t="s">
        <v>35</v>
      </c>
    </row>
    <row r="426" spans="1:12" ht="13" x14ac:dyDescent="0.15">
      <c r="A426" s="1">
        <v>3</v>
      </c>
      <c r="B426" s="1">
        <v>2</v>
      </c>
      <c r="C426" s="1">
        <v>11</v>
      </c>
      <c r="D426" s="1" t="s">
        <v>24</v>
      </c>
      <c r="E426" s="1">
        <v>746</v>
      </c>
      <c r="F426" s="1">
        <v>5.6000000000000001E-2</v>
      </c>
      <c r="G426" s="1">
        <v>186343929</v>
      </c>
      <c r="H426" s="1">
        <v>10363.735000000001</v>
      </c>
      <c r="I426" s="1">
        <v>42.459000000000003</v>
      </c>
      <c r="J426" s="1">
        <v>11372.401</v>
      </c>
      <c r="K426" s="1">
        <v>11414.862999999999</v>
      </c>
      <c r="L426" s="1" t="s">
        <v>35</v>
      </c>
    </row>
    <row r="427" spans="1:12" ht="13" x14ac:dyDescent="0.15">
      <c r="A427" s="1">
        <v>3</v>
      </c>
      <c r="B427" s="1">
        <v>2</v>
      </c>
      <c r="C427" s="1">
        <v>12</v>
      </c>
      <c r="D427" s="1" t="s">
        <v>24</v>
      </c>
      <c r="E427" s="1">
        <v>729</v>
      </c>
      <c r="F427" s="1">
        <v>4.5999999999999999E-2</v>
      </c>
      <c r="G427" s="1">
        <v>189595192</v>
      </c>
      <c r="H427" s="1">
        <v>8916.9869999999992</v>
      </c>
      <c r="I427" s="1">
        <v>41.707999999999998</v>
      </c>
      <c r="J427" s="1">
        <v>9936.9609999999993</v>
      </c>
      <c r="K427" s="1">
        <v>9978.6689999999999</v>
      </c>
      <c r="L427" s="1" t="s">
        <v>35</v>
      </c>
    </row>
    <row r="428" spans="1:12" ht="13" x14ac:dyDescent="0.15">
      <c r="A428" s="1">
        <v>3</v>
      </c>
      <c r="B428" s="1">
        <v>2</v>
      </c>
      <c r="C428" s="1">
        <v>15</v>
      </c>
      <c r="D428" s="1" t="s">
        <v>24</v>
      </c>
      <c r="E428" s="1">
        <v>454</v>
      </c>
      <c r="F428" s="1">
        <v>2.1000000000000001E-2</v>
      </c>
      <c r="G428" s="1">
        <v>154361981</v>
      </c>
      <c r="H428" s="1">
        <v>3586.1680000000001</v>
      </c>
      <c r="I428" s="1">
        <v>40.786999999999999</v>
      </c>
      <c r="J428" s="1">
        <v>4396.6589999999997</v>
      </c>
      <c r="K428" s="1">
        <v>4437.4459999999999</v>
      </c>
      <c r="L428" s="1" t="s">
        <v>35</v>
      </c>
    </row>
    <row r="429" spans="1:12" ht="13" x14ac:dyDescent="0.15">
      <c r="A429" s="1">
        <v>3</v>
      </c>
      <c r="B429" s="1">
        <v>2</v>
      </c>
      <c r="C429" s="1">
        <v>16</v>
      </c>
      <c r="D429" s="1" t="s">
        <v>24</v>
      </c>
      <c r="E429" s="1">
        <v>761</v>
      </c>
      <c r="F429" s="1">
        <v>0.04</v>
      </c>
      <c r="G429" s="1">
        <v>185359302</v>
      </c>
      <c r="H429" s="1">
        <v>6947.5889999999999</v>
      </c>
      <c r="I429" s="1">
        <v>41.640999999999998</v>
      </c>
      <c r="J429" s="1">
        <v>7913.1149999999998</v>
      </c>
      <c r="K429" s="1">
        <v>7954.7560000000003</v>
      </c>
      <c r="L429" s="1" t="s">
        <v>35</v>
      </c>
    </row>
    <row r="430" spans="1:12" ht="13" x14ac:dyDescent="0.15">
      <c r="A430" s="1">
        <v>3</v>
      </c>
      <c r="B430" s="1">
        <v>2</v>
      </c>
      <c r="C430" s="1">
        <v>18</v>
      </c>
      <c r="D430" s="1" t="s">
        <v>24</v>
      </c>
      <c r="E430" s="1">
        <v>737</v>
      </c>
      <c r="F430" s="1">
        <v>5.3999999999999999E-2</v>
      </c>
      <c r="G430" s="1">
        <v>181625160</v>
      </c>
      <c r="H430" s="1">
        <v>10379.203</v>
      </c>
      <c r="I430" s="1">
        <v>42.61</v>
      </c>
      <c r="J430" s="1">
        <v>11340.799000000001</v>
      </c>
      <c r="K430" s="1">
        <v>11383.41</v>
      </c>
      <c r="L430" s="1" t="s">
        <v>35</v>
      </c>
    </row>
    <row r="431" spans="1:12" ht="13" x14ac:dyDescent="0.15">
      <c r="A431" s="1">
        <v>3</v>
      </c>
      <c r="B431" s="1">
        <v>2</v>
      </c>
      <c r="C431" s="1">
        <v>20</v>
      </c>
      <c r="D431" s="1" t="s">
        <v>24</v>
      </c>
      <c r="E431" s="1">
        <v>571</v>
      </c>
      <c r="F431" s="1">
        <v>3.3000000000000002E-2</v>
      </c>
      <c r="G431" s="1">
        <v>160807503</v>
      </c>
      <c r="H431" s="1">
        <v>6411.8109999999997</v>
      </c>
      <c r="I431" s="1">
        <v>40.116999999999997</v>
      </c>
      <c r="J431" s="1">
        <v>7261.45</v>
      </c>
      <c r="K431" s="1">
        <v>7301.567</v>
      </c>
      <c r="L431" s="1" t="s">
        <v>35</v>
      </c>
    </row>
    <row r="432" spans="1:12" ht="13" x14ac:dyDescent="0.15">
      <c r="A432" s="5">
        <v>3</v>
      </c>
      <c r="B432" s="5">
        <v>3</v>
      </c>
      <c r="C432" s="5">
        <v>1</v>
      </c>
      <c r="D432" s="6" t="s">
        <v>24</v>
      </c>
      <c r="E432" s="5">
        <v>1378</v>
      </c>
      <c r="F432" s="5">
        <v>0.14799999999999999</v>
      </c>
      <c r="G432" s="5">
        <v>798114116</v>
      </c>
      <c r="H432" s="5">
        <v>39378.807999999997</v>
      </c>
      <c r="I432" s="5">
        <v>89.453000000000003</v>
      </c>
      <c r="J432" s="5">
        <v>43882.909</v>
      </c>
      <c r="K432" s="5">
        <v>43972.362000000001</v>
      </c>
      <c r="L432" s="6" t="s">
        <v>35</v>
      </c>
    </row>
    <row r="433" spans="1:26" ht="13" x14ac:dyDescent="0.15">
      <c r="A433" s="5">
        <v>3</v>
      </c>
      <c r="B433" s="5">
        <v>3</v>
      </c>
      <c r="C433" s="5">
        <v>2</v>
      </c>
      <c r="D433" s="6" t="s">
        <v>24</v>
      </c>
      <c r="E433" s="5">
        <v>1004</v>
      </c>
      <c r="F433" s="5">
        <v>7.8E-2</v>
      </c>
      <c r="G433" s="5">
        <v>711734715</v>
      </c>
      <c r="H433" s="5">
        <v>25760.423999999999</v>
      </c>
      <c r="I433" s="5">
        <v>88.058000000000007</v>
      </c>
      <c r="J433" s="5">
        <v>29554.886999999999</v>
      </c>
      <c r="K433" s="5">
        <v>29642.946</v>
      </c>
      <c r="L433" s="6" t="s">
        <v>35</v>
      </c>
    </row>
    <row r="434" spans="1:26" ht="13" x14ac:dyDescent="0.15">
      <c r="A434" s="5">
        <v>3</v>
      </c>
      <c r="B434" s="5">
        <v>3</v>
      </c>
      <c r="C434" s="5">
        <v>5</v>
      </c>
      <c r="D434" s="6" t="s">
        <v>24</v>
      </c>
      <c r="E434" s="5">
        <v>1216</v>
      </c>
      <c r="F434" s="5">
        <v>6.6000000000000003E-2</v>
      </c>
      <c r="G434" s="5">
        <v>796934142</v>
      </c>
      <c r="H434" s="5">
        <v>34204.14</v>
      </c>
      <c r="I434" s="5">
        <v>90.305999999999997</v>
      </c>
      <c r="J434" s="5">
        <v>38750.908000000003</v>
      </c>
      <c r="K434" s="5">
        <v>38841.214</v>
      </c>
      <c r="L434" s="6" t="s">
        <v>35</v>
      </c>
    </row>
    <row r="435" spans="1:26" ht="13" x14ac:dyDescent="0.15">
      <c r="A435" s="5">
        <v>3</v>
      </c>
      <c r="B435" s="5">
        <v>3</v>
      </c>
      <c r="C435" s="5">
        <v>6</v>
      </c>
      <c r="D435" s="6" t="s">
        <v>24</v>
      </c>
      <c r="E435" s="5">
        <v>1259</v>
      </c>
      <c r="F435" s="5">
        <v>8.5000000000000006E-2</v>
      </c>
      <c r="G435" s="5">
        <v>824417755</v>
      </c>
      <c r="H435" s="5">
        <v>28587.095000000001</v>
      </c>
      <c r="I435" s="5">
        <v>90.53</v>
      </c>
      <c r="J435" s="5">
        <v>33401.160000000003</v>
      </c>
      <c r="K435" s="5">
        <v>33491.709000000003</v>
      </c>
      <c r="L435" s="6" t="s">
        <v>35</v>
      </c>
    </row>
    <row r="436" spans="1:26" ht="13" x14ac:dyDescent="0.15">
      <c r="A436" s="2">
        <v>4</v>
      </c>
      <c r="B436" s="2">
        <v>1</v>
      </c>
      <c r="C436" s="2">
        <v>10</v>
      </c>
      <c r="D436" s="2" t="s">
        <v>20</v>
      </c>
      <c r="E436" s="2">
        <v>814</v>
      </c>
      <c r="F436" s="2">
        <v>3.5999999999999997E-2</v>
      </c>
      <c r="G436" s="2">
        <v>169120938</v>
      </c>
      <c r="H436" s="2">
        <v>4837.4859999999999</v>
      </c>
      <c r="I436" s="2">
        <v>40.524000000000001</v>
      </c>
      <c r="J436" s="2">
        <v>5703.402</v>
      </c>
      <c r="K436" s="2">
        <v>5743.9269999999997</v>
      </c>
      <c r="L436" s="2" t="s">
        <v>35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>
        <v>4</v>
      </c>
      <c r="B437" s="2">
        <v>1</v>
      </c>
      <c r="C437" s="2">
        <v>14</v>
      </c>
      <c r="D437" s="2" t="s">
        <v>30</v>
      </c>
      <c r="E437" s="2">
        <v>599</v>
      </c>
      <c r="F437" s="2">
        <v>6.5000000000000002E-2</v>
      </c>
      <c r="G437" s="2">
        <v>168403272</v>
      </c>
      <c r="H437" s="2">
        <v>8959.2360000000008</v>
      </c>
      <c r="I437" s="2">
        <v>43.091999999999999</v>
      </c>
      <c r="J437" s="2">
        <v>9828.8269999999993</v>
      </c>
      <c r="K437" s="2">
        <v>9871.9210000000003</v>
      </c>
      <c r="L437" s="2" t="s">
        <v>35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>
        <v>4</v>
      </c>
      <c r="B438" s="2">
        <v>1</v>
      </c>
      <c r="C438" s="2">
        <v>17</v>
      </c>
      <c r="D438" s="2" t="s">
        <v>21</v>
      </c>
      <c r="E438" s="2">
        <v>661</v>
      </c>
      <c r="F438" s="2">
        <v>4.9000000000000002E-2</v>
      </c>
      <c r="G438" s="2">
        <v>188929022</v>
      </c>
      <c r="H438" s="2">
        <v>6823.87</v>
      </c>
      <c r="I438" s="2">
        <v>41.005000000000003</v>
      </c>
      <c r="J438" s="2">
        <v>7822.8950000000004</v>
      </c>
      <c r="K438" s="2">
        <v>7863.9030000000002</v>
      </c>
      <c r="L438" s="2" t="s">
        <v>35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>
        <v>4</v>
      </c>
      <c r="B439" s="2">
        <v>1</v>
      </c>
      <c r="C439" s="2">
        <v>19</v>
      </c>
      <c r="D439" s="2" t="s">
        <v>22</v>
      </c>
      <c r="E439" s="2">
        <v>702</v>
      </c>
      <c r="F439" s="2">
        <v>6.0999999999999999E-2</v>
      </c>
      <c r="G439" s="2">
        <v>178646037</v>
      </c>
      <c r="H439" s="2">
        <v>7065.1769999999997</v>
      </c>
      <c r="I439" s="2">
        <v>41.164000000000001</v>
      </c>
      <c r="J439" s="2">
        <v>8040.8789999999999</v>
      </c>
      <c r="K439" s="2">
        <v>8082.0439999999999</v>
      </c>
      <c r="L439" s="2" t="s">
        <v>35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3">
        <v>4</v>
      </c>
      <c r="B440" s="3">
        <v>2</v>
      </c>
      <c r="C440" s="3">
        <v>7</v>
      </c>
      <c r="D440" s="4" t="s">
        <v>34</v>
      </c>
      <c r="E440" s="3">
        <v>1407</v>
      </c>
      <c r="F440" s="3">
        <v>0.124</v>
      </c>
      <c r="G440" s="3">
        <v>836375645</v>
      </c>
      <c r="H440" s="3">
        <v>55800.231</v>
      </c>
      <c r="I440" s="3">
        <v>90.424000000000007</v>
      </c>
      <c r="J440" s="3">
        <v>60691.652999999998</v>
      </c>
      <c r="K440" s="3">
        <v>60782.078999999998</v>
      </c>
      <c r="L440" s="4" t="s">
        <v>35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1">
        <v>4</v>
      </c>
      <c r="B441" s="1">
        <v>1</v>
      </c>
      <c r="C441" s="1">
        <v>1</v>
      </c>
      <c r="D441" s="1" t="s">
        <v>24</v>
      </c>
      <c r="E441" s="1">
        <v>534</v>
      </c>
      <c r="F441" s="1">
        <v>0.04</v>
      </c>
      <c r="G441" s="1">
        <v>155613969</v>
      </c>
      <c r="H441" s="1">
        <v>4728.4790000000003</v>
      </c>
      <c r="I441" s="1">
        <v>40.271999999999998</v>
      </c>
      <c r="J441" s="1">
        <v>5491.4709999999995</v>
      </c>
      <c r="K441" s="1">
        <v>5531.7430000000004</v>
      </c>
      <c r="L441" s="1" t="s">
        <v>35</v>
      </c>
    </row>
    <row r="442" spans="1:26" ht="13" x14ac:dyDescent="0.15">
      <c r="A442" s="1">
        <v>4</v>
      </c>
      <c r="B442" s="1">
        <v>1</v>
      </c>
      <c r="C442" s="1">
        <v>2</v>
      </c>
      <c r="D442" s="1" t="s">
        <v>24</v>
      </c>
      <c r="E442" s="1">
        <v>449</v>
      </c>
      <c r="F442" s="1">
        <v>5.2999999999999999E-2</v>
      </c>
      <c r="G442" s="1">
        <v>140593873</v>
      </c>
      <c r="H442" s="1">
        <v>3297.748</v>
      </c>
      <c r="I442" s="1">
        <v>39.93</v>
      </c>
      <c r="J442" s="1">
        <v>3998.4850000000001</v>
      </c>
      <c r="K442" s="1">
        <v>4038.4169999999999</v>
      </c>
      <c r="L442" s="1" t="s">
        <v>35</v>
      </c>
    </row>
    <row r="443" spans="1:26" ht="13" x14ac:dyDescent="0.15">
      <c r="A443" s="1">
        <v>4</v>
      </c>
      <c r="B443" s="1">
        <v>1</v>
      </c>
      <c r="C443" s="1">
        <v>3</v>
      </c>
      <c r="D443" s="1" t="s">
        <v>24</v>
      </c>
      <c r="E443" s="1">
        <v>878</v>
      </c>
      <c r="F443" s="1">
        <v>9.6000000000000002E-2</v>
      </c>
      <c r="G443" s="1">
        <v>188599918</v>
      </c>
      <c r="H443" s="1">
        <v>12073.412</v>
      </c>
      <c r="I443" s="1">
        <v>40.616</v>
      </c>
      <c r="J443" s="1">
        <v>13082.821</v>
      </c>
      <c r="K443" s="1">
        <v>13123.438</v>
      </c>
      <c r="L443" s="1" t="s">
        <v>35</v>
      </c>
    </row>
    <row r="444" spans="1:26" ht="13" x14ac:dyDescent="0.15">
      <c r="A444" s="1">
        <v>4</v>
      </c>
      <c r="B444" s="1">
        <v>1</v>
      </c>
      <c r="C444" s="1">
        <v>4</v>
      </c>
      <c r="D444" s="1" t="s">
        <v>24</v>
      </c>
      <c r="E444" s="1">
        <v>678</v>
      </c>
      <c r="F444" s="1">
        <v>5.3999999999999999E-2</v>
      </c>
      <c r="G444" s="1">
        <v>170434115</v>
      </c>
      <c r="H444" s="1">
        <v>5648.7340000000004</v>
      </c>
      <c r="I444" s="1">
        <v>40.287999999999997</v>
      </c>
      <c r="J444" s="1">
        <v>6517.98</v>
      </c>
      <c r="K444" s="1">
        <v>6558.27</v>
      </c>
      <c r="L444" s="1" t="s">
        <v>35</v>
      </c>
    </row>
    <row r="445" spans="1:26" ht="13" x14ac:dyDescent="0.15">
      <c r="A445" s="1">
        <v>4</v>
      </c>
      <c r="B445" s="1">
        <v>1</v>
      </c>
      <c r="C445" s="1">
        <v>5</v>
      </c>
      <c r="D445" s="1" t="s">
        <v>24</v>
      </c>
      <c r="E445" s="1">
        <v>524</v>
      </c>
      <c r="F445" s="1">
        <v>0.113</v>
      </c>
      <c r="G445" s="1">
        <v>158752703</v>
      </c>
      <c r="H445" s="1">
        <v>4652.8360000000002</v>
      </c>
      <c r="I445" s="1">
        <v>40.744</v>
      </c>
      <c r="J445" s="1">
        <v>5479.0680000000002</v>
      </c>
      <c r="K445" s="1">
        <v>5519.8119999999999</v>
      </c>
      <c r="L445" s="1" t="s">
        <v>35</v>
      </c>
    </row>
    <row r="446" spans="1:26" ht="13" x14ac:dyDescent="0.15">
      <c r="A446" s="1">
        <v>4</v>
      </c>
      <c r="B446" s="1">
        <v>1</v>
      </c>
      <c r="C446" s="1">
        <v>6</v>
      </c>
      <c r="D446" s="1" t="s">
        <v>24</v>
      </c>
      <c r="E446" s="1">
        <v>555</v>
      </c>
      <c r="F446" s="1">
        <v>3.9E-2</v>
      </c>
      <c r="G446" s="1">
        <v>170488560</v>
      </c>
      <c r="H446" s="1">
        <v>4305.4139999999998</v>
      </c>
      <c r="I446" s="1">
        <v>41.22</v>
      </c>
      <c r="J446" s="1">
        <v>5182.915</v>
      </c>
      <c r="K446" s="1">
        <v>5224.1350000000002</v>
      </c>
      <c r="L446" s="1" t="s">
        <v>35</v>
      </c>
    </row>
    <row r="447" spans="1:26" ht="13" x14ac:dyDescent="0.15">
      <c r="A447" s="1">
        <v>4</v>
      </c>
      <c r="B447" s="1">
        <v>1</v>
      </c>
      <c r="C447" s="1">
        <v>7</v>
      </c>
      <c r="D447" s="1" t="s">
        <v>24</v>
      </c>
      <c r="E447" s="1">
        <v>643</v>
      </c>
      <c r="F447" s="1">
        <v>4.3999999999999997E-2</v>
      </c>
      <c r="G447" s="1">
        <v>166164836</v>
      </c>
      <c r="H447" s="1">
        <v>7765.8869999999997</v>
      </c>
      <c r="I447" s="1">
        <v>40.600999999999999</v>
      </c>
      <c r="J447" s="1">
        <v>8649.0830000000005</v>
      </c>
      <c r="K447" s="1">
        <v>8689.6849999999995</v>
      </c>
      <c r="L447" s="1" t="s">
        <v>35</v>
      </c>
    </row>
    <row r="448" spans="1:26" ht="13" x14ac:dyDescent="0.15">
      <c r="A448" s="1">
        <v>4</v>
      </c>
      <c r="B448" s="1">
        <v>1</v>
      </c>
      <c r="C448" s="1">
        <v>8</v>
      </c>
      <c r="D448" s="1" t="s">
        <v>24</v>
      </c>
      <c r="E448" s="1">
        <v>771</v>
      </c>
      <c r="F448" s="1">
        <v>5.1999999999999998E-2</v>
      </c>
      <c r="G448" s="1">
        <v>183328639</v>
      </c>
      <c r="H448" s="1">
        <v>7095.7929999999997</v>
      </c>
      <c r="I448" s="1">
        <v>41.298000000000002</v>
      </c>
      <c r="J448" s="1">
        <v>8064.1959999999999</v>
      </c>
      <c r="K448" s="1">
        <v>8105.4939999999997</v>
      </c>
      <c r="L448" s="1" t="s">
        <v>35</v>
      </c>
    </row>
    <row r="449" spans="1:12" ht="13" x14ac:dyDescent="0.15">
      <c r="A449" s="1">
        <v>4</v>
      </c>
      <c r="B449" s="1">
        <v>1</v>
      </c>
      <c r="C449" s="1">
        <v>9</v>
      </c>
      <c r="D449" s="1" t="s">
        <v>24</v>
      </c>
      <c r="E449" s="1">
        <v>761</v>
      </c>
      <c r="F449" s="1">
        <v>4.7E-2</v>
      </c>
      <c r="G449" s="1">
        <v>197260176</v>
      </c>
      <c r="H449" s="1">
        <v>4697.6970000000001</v>
      </c>
      <c r="I449" s="1">
        <v>40.304000000000002</v>
      </c>
      <c r="J449" s="1">
        <v>5778.4189999999999</v>
      </c>
      <c r="K449" s="1">
        <v>5818.7250000000004</v>
      </c>
      <c r="L449" s="1" t="s">
        <v>35</v>
      </c>
    </row>
    <row r="450" spans="1:12" ht="13" x14ac:dyDescent="0.15">
      <c r="A450" s="1">
        <v>4</v>
      </c>
      <c r="B450" s="1">
        <v>1</v>
      </c>
      <c r="C450" s="1">
        <v>11</v>
      </c>
      <c r="D450" s="1" t="s">
        <v>24</v>
      </c>
      <c r="E450" s="1">
        <v>746</v>
      </c>
      <c r="F450" s="1">
        <v>0.05</v>
      </c>
      <c r="G450" s="1">
        <v>181537423</v>
      </c>
      <c r="H450" s="1">
        <v>9112.7950000000001</v>
      </c>
      <c r="I450" s="1">
        <v>41.539000000000001</v>
      </c>
      <c r="J450" s="1">
        <v>10094.916999999999</v>
      </c>
      <c r="K450" s="1">
        <v>10136.456</v>
      </c>
      <c r="L450" s="1" t="s">
        <v>35</v>
      </c>
    </row>
    <row r="451" spans="1:12" ht="13" x14ac:dyDescent="0.15">
      <c r="A451" s="1">
        <v>4</v>
      </c>
      <c r="B451" s="1">
        <v>1</v>
      </c>
      <c r="C451" s="1">
        <v>12</v>
      </c>
      <c r="D451" s="1" t="s">
        <v>24</v>
      </c>
      <c r="E451" s="1">
        <v>729</v>
      </c>
      <c r="F451" s="1">
        <v>7.0999999999999994E-2</v>
      </c>
      <c r="G451" s="1">
        <v>183197471</v>
      </c>
      <c r="H451" s="1">
        <v>7532.6480000000001</v>
      </c>
      <c r="I451" s="1">
        <v>41.465000000000003</v>
      </c>
      <c r="J451" s="1">
        <v>8475.9689999999991</v>
      </c>
      <c r="K451" s="1">
        <v>8517.4339999999993</v>
      </c>
      <c r="L451" s="1" t="s">
        <v>35</v>
      </c>
    </row>
    <row r="452" spans="1:12" ht="13" x14ac:dyDescent="0.15">
      <c r="A452" s="1">
        <v>4</v>
      </c>
      <c r="B452" s="1">
        <v>1</v>
      </c>
      <c r="C452" s="1">
        <v>13</v>
      </c>
      <c r="D452" s="1" t="s">
        <v>24</v>
      </c>
      <c r="E452" s="1">
        <v>550</v>
      </c>
      <c r="F452" s="1">
        <v>3.2000000000000001E-2</v>
      </c>
      <c r="G452" s="1">
        <v>168757825</v>
      </c>
      <c r="H452" s="1">
        <v>5678.9809999999998</v>
      </c>
      <c r="I452" s="1">
        <v>40.759</v>
      </c>
      <c r="J452" s="1">
        <v>6532.1620000000003</v>
      </c>
      <c r="K452" s="1">
        <v>6572.9229999999998</v>
      </c>
      <c r="L452" s="1" t="s">
        <v>35</v>
      </c>
    </row>
    <row r="453" spans="1:12" ht="13" x14ac:dyDescent="0.15">
      <c r="A453" s="1">
        <v>4</v>
      </c>
      <c r="B453" s="1">
        <v>1</v>
      </c>
      <c r="C453" s="1">
        <v>15</v>
      </c>
      <c r="D453" s="1" t="s">
        <v>24</v>
      </c>
      <c r="E453" s="1">
        <v>454</v>
      </c>
      <c r="F453" s="1">
        <v>3.4000000000000002E-2</v>
      </c>
      <c r="G453" s="1">
        <v>149371382</v>
      </c>
      <c r="H453" s="1">
        <v>5232.7380000000003</v>
      </c>
      <c r="I453" s="1">
        <v>41.345999999999997</v>
      </c>
      <c r="J453" s="1">
        <v>6019.4340000000002</v>
      </c>
      <c r="K453" s="1">
        <v>6060.78</v>
      </c>
      <c r="L453" s="1" t="s">
        <v>35</v>
      </c>
    </row>
    <row r="454" spans="1:12" ht="13" x14ac:dyDescent="0.15">
      <c r="A454" s="1">
        <v>4</v>
      </c>
      <c r="B454" s="1">
        <v>1</v>
      </c>
      <c r="C454" s="1">
        <v>16</v>
      </c>
      <c r="D454" s="1" t="s">
        <v>24</v>
      </c>
      <c r="E454" s="1">
        <v>761</v>
      </c>
      <c r="F454" s="1">
        <v>3.5000000000000003E-2</v>
      </c>
      <c r="G454" s="1">
        <v>178405239</v>
      </c>
      <c r="H454" s="1">
        <v>5625.2110000000002</v>
      </c>
      <c r="I454" s="1">
        <v>41.667999999999999</v>
      </c>
      <c r="J454" s="1">
        <v>6566.3180000000002</v>
      </c>
      <c r="K454" s="1">
        <v>6607.9859999999999</v>
      </c>
      <c r="L454" s="1" t="s">
        <v>35</v>
      </c>
    </row>
    <row r="455" spans="1:12" ht="13" x14ac:dyDescent="0.15">
      <c r="A455" s="1">
        <v>4</v>
      </c>
      <c r="B455" s="1">
        <v>1</v>
      </c>
      <c r="C455" s="1">
        <v>18</v>
      </c>
      <c r="D455" s="1" t="s">
        <v>24</v>
      </c>
      <c r="E455" s="1">
        <v>737</v>
      </c>
      <c r="F455" s="1">
        <v>6.4000000000000001E-2</v>
      </c>
      <c r="G455" s="1">
        <v>174689913</v>
      </c>
      <c r="H455" s="1">
        <v>11043.950999999999</v>
      </c>
      <c r="I455" s="1">
        <v>42.335999999999999</v>
      </c>
      <c r="J455" s="1">
        <v>11940.484</v>
      </c>
      <c r="K455" s="1">
        <v>11982.82</v>
      </c>
      <c r="L455" s="1" t="s">
        <v>35</v>
      </c>
    </row>
    <row r="456" spans="1:12" ht="13" x14ac:dyDescent="0.15">
      <c r="A456" s="1">
        <v>4</v>
      </c>
      <c r="B456" s="1">
        <v>1</v>
      </c>
      <c r="C456" s="1">
        <v>20</v>
      </c>
      <c r="D456" s="1" t="s">
        <v>24</v>
      </c>
      <c r="E456" s="1">
        <v>571</v>
      </c>
      <c r="F456" s="1">
        <v>2.5999999999999999E-2</v>
      </c>
      <c r="G456" s="1">
        <v>151158846</v>
      </c>
      <c r="H456" s="1">
        <v>4106.393</v>
      </c>
      <c r="I456" s="1">
        <v>39.720999999999997</v>
      </c>
      <c r="J456" s="1">
        <v>4894.7629999999999</v>
      </c>
      <c r="K456" s="1">
        <v>4934.4840000000004</v>
      </c>
      <c r="L456" s="1" t="s">
        <v>35</v>
      </c>
    </row>
    <row r="457" spans="1:12" ht="13" x14ac:dyDescent="0.15">
      <c r="A457" s="5">
        <v>4</v>
      </c>
      <c r="B457" s="5">
        <v>2</v>
      </c>
      <c r="C457" s="5">
        <v>1</v>
      </c>
      <c r="D457" s="6" t="s">
        <v>24</v>
      </c>
      <c r="E457" s="5">
        <v>1378</v>
      </c>
      <c r="F457" s="5">
        <v>0.13700000000000001</v>
      </c>
      <c r="G457" s="5">
        <v>795304945</v>
      </c>
      <c r="H457" s="5">
        <v>36941.500999999997</v>
      </c>
      <c r="I457" s="5">
        <v>90.16</v>
      </c>
      <c r="J457" s="5">
        <v>41412.021999999997</v>
      </c>
      <c r="K457" s="5">
        <v>41502.182000000001</v>
      </c>
      <c r="L457" s="6" t="s">
        <v>35</v>
      </c>
    </row>
    <row r="458" spans="1:12" ht="13" x14ac:dyDescent="0.15">
      <c r="A458" s="5">
        <v>4</v>
      </c>
      <c r="B458" s="5">
        <v>2</v>
      </c>
      <c r="C458" s="5">
        <v>2</v>
      </c>
      <c r="D458" s="6" t="s">
        <v>24</v>
      </c>
      <c r="E458" s="5">
        <v>1004</v>
      </c>
      <c r="F458" s="5">
        <v>7.2999999999999995E-2</v>
      </c>
      <c r="G458" s="5">
        <v>714878335</v>
      </c>
      <c r="H458" s="5">
        <v>26116.631000000001</v>
      </c>
      <c r="I458" s="5">
        <v>87.168000000000006</v>
      </c>
      <c r="J458" s="5">
        <v>30019.671999999999</v>
      </c>
      <c r="K458" s="5">
        <v>30106.84</v>
      </c>
      <c r="L458" s="6" t="s">
        <v>35</v>
      </c>
    </row>
    <row r="459" spans="1:12" ht="13" x14ac:dyDescent="0.15">
      <c r="A459" s="5">
        <v>4</v>
      </c>
      <c r="B459" s="5">
        <v>2</v>
      </c>
      <c r="C459" s="5">
        <v>3</v>
      </c>
      <c r="D459" s="6" t="s">
        <v>24</v>
      </c>
      <c r="E459" s="5">
        <v>1779</v>
      </c>
      <c r="F459" s="5">
        <v>0.23</v>
      </c>
      <c r="G459" s="5">
        <v>887145046</v>
      </c>
      <c r="H459" s="5">
        <v>63624.413</v>
      </c>
      <c r="I459" s="5">
        <v>89.912000000000006</v>
      </c>
      <c r="J459" s="5">
        <v>68831.339000000007</v>
      </c>
      <c r="K459" s="5">
        <v>68921.289999999994</v>
      </c>
      <c r="L459" s="6" t="s">
        <v>35</v>
      </c>
    </row>
    <row r="460" spans="1:12" ht="13" x14ac:dyDescent="0.15">
      <c r="A460" s="5">
        <v>4</v>
      </c>
      <c r="B460" s="5">
        <v>2</v>
      </c>
      <c r="C460" s="5">
        <v>4</v>
      </c>
      <c r="D460" s="6" t="s">
        <v>24</v>
      </c>
      <c r="E460" s="5">
        <v>1380</v>
      </c>
      <c r="F460" s="5">
        <v>0.11799999999999999</v>
      </c>
      <c r="G460" s="5">
        <v>833035114</v>
      </c>
      <c r="H460" s="5">
        <v>37549.747000000003</v>
      </c>
      <c r="I460" s="5">
        <v>90.3</v>
      </c>
      <c r="J460" s="5">
        <v>42473.637999999999</v>
      </c>
      <c r="K460" s="5">
        <v>42563.938999999998</v>
      </c>
      <c r="L460" s="6" t="s">
        <v>35</v>
      </c>
    </row>
    <row r="461" spans="1:12" ht="13" x14ac:dyDescent="0.15">
      <c r="A461" s="5">
        <v>4</v>
      </c>
      <c r="B461" s="5">
        <v>2</v>
      </c>
      <c r="C461" s="5">
        <v>5</v>
      </c>
      <c r="D461" s="6" t="s">
        <v>24</v>
      </c>
      <c r="E461" s="5">
        <v>1216</v>
      </c>
      <c r="F461" s="5">
        <v>0.14599999999999999</v>
      </c>
      <c r="G461" s="5">
        <v>795713771</v>
      </c>
      <c r="H461" s="5">
        <v>60935.478000000003</v>
      </c>
      <c r="I461" s="5">
        <v>89.951999999999998</v>
      </c>
      <c r="J461" s="5">
        <v>65162.572999999997</v>
      </c>
      <c r="K461" s="5">
        <v>65252.527000000002</v>
      </c>
      <c r="L461" s="6" t="s">
        <v>35</v>
      </c>
    </row>
    <row r="462" spans="1:12" ht="13" x14ac:dyDescent="0.15">
      <c r="A462" s="5">
        <v>4</v>
      </c>
      <c r="B462" s="5">
        <v>2</v>
      </c>
      <c r="C462" s="5">
        <v>6</v>
      </c>
      <c r="D462" s="6" t="s">
        <v>24</v>
      </c>
      <c r="E462" s="5">
        <v>1259</v>
      </c>
      <c r="F462" s="5">
        <v>9.5000000000000001E-2</v>
      </c>
      <c r="G462" s="5">
        <v>818755950</v>
      </c>
      <c r="H462" s="5">
        <v>34490.076999999997</v>
      </c>
      <c r="I462" s="5">
        <v>90.019000000000005</v>
      </c>
      <c r="J462" s="5">
        <v>39176.362999999998</v>
      </c>
      <c r="K462" s="5">
        <v>39266.381999999998</v>
      </c>
      <c r="L462" s="6" t="s">
        <v>35</v>
      </c>
    </row>
    <row r="463" spans="1:12" ht="13" x14ac:dyDescent="0.15">
      <c r="A463" s="5">
        <v>5</v>
      </c>
      <c r="B463" s="5">
        <v>1</v>
      </c>
      <c r="C463" s="5">
        <v>1</v>
      </c>
      <c r="D463" s="6" t="s">
        <v>24</v>
      </c>
      <c r="E463" s="5">
        <v>1378</v>
      </c>
      <c r="F463" s="5">
        <v>0.111</v>
      </c>
      <c r="G463" s="5">
        <v>737419802</v>
      </c>
      <c r="H463" s="5">
        <v>32585.690999999999</v>
      </c>
      <c r="I463" s="5">
        <v>89.989000000000004</v>
      </c>
      <c r="J463" s="5">
        <v>36882.235999999997</v>
      </c>
      <c r="K463" s="5">
        <v>36972.224999999999</v>
      </c>
      <c r="L463" s="6" t="s">
        <v>35</v>
      </c>
    </row>
    <row r="464" spans="1:12" ht="13" x14ac:dyDescent="0.15">
      <c r="A464" s="5">
        <v>5</v>
      </c>
      <c r="B464" s="5">
        <v>1</v>
      </c>
      <c r="C464" s="5">
        <v>2</v>
      </c>
      <c r="D464" s="6" t="s">
        <v>24</v>
      </c>
      <c r="E464" s="5">
        <v>1004</v>
      </c>
      <c r="F464" s="5">
        <v>6.3E-2</v>
      </c>
      <c r="G464" s="5">
        <v>674212526</v>
      </c>
      <c r="H464" s="5">
        <v>20611.972000000002</v>
      </c>
      <c r="I464" s="5">
        <v>86.882000000000005</v>
      </c>
      <c r="J464" s="5">
        <v>24375.969000000001</v>
      </c>
      <c r="K464" s="5">
        <v>24462.852999999999</v>
      </c>
      <c r="L464" s="6" t="s">
        <v>35</v>
      </c>
    </row>
    <row r="465" spans="1:26" ht="13" x14ac:dyDescent="0.15">
      <c r="A465" s="5">
        <v>5</v>
      </c>
      <c r="B465" s="5">
        <v>1</v>
      </c>
      <c r="C465" s="5">
        <v>3</v>
      </c>
      <c r="D465" s="6" t="s">
        <v>24</v>
      </c>
      <c r="E465" s="5">
        <v>1779</v>
      </c>
      <c r="F465" s="5">
        <v>0.14199999999999999</v>
      </c>
      <c r="G465" s="5">
        <v>823019015</v>
      </c>
      <c r="H465" s="5">
        <v>28558.777999999998</v>
      </c>
      <c r="I465" s="5">
        <v>91.266999999999996</v>
      </c>
      <c r="J465" s="5">
        <v>33511.915000000001</v>
      </c>
      <c r="K465" s="5">
        <v>33603.182000000001</v>
      </c>
      <c r="L465" s="6" t="s">
        <v>35</v>
      </c>
    </row>
    <row r="466" spans="1:26" ht="13" x14ac:dyDescent="0.15">
      <c r="A466" s="5">
        <v>5</v>
      </c>
      <c r="B466" s="5">
        <v>1</v>
      </c>
      <c r="C466" s="5">
        <v>4</v>
      </c>
      <c r="D466" s="6" t="s">
        <v>24</v>
      </c>
      <c r="E466" s="5">
        <v>1380</v>
      </c>
      <c r="F466" s="5">
        <v>0.11600000000000001</v>
      </c>
      <c r="G466" s="5">
        <v>776734419</v>
      </c>
      <c r="H466" s="5">
        <v>34796.841999999997</v>
      </c>
      <c r="I466" s="5">
        <v>89.963999999999999</v>
      </c>
      <c r="J466" s="5">
        <v>39300.048000000003</v>
      </c>
      <c r="K466" s="5">
        <v>39390.027999999998</v>
      </c>
      <c r="L466" s="6" t="s">
        <v>35</v>
      </c>
    </row>
    <row r="467" spans="1:26" ht="13" x14ac:dyDescent="0.15">
      <c r="A467" s="5">
        <v>5</v>
      </c>
      <c r="B467" s="5">
        <v>1</v>
      </c>
      <c r="C467" s="5">
        <v>5</v>
      </c>
      <c r="D467" s="6" t="s">
        <v>24</v>
      </c>
      <c r="E467" s="5">
        <v>1216</v>
      </c>
      <c r="F467" s="5">
        <v>0.125</v>
      </c>
      <c r="G467" s="5">
        <v>755741062</v>
      </c>
      <c r="H467" s="5">
        <v>53765.142</v>
      </c>
      <c r="I467" s="5">
        <v>90.478999999999999</v>
      </c>
      <c r="J467" s="5">
        <v>58165.673999999999</v>
      </c>
      <c r="K467" s="5">
        <v>58256.154999999999</v>
      </c>
      <c r="L467" s="6" t="s">
        <v>35</v>
      </c>
    </row>
    <row r="468" spans="1:26" ht="13" x14ac:dyDescent="0.15">
      <c r="A468" s="5">
        <v>5</v>
      </c>
      <c r="B468" s="5">
        <v>1</v>
      </c>
      <c r="C468" s="5">
        <v>6</v>
      </c>
      <c r="D468" s="6" t="s">
        <v>24</v>
      </c>
      <c r="E468" s="5">
        <v>1259</v>
      </c>
      <c r="F468" s="5">
        <v>9.1999999999999998E-2</v>
      </c>
      <c r="G468" s="5">
        <v>764154026</v>
      </c>
      <c r="H468" s="5">
        <v>30562.862000000001</v>
      </c>
      <c r="I468" s="5">
        <v>91.135999999999996</v>
      </c>
      <c r="J468" s="5">
        <v>34989.959000000003</v>
      </c>
      <c r="K468" s="5">
        <v>35081.095999999998</v>
      </c>
      <c r="L468" s="6" t="s">
        <v>35</v>
      </c>
    </row>
    <row r="469" spans="1:26" ht="13" x14ac:dyDescent="0.15">
      <c r="A469" s="5">
        <v>5</v>
      </c>
      <c r="B469" s="5">
        <v>1</v>
      </c>
      <c r="C469" s="5">
        <v>7</v>
      </c>
      <c r="D469" s="6" t="s">
        <v>24</v>
      </c>
      <c r="E469" s="5">
        <v>1407</v>
      </c>
      <c r="F469" s="5">
        <v>0.13800000000000001</v>
      </c>
      <c r="G469" s="5">
        <v>780171684</v>
      </c>
      <c r="H469" s="5">
        <v>56310.569000000003</v>
      </c>
      <c r="I469" s="5">
        <v>89.143000000000001</v>
      </c>
      <c r="J469" s="5">
        <v>60715.33</v>
      </c>
      <c r="K469" s="5">
        <v>60804.472999999998</v>
      </c>
      <c r="L469" s="6" t="s">
        <v>35</v>
      </c>
    </row>
    <row r="470" spans="1:26" ht="13" x14ac:dyDescent="0.15">
      <c r="A470" s="2">
        <v>1</v>
      </c>
      <c r="B470" s="2">
        <v>1</v>
      </c>
      <c r="C470" s="2">
        <v>9</v>
      </c>
      <c r="D470" s="2" t="s">
        <v>13</v>
      </c>
      <c r="E470" s="2">
        <v>27</v>
      </c>
      <c r="F470" s="2">
        <v>7.0000000000000001E-3</v>
      </c>
      <c r="G470" s="2">
        <v>8608</v>
      </c>
      <c r="H470" s="2">
        <v>0.42699999999999999</v>
      </c>
      <c r="I470" s="2">
        <v>0.435</v>
      </c>
      <c r="J470" s="2">
        <v>0.45600000000000002</v>
      </c>
      <c r="K470" s="2">
        <v>0.89100000000000001</v>
      </c>
      <c r="L470" s="2" t="s">
        <v>41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>
        <v>1</v>
      </c>
      <c r="B471" s="2">
        <v>1</v>
      </c>
      <c r="C471" s="2">
        <v>11</v>
      </c>
      <c r="D471" s="2" t="s">
        <v>15</v>
      </c>
      <c r="E471" s="2">
        <v>18</v>
      </c>
      <c r="F471" s="2">
        <v>1E-3</v>
      </c>
      <c r="G471" s="2">
        <v>7491</v>
      </c>
      <c r="H471" s="2">
        <v>0.44800000000000001</v>
      </c>
      <c r="I471" s="2">
        <v>0.40699999999999997</v>
      </c>
      <c r="J471" s="2">
        <v>0.47399999999999998</v>
      </c>
      <c r="K471" s="2">
        <v>0.88100000000000001</v>
      </c>
      <c r="L471" s="2" t="s">
        <v>41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>
        <v>1</v>
      </c>
      <c r="B472" s="2">
        <v>2</v>
      </c>
      <c r="C472" s="2">
        <v>9</v>
      </c>
      <c r="D472" s="2" t="s">
        <v>16</v>
      </c>
      <c r="E472" s="2">
        <v>119</v>
      </c>
      <c r="F472" s="2">
        <v>8.0000000000000002E-3</v>
      </c>
      <c r="G472" s="2">
        <v>441938</v>
      </c>
      <c r="H472" s="2">
        <v>29.486000000000001</v>
      </c>
      <c r="I472" s="2">
        <v>2.948</v>
      </c>
      <c r="J472" s="2">
        <v>31.422999999999998</v>
      </c>
      <c r="K472" s="2">
        <v>34.371000000000002</v>
      </c>
      <c r="L472" s="2" t="s">
        <v>41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>
        <v>1</v>
      </c>
      <c r="B473" s="2">
        <v>2</v>
      </c>
      <c r="C473" s="2">
        <v>10</v>
      </c>
      <c r="D473" s="2" t="s">
        <v>17</v>
      </c>
      <c r="E473" s="2">
        <v>131</v>
      </c>
      <c r="F473" s="2">
        <v>5.0000000000000001E-3</v>
      </c>
      <c r="G473" s="2">
        <v>387828</v>
      </c>
      <c r="H473" s="2">
        <v>13.835000000000001</v>
      </c>
      <c r="I473" s="2">
        <v>3.0019999999999998</v>
      </c>
      <c r="J473" s="2">
        <v>15.816000000000001</v>
      </c>
      <c r="K473" s="2">
        <v>18.817</v>
      </c>
      <c r="L473" s="2" t="s">
        <v>41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>
        <v>1</v>
      </c>
      <c r="B474" s="2">
        <v>2</v>
      </c>
      <c r="C474" s="2">
        <v>11</v>
      </c>
      <c r="D474" s="2" t="s">
        <v>18</v>
      </c>
      <c r="E474" s="2">
        <v>101</v>
      </c>
      <c r="F474" s="2">
        <v>8.9999999999999993E-3</v>
      </c>
      <c r="G474" s="2">
        <v>363782</v>
      </c>
      <c r="H474" s="2">
        <v>28.283999999999999</v>
      </c>
      <c r="I474" s="2">
        <v>2.8690000000000002</v>
      </c>
      <c r="J474" s="2">
        <v>30.277000000000001</v>
      </c>
      <c r="K474" s="2">
        <v>33.146000000000001</v>
      </c>
      <c r="L474" s="2" t="s">
        <v>41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>
        <v>1</v>
      </c>
      <c r="B475" s="2">
        <v>3</v>
      </c>
      <c r="C475" s="2">
        <v>4</v>
      </c>
      <c r="D475" s="2" t="s">
        <v>19</v>
      </c>
      <c r="E475" s="2">
        <v>314</v>
      </c>
      <c r="F475" s="2">
        <v>3.1E-2</v>
      </c>
      <c r="G475" s="2">
        <v>3852435</v>
      </c>
      <c r="H475" s="2">
        <v>358.10199999999998</v>
      </c>
      <c r="I475" s="2">
        <v>11.436999999999999</v>
      </c>
      <c r="J475" s="2">
        <v>373.78899999999999</v>
      </c>
      <c r="K475" s="2">
        <v>385.226</v>
      </c>
      <c r="L475" s="2" t="s">
        <v>41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>
        <v>1</v>
      </c>
      <c r="B476" s="2">
        <v>3</v>
      </c>
      <c r="C476" s="2">
        <v>9</v>
      </c>
      <c r="D476" s="2" t="s">
        <v>16</v>
      </c>
      <c r="E476" s="2">
        <v>379</v>
      </c>
      <c r="F476" s="2">
        <v>2.7E-2</v>
      </c>
      <c r="G476" s="2">
        <v>5975533</v>
      </c>
      <c r="H476" s="2">
        <v>426.92899999999997</v>
      </c>
      <c r="I476" s="2">
        <v>11.276</v>
      </c>
      <c r="J476" s="2">
        <v>455.18</v>
      </c>
      <c r="K476" s="2">
        <v>466.45600000000002</v>
      </c>
      <c r="L476" s="2" t="s">
        <v>41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>
        <v>1</v>
      </c>
      <c r="B477" s="2">
        <v>3</v>
      </c>
      <c r="C477" s="2">
        <v>10</v>
      </c>
      <c r="D477" s="2" t="s">
        <v>20</v>
      </c>
      <c r="E477" s="2">
        <v>358</v>
      </c>
      <c r="F477" s="2">
        <v>1.2999999999999999E-2</v>
      </c>
      <c r="G477" s="2">
        <v>4695511</v>
      </c>
      <c r="H477" s="2">
        <v>156.387</v>
      </c>
      <c r="I477" s="2">
        <v>11.395</v>
      </c>
      <c r="J477" s="2">
        <v>177.1</v>
      </c>
      <c r="K477" s="2">
        <v>188.495</v>
      </c>
      <c r="L477" s="2" t="s">
        <v>41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>
        <v>1</v>
      </c>
      <c r="B478" s="2">
        <v>3</v>
      </c>
      <c r="C478" s="2">
        <v>11</v>
      </c>
      <c r="D478" s="2" t="s">
        <v>18</v>
      </c>
      <c r="E478" s="2">
        <v>290</v>
      </c>
      <c r="F478" s="2">
        <v>2.3E-2</v>
      </c>
      <c r="G478" s="2">
        <v>4395777</v>
      </c>
      <c r="H478" s="2">
        <v>294.82499999999999</v>
      </c>
      <c r="I478" s="2">
        <v>11.599</v>
      </c>
      <c r="J478" s="2">
        <v>312.95299999999997</v>
      </c>
      <c r="K478" s="2">
        <v>324.553</v>
      </c>
      <c r="L478" s="2" t="s">
        <v>41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>
        <v>1</v>
      </c>
      <c r="B479" s="2">
        <v>4</v>
      </c>
      <c r="C479" s="2">
        <v>4</v>
      </c>
      <c r="D479" s="2" t="s">
        <v>19</v>
      </c>
      <c r="E479" s="2">
        <v>678</v>
      </c>
      <c r="F479" s="2">
        <v>0.09</v>
      </c>
      <c r="G479" s="2">
        <v>22800145</v>
      </c>
      <c r="H479" s="2">
        <v>1798.961</v>
      </c>
      <c r="I479" s="2">
        <v>31.669</v>
      </c>
      <c r="J479" s="2">
        <v>1887.288</v>
      </c>
      <c r="K479" s="2">
        <v>1918.9590000000001</v>
      </c>
      <c r="L479" s="2" t="s">
        <v>41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>
        <v>1</v>
      </c>
      <c r="B480" s="2">
        <v>4</v>
      </c>
      <c r="C480" s="2">
        <v>9</v>
      </c>
      <c r="D480" s="2" t="s">
        <v>16</v>
      </c>
      <c r="E480" s="2">
        <v>761</v>
      </c>
      <c r="F480" s="2">
        <v>0.112</v>
      </c>
      <c r="G480" s="2">
        <v>27946921</v>
      </c>
      <c r="H480" s="2">
        <v>1822.8679999999999</v>
      </c>
      <c r="I480" s="2">
        <v>29.605</v>
      </c>
      <c r="J480" s="2">
        <v>1942.752</v>
      </c>
      <c r="K480" s="2">
        <v>1972.38</v>
      </c>
      <c r="L480" s="2" t="s">
        <v>41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>
        <v>1</v>
      </c>
      <c r="B481" s="2">
        <v>4</v>
      </c>
      <c r="C481" s="2">
        <v>10</v>
      </c>
      <c r="D481" s="2" t="s">
        <v>20</v>
      </c>
      <c r="E481" s="2">
        <v>814</v>
      </c>
      <c r="F481" s="2">
        <v>0.11899999999999999</v>
      </c>
      <c r="G481" s="2">
        <v>30298055</v>
      </c>
      <c r="H481" s="2">
        <v>1142.4079999999999</v>
      </c>
      <c r="I481" s="2">
        <v>31.934000000000001</v>
      </c>
      <c r="J481" s="2">
        <v>1259.943</v>
      </c>
      <c r="K481" s="2">
        <v>1291.9010000000001</v>
      </c>
      <c r="L481" s="2" t="s">
        <v>41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>
        <v>1</v>
      </c>
      <c r="B482" s="2">
        <v>4</v>
      </c>
      <c r="C482" s="2">
        <v>11</v>
      </c>
      <c r="D482" s="2" t="s">
        <v>18</v>
      </c>
      <c r="E482" s="2">
        <v>746</v>
      </c>
      <c r="F482" s="2">
        <v>9.5000000000000001E-2</v>
      </c>
      <c r="G482" s="2">
        <v>30826429</v>
      </c>
      <c r="H482" s="2">
        <v>1999.5060000000001</v>
      </c>
      <c r="I482" s="2">
        <v>31.15</v>
      </c>
      <c r="J482" s="2">
        <v>2139.2139999999999</v>
      </c>
      <c r="K482" s="2">
        <v>2170.3670000000002</v>
      </c>
      <c r="L482" s="2" t="s">
        <v>41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>
        <v>1</v>
      </c>
      <c r="B483" s="2">
        <v>4</v>
      </c>
      <c r="C483" s="2">
        <v>17</v>
      </c>
      <c r="D483" s="2" t="s">
        <v>21</v>
      </c>
      <c r="E483" s="2">
        <v>661</v>
      </c>
      <c r="F483" s="2">
        <v>8.5000000000000006E-2</v>
      </c>
      <c r="G483" s="2">
        <v>24228749</v>
      </c>
      <c r="H483" s="2">
        <v>1389.5319999999999</v>
      </c>
      <c r="I483" s="2">
        <v>30.402999999999999</v>
      </c>
      <c r="J483" s="2">
        <v>1511.4269999999999</v>
      </c>
      <c r="K483" s="2">
        <v>1541.8320000000001</v>
      </c>
      <c r="L483" s="2" t="s">
        <v>41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>
        <v>1</v>
      </c>
      <c r="B484" s="2">
        <v>4</v>
      </c>
      <c r="C484" s="2">
        <v>19</v>
      </c>
      <c r="D484" s="2" t="s">
        <v>22</v>
      </c>
      <c r="E484" s="2">
        <v>702</v>
      </c>
      <c r="F484" s="2">
        <v>0.11</v>
      </c>
      <c r="G484" s="2">
        <v>23525742</v>
      </c>
      <c r="H484" s="2">
        <v>621.59100000000001</v>
      </c>
      <c r="I484" s="2">
        <v>32.146000000000001</v>
      </c>
      <c r="J484" s="2">
        <v>711.64099999999996</v>
      </c>
      <c r="K484" s="2">
        <v>743.81899999999996</v>
      </c>
      <c r="L484" s="2" t="s">
        <v>41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3">
        <v>1</v>
      </c>
      <c r="B485" s="3">
        <v>5</v>
      </c>
      <c r="C485" s="3">
        <v>4</v>
      </c>
      <c r="D485" s="4" t="s">
        <v>23</v>
      </c>
      <c r="E485" s="3">
        <v>1380</v>
      </c>
      <c r="F485" s="3">
        <v>0.187</v>
      </c>
      <c r="G485" s="3">
        <v>105004875</v>
      </c>
      <c r="H485" s="3">
        <v>7424.83</v>
      </c>
      <c r="I485" s="3">
        <v>66.203000000000003</v>
      </c>
      <c r="J485" s="3">
        <v>7889.3050000000003</v>
      </c>
      <c r="K485" s="3">
        <v>7955.5219999999999</v>
      </c>
      <c r="L485" s="4" t="s">
        <v>41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1">
        <v>1</v>
      </c>
      <c r="B486" s="1">
        <v>1</v>
      </c>
      <c r="C486" s="1">
        <v>1</v>
      </c>
      <c r="D486" s="1" t="s">
        <v>24</v>
      </c>
      <c r="E486" s="1">
        <v>16</v>
      </c>
      <c r="F486" s="1">
        <v>0</v>
      </c>
      <c r="G486" s="1">
        <v>6507</v>
      </c>
      <c r="H486" s="1">
        <v>8.4000000000000005E-2</v>
      </c>
      <c r="I486" s="1">
        <v>0.47299999999999998</v>
      </c>
      <c r="J486" s="1">
        <v>0.104</v>
      </c>
      <c r="K486" s="1">
        <v>0.57699999999999996</v>
      </c>
      <c r="L486" s="1" t="s">
        <v>41</v>
      </c>
    </row>
    <row r="487" spans="1:26" ht="13" x14ac:dyDescent="0.15">
      <c r="A487" s="1">
        <v>1</v>
      </c>
      <c r="B487" s="1">
        <v>1</v>
      </c>
      <c r="C487" s="1">
        <v>2</v>
      </c>
      <c r="D487" s="1" t="s">
        <v>24</v>
      </c>
      <c r="E487" s="1">
        <v>20</v>
      </c>
      <c r="F487" s="1">
        <v>0</v>
      </c>
      <c r="G487" s="1">
        <v>7053</v>
      </c>
      <c r="H487" s="1">
        <v>0.114</v>
      </c>
      <c r="I487" s="1">
        <v>0.46300000000000002</v>
      </c>
      <c r="J487" s="1">
        <v>0.13300000000000001</v>
      </c>
      <c r="K487" s="1">
        <v>0.59599999999999997</v>
      </c>
      <c r="L487" s="1" t="s">
        <v>41</v>
      </c>
    </row>
    <row r="488" spans="1:26" ht="13" x14ac:dyDescent="0.15">
      <c r="A488" s="1">
        <v>1</v>
      </c>
      <c r="B488" s="1">
        <v>1</v>
      </c>
      <c r="C488" s="1">
        <v>3</v>
      </c>
      <c r="D488" s="1" t="s">
        <v>24</v>
      </c>
      <c r="E488" s="1">
        <v>27</v>
      </c>
      <c r="F488" s="1">
        <v>1E-3</v>
      </c>
      <c r="G488" s="1">
        <v>8905</v>
      </c>
      <c r="H488" s="1">
        <v>0.251</v>
      </c>
      <c r="I488" s="1">
        <v>0.45400000000000001</v>
      </c>
      <c r="J488" s="1">
        <v>0.28100000000000003</v>
      </c>
      <c r="K488" s="1">
        <v>0.73499999999999999</v>
      </c>
      <c r="L488" s="1" t="s">
        <v>41</v>
      </c>
    </row>
    <row r="489" spans="1:26" ht="13" x14ac:dyDescent="0.15">
      <c r="A489" s="1">
        <v>1</v>
      </c>
      <c r="B489" s="1">
        <v>1</v>
      </c>
      <c r="C489" s="1">
        <v>4</v>
      </c>
      <c r="D489" s="1" t="s">
        <v>24</v>
      </c>
      <c r="E489" s="1">
        <v>21</v>
      </c>
      <c r="F489" s="1">
        <v>1E-3</v>
      </c>
      <c r="G489" s="1">
        <v>7704</v>
      </c>
      <c r="H489" s="1">
        <v>0.24399999999999999</v>
      </c>
      <c r="I489" s="1">
        <v>0.44400000000000001</v>
      </c>
      <c r="J489" s="1">
        <v>0.28599999999999998</v>
      </c>
      <c r="K489" s="1">
        <v>0.73</v>
      </c>
      <c r="L489" s="1" t="s">
        <v>41</v>
      </c>
    </row>
    <row r="490" spans="1:26" ht="13" x14ac:dyDescent="0.15">
      <c r="A490" s="1">
        <v>1</v>
      </c>
      <c r="B490" s="1">
        <v>1</v>
      </c>
      <c r="C490" s="1">
        <v>5</v>
      </c>
      <c r="D490" s="1" t="s">
        <v>24</v>
      </c>
      <c r="E490" s="1">
        <v>18</v>
      </c>
      <c r="F490" s="1">
        <v>0</v>
      </c>
      <c r="G490" s="1">
        <v>2156</v>
      </c>
      <c r="H490" s="1">
        <v>2.5999999999999999E-2</v>
      </c>
      <c r="I490" s="1">
        <v>0.56100000000000005</v>
      </c>
      <c r="J490" s="1">
        <v>3.2000000000000001E-2</v>
      </c>
      <c r="K490" s="1">
        <v>0.59199999999999997</v>
      </c>
      <c r="L490" s="1" t="s">
        <v>41</v>
      </c>
    </row>
    <row r="491" spans="1:26" ht="13" x14ac:dyDescent="0.15">
      <c r="A491" s="1">
        <v>1</v>
      </c>
      <c r="B491" s="1">
        <v>1</v>
      </c>
      <c r="C491" s="1">
        <v>6</v>
      </c>
      <c r="D491" s="1" t="s">
        <v>24</v>
      </c>
      <c r="E491" s="1">
        <v>15</v>
      </c>
      <c r="F491" s="1">
        <v>0</v>
      </c>
      <c r="G491" s="1">
        <v>4228</v>
      </c>
      <c r="H491" s="1">
        <v>4.5999999999999999E-2</v>
      </c>
      <c r="I491" s="1">
        <v>0.40899999999999997</v>
      </c>
      <c r="J491" s="1">
        <v>0.06</v>
      </c>
      <c r="K491" s="1">
        <v>0.46899999999999997</v>
      </c>
      <c r="L491" s="1" t="s">
        <v>41</v>
      </c>
    </row>
    <row r="492" spans="1:26" ht="13" x14ac:dyDescent="0.15">
      <c r="A492" s="1">
        <v>1</v>
      </c>
      <c r="B492" s="1">
        <v>1</v>
      </c>
      <c r="C492" s="1">
        <v>7</v>
      </c>
      <c r="D492" s="1" t="s">
        <v>24</v>
      </c>
      <c r="E492" s="1">
        <v>16</v>
      </c>
      <c r="F492" s="1">
        <v>0</v>
      </c>
      <c r="G492" s="1">
        <v>5063</v>
      </c>
      <c r="H492" s="1">
        <v>6.8000000000000005E-2</v>
      </c>
      <c r="I492" s="1">
        <v>0.47099999999999997</v>
      </c>
      <c r="J492" s="1">
        <v>8.5000000000000006E-2</v>
      </c>
      <c r="K492" s="1">
        <v>0.55500000000000005</v>
      </c>
      <c r="L492" s="1" t="s">
        <v>41</v>
      </c>
    </row>
    <row r="493" spans="1:26" ht="13" x14ac:dyDescent="0.15">
      <c r="A493" s="1">
        <v>1</v>
      </c>
      <c r="B493" s="1">
        <v>1</v>
      </c>
      <c r="C493" s="1">
        <v>8</v>
      </c>
      <c r="D493" s="1" t="s">
        <v>24</v>
      </c>
      <c r="E493" s="1">
        <v>24</v>
      </c>
      <c r="F493" s="1">
        <v>1E-3</v>
      </c>
      <c r="G493" s="1">
        <v>8072</v>
      </c>
      <c r="H493" s="1">
        <v>0.28399999999999997</v>
      </c>
      <c r="I493" s="1">
        <v>0.44</v>
      </c>
      <c r="J493" s="1">
        <v>0.32700000000000001</v>
      </c>
      <c r="K493" s="1">
        <v>0.76800000000000002</v>
      </c>
      <c r="L493" s="1" t="s">
        <v>41</v>
      </c>
    </row>
    <row r="494" spans="1:26" ht="13" x14ac:dyDescent="0.15">
      <c r="A494" s="1">
        <v>1</v>
      </c>
      <c r="B494" s="1">
        <v>1</v>
      </c>
      <c r="C494" s="1">
        <v>10</v>
      </c>
      <c r="D494" s="1" t="s">
        <v>24</v>
      </c>
      <c r="E494" s="1">
        <v>21</v>
      </c>
      <c r="F494" s="1">
        <v>1E-3</v>
      </c>
      <c r="G494" s="1">
        <v>7957</v>
      </c>
      <c r="H494" s="1">
        <v>0.121</v>
      </c>
      <c r="I494" s="1">
        <v>0.434</v>
      </c>
      <c r="J494" s="1">
        <v>0.16200000000000001</v>
      </c>
      <c r="K494" s="1">
        <v>0.59599999999999997</v>
      </c>
      <c r="L494" s="1" t="s">
        <v>41</v>
      </c>
    </row>
    <row r="495" spans="1:26" ht="13" x14ac:dyDescent="0.15">
      <c r="A495" s="1">
        <v>1</v>
      </c>
      <c r="B495" s="1">
        <v>1</v>
      </c>
      <c r="C495" s="1">
        <v>12</v>
      </c>
      <c r="D495" s="1" t="s">
        <v>24</v>
      </c>
      <c r="E495" s="1">
        <v>19</v>
      </c>
      <c r="F495" s="1">
        <v>0</v>
      </c>
      <c r="G495" s="1">
        <v>5489</v>
      </c>
      <c r="H495" s="1">
        <v>6.3E-2</v>
      </c>
      <c r="I495" s="1">
        <v>0.443</v>
      </c>
      <c r="J495" s="1">
        <v>8.4000000000000005E-2</v>
      </c>
      <c r="K495" s="1">
        <v>0.52600000000000002</v>
      </c>
      <c r="L495" s="1" t="s">
        <v>41</v>
      </c>
    </row>
    <row r="496" spans="1:26" ht="13" x14ac:dyDescent="0.15">
      <c r="A496" s="1">
        <v>1</v>
      </c>
      <c r="B496" s="1">
        <v>1</v>
      </c>
      <c r="C496" s="1">
        <v>13</v>
      </c>
      <c r="D496" s="1" t="s">
        <v>24</v>
      </c>
      <c r="E496" s="1">
        <v>15</v>
      </c>
      <c r="F496" s="1">
        <v>0</v>
      </c>
      <c r="G496" s="1">
        <v>4695</v>
      </c>
      <c r="H496" s="1">
        <v>6.0999999999999999E-2</v>
      </c>
      <c r="I496" s="1">
        <v>0.438</v>
      </c>
      <c r="J496" s="1">
        <v>9.1999999999999998E-2</v>
      </c>
      <c r="K496" s="1">
        <v>0.53</v>
      </c>
      <c r="L496" s="1" t="s">
        <v>41</v>
      </c>
    </row>
    <row r="497" spans="1:12" ht="13" x14ac:dyDescent="0.15">
      <c r="A497" s="1">
        <v>1</v>
      </c>
      <c r="B497" s="1">
        <v>1</v>
      </c>
      <c r="C497" s="1">
        <v>14</v>
      </c>
      <c r="D497" s="1" t="s">
        <v>24</v>
      </c>
      <c r="E497" s="1">
        <v>15</v>
      </c>
      <c r="F497" s="1">
        <v>0</v>
      </c>
      <c r="G497" s="1">
        <v>5022</v>
      </c>
      <c r="H497" s="1">
        <v>6.5000000000000002E-2</v>
      </c>
      <c r="I497" s="1">
        <v>0.42599999999999999</v>
      </c>
      <c r="J497" s="1">
        <v>9.8000000000000004E-2</v>
      </c>
      <c r="K497" s="1">
        <v>0.52300000000000002</v>
      </c>
      <c r="L497" s="1" t="s">
        <v>41</v>
      </c>
    </row>
    <row r="498" spans="1:12" ht="13" x14ac:dyDescent="0.15">
      <c r="A498" s="1">
        <v>1</v>
      </c>
      <c r="B498" s="1">
        <v>1</v>
      </c>
      <c r="C498" s="1">
        <v>15</v>
      </c>
      <c r="D498" s="1" t="s">
        <v>24</v>
      </c>
      <c r="E498" s="1">
        <v>15</v>
      </c>
      <c r="F498" s="1">
        <v>0</v>
      </c>
      <c r="G498" s="1">
        <v>3652</v>
      </c>
      <c r="H498" s="1">
        <v>0.03</v>
      </c>
      <c r="I498" s="1">
        <v>0.42099999999999999</v>
      </c>
      <c r="J498" s="1">
        <v>4.4999999999999998E-2</v>
      </c>
      <c r="K498" s="1">
        <v>0.46600000000000003</v>
      </c>
      <c r="L498" s="1" t="s">
        <v>41</v>
      </c>
    </row>
    <row r="499" spans="1:12" ht="13" x14ac:dyDescent="0.15">
      <c r="A499" s="1">
        <v>1</v>
      </c>
      <c r="B499" s="1">
        <v>1</v>
      </c>
      <c r="C499" s="1">
        <v>16</v>
      </c>
      <c r="D499" s="1" t="s">
        <v>24</v>
      </c>
      <c r="E499" s="1">
        <v>21</v>
      </c>
      <c r="F499" s="1">
        <v>1E-3</v>
      </c>
      <c r="G499" s="1">
        <v>8293</v>
      </c>
      <c r="H499" s="1">
        <v>0.433</v>
      </c>
      <c r="I499" s="1">
        <v>0.438</v>
      </c>
      <c r="J499" s="1">
        <v>0.46400000000000002</v>
      </c>
      <c r="K499" s="1">
        <v>0.90200000000000002</v>
      </c>
      <c r="L499" s="1" t="s">
        <v>41</v>
      </c>
    </row>
    <row r="500" spans="1:12" ht="13" x14ac:dyDescent="0.15">
      <c r="A500" s="1">
        <v>1</v>
      </c>
      <c r="B500" s="1">
        <v>1</v>
      </c>
      <c r="C500" s="1">
        <v>17</v>
      </c>
      <c r="D500" s="1" t="s">
        <v>24</v>
      </c>
      <c r="E500" s="1">
        <v>15</v>
      </c>
      <c r="F500" s="1">
        <v>0</v>
      </c>
      <c r="G500" s="1">
        <v>5526</v>
      </c>
      <c r="H500" s="1">
        <v>6.6000000000000003E-2</v>
      </c>
      <c r="I500" s="1">
        <v>0.42799999999999999</v>
      </c>
      <c r="J500" s="1">
        <v>8.5000000000000006E-2</v>
      </c>
      <c r="K500" s="1">
        <v>0.51300000000000001</v>
      </c>
      <c r="L500" s="1" t="s">
        <v>41</v>
      </c>
    </row>
    <row r="501" spans="1:12" ht="13" x14ac:dyDescent="0.15">
      <c r="A501" s="1">
        <v>1</v>
      </c>
      <c r="B501" s="1">
        <v>1</v>
      </c>
      <c r="C501" s="1">
        <v>18</v>
      </c>
      <c r="D501" s="1" t="s">
        <v>24</v>
      </c>
      <c r="E501" s="1">
        <v>20</v>
      </c>
      <c r="F501" s="1">
        <v>0</v>
      </c>
      <c r="G501" s="1">
        <v>4397</v>
      </c>
      <c r="H501" s="1">
        <v>5.0999999999999997E-2</v>
      </c>
      <c r="I501" s="1">
        <v>0.53700000000000003</v>
      </c>
      <c r="J501" s="1">
        <v>6.3E-2</v>
      </c>
      <c r="K501" s="1">
        <v>0.60099999999999998</v>
      </c>
      <c r="L501" s="1" t="s">
        <v>41</v>
      </c>
    </row>
    <row r="502" spans="1:12" ht="13" x14ac:dyDescent="0.15">
      <c r="A502" s="1">
        <v>1</v>
      </c>
      <c r="B502" s="1">
        <v>1</v>
      </c>
      <c r="C502" s="1">
        <v>19</v>
      </c>
      <c r="D502" s="1" t="s">
        <v>24</v>
      </c>
      <c r="E502" s="1">
        <v>19</v>
      </c>
      <c r="F502" s="1">
        <v>0</v>
      </c>
      <c r="G502" s="1">
        <v>4204</v>
      </c>
      <c r="H502" s="1">
        <v>4.2999999999999997E-2</v>
      </c>
      <c r="I502" s="1">
        <v>0.46200000000000002</v>
      </c>
      <c r="J502" s="1">
        <v>5.8999999999999997E-2</v>
      </c>
      <c r="K502" s="1">
        <v>0.52100000000000002</v>
      </c>
      <c r="L502" s="1" t="s">
        <v>41</v>
      </c>
    </row>
    <row r="503" spans="1:12" ht="13" x14ac:dyDescent="0.15">
      <c r="A503" s="1">
        <v>1</v>
      </c>
      <c r="B503" s="1">
        <v>1</v>
      </c>
      <c r="C503" s="1">
        <v>20</v>
      </c>
      <c r="D503" s="1" t="s">
        <v>24</v>
      </c>
      <c r="E503" s="1">
        <v>16</v>
      </c>
      <c r="F503" s="1">
        <v>0</v>
      </c>
      <c r="G503" s="1">
        <v>4460</v>
      </c>
      <c r="H503" s="1">
        <v>0.06</v>
      </c>
      <c r="I503" s="1">
        <v>0.48199999999999998</v>
      </c>
      <c r="J503" s="1">
        <v>7.3999999999999996E-2</v>
      </c>
      <c r="K503" s="1">
        <v>0.55600000000000005</v>
      </c>
      <c r="L503" s="1" t="s">
        <v>41</v>
      </c>
    </row>
    <row r="504" spans="1:12" ht="13" x14ac:dyDescent="0.15">
      <c r="A504" s="1">
        <v>1</v>
      </c>
      <c r="B504" s="1">
        <v>2</v>
      </c>
      <c r="C504" s="1">
        <v>1</v>
      </c>
      <c r="D504" s="1" t="s">
        <v>24</v>
      </c>
      <c r="E504" s="1">
        <v>84</v>
      </c>
      <c r="F504" s="1">
        <v>2E-3</v>
      </c>
      <c r="G504" s="1">
        <v>286524</v>
      </c>
      <c r="H504" s="1">
        <v>6.0839999999999996</v>
      </c>
      <c r="I504" s="1">
        <v>3.2850000000000001</v>
      </c>
      <c r="J504" s="1">
        <v>7.1150000000000002</v>
      </c>
      <c r="K504" s="1">
        <v>10.401</v>
      </c>
      <c r="L504" s="1" t="s">
        <v>41</v>
      </c>
    </row>
    <row r="505" spans="1:12" ht="13" x14ac:dyDescent="0.15">
      <c r="A505" s="1">
        <v>1</v>
      </c>
      <c r="B505" s="1">
        <v>2</v>
      </c>
      <c r="C505" s="1">
        <v>2</v>
      </c>
      <c r="D505" s="1" t="s">
        <v>24</v>
      </c>
      <c r="E505" s="1">
        <v>93</v>
      </c>
      <c r="F505" s="1">
        <v>3.0000000000000001E-3</v>
      </c>
      <c r="G505" s="1">
        <v>123394</v>
      </c>
      <c r="H505" s="1">
        <v>2.8330000000000002</v>
      </c>
      <c r="I505" s="1">
        <v>3.3450000000000002</v>
      </c>
      <c r="J505" s="1">
        <v>3.306</v>
      </c>
      <c r="K505" s="1">
        <v>6.6509999999999998</v>
      </c>
      <c r="L505" s="1" t="s">
        <v>41</v>
      </c>
    </row>
    <row r="506" spans="1:12" ht="13" x14ac:dyDescent="0.15">
      <c r="A506" s="1">
        <v>1</v>
      </c>
      <c r="B506" s="1">
        <v>2</v>
      </c>
      <c r="C506" s="1">
        <v>3</v>
      </c>
      <c r="D506" s="1" t="s">
        <v>24</v>
      </c>
      <c r="E506" s="1">
        <v>130</v>
      </c>
      <c r="F506" s="1">
        <v>8.9999999999999993E-3</v>
      </c>
      <c r="G506" s="1">
        <v>433358</v>
      </c>
      <c r="H506" s="1">
        <v>34.805999999999997</v>
      </c>
      <c r="I506" s="1">
        <v>3.097</v>
      </c>
      <c r="J506" s="1">
        <v>36.652999999999999</v>
      </c>
      <c r="K506" s="1">
        <v>39.75</v>
      </c>
      <c r="L506" s="1" t="s">
        <v>41</v>
      </c>
    </row>
    <row r="507" spans="1:12" ht="13" x14ac:dyDescent="0.15">
      <c r="A507" s="1">
        <v>1</v>
      </c>
      <c r="B507" s="1">
        <v>2</v>
      </c>
      <c r="C507" s="1">
        <v>4</v>
      </c>
      <c r="D507" s="1" t="s">
        <v>24</v>
      </c>
      <c r="E507" s="1">
        <v>102</v>
      </c>
      <c r="F507" s="1">
        <v>4.0000000000000001E-3</v>
      </c>
      <c r="G507" s="1">
        <v>231263</v>
      </c>
      <c r="H507" s="1">
        <v>7.3550000000000004</v>
      </c>
      <c r="I507" s="1">
        <v>3.016</v>
      </c>
      <c r="J507" s="1">
        <v>8.3650000000000002</v>
      </c>
      <c r="K507" s="1">
        <v>11.382</v>
      </c>
      <c r="L507" s="1" t="s">
        <v>41</v>
      </c>
    </row>
    <row r="508" spans="1:12" ht="13" x14ac:dyDescent="0.15">
      <c r="A508" s="1">
        <v>1</v>
      </c>
      <c r="B508" s="1">
        <v>2</v>
      </c>
      <c r="C508" s="1">
        <v>5</v>
      </c>
      <c r="D508" s="1" t="s">
        <v>24</v>
      </c>
      <c r="E508" s="1">
        <v>63</v>
      </c>
      <c r="F508" s="1">
        <v>2E-3</v>
      </c>
      <c r="G508" s="1">
        <v>124067</v>
      </c>
      <c r="H508" s="1">
        <v>2.2669999999999999</v>
      </c>
      <c r="I508" s="1">
        <v>3.5649999999999999</v>
      </c>
      <c r="J508" s="1">
        <v>2.6440000000000001</v>
      </c>
      <c r="K508" s="1">
        <v>6.2080000000000002</v>
      </c>
      <c r="L508" s="1" t="s">
        <v>41</v>
      </c>
    </row>
    <row r="509" spans="1:12" ht="13" x14ac:dyDescent="0.15">
      <c r="A509" s="1">
        <v>1</v>
      </c>
      <c r="B509" s="1">
        <v>2</v>
      </c>
      <c r="C509" s="1">
        <v>6</v>
      </c>
      <c r="D509" s="1" t="s">
        <v>24</v>
      </c>
      <c r="E509" s="1">
        <v>74</v>
      </c>
      <c r="F509" s="1">
        <v>2E-3</v>
      </c>
      <c r="G509" s="1">
        <v>191347</v>
      </c>
      <c r="H509" s="1">
        <v>3.161</v>
      </c>
      <c r="I509" s="1">
        <v>3.3980000000000001</v>
      </c>
      <c r="J509" s="1">
        <v>3.8090000000000002</v>
      </c>
      <c r="K509" s="1">
        <v>7.2069999999999999</v>
      </c>
      <c r="L509" s="1" t="s">
        <v>41</v>
      </c>
    </row>
    <row r="510" spans="1:12" ht="13" x14ac:dyDescent="0.15">
      <c r="A510" s="1">
        <v>1</v>
      </c>
      <c r="B510" s="1">
        <v>2</v>
      </c>
      <c r="C510" s="1">
        <v>7</v>
      </c>
      <c r="D510" s="1" t="s">
        <v>24</v>
      </c>
      <c r="E510" s="1">
        <v>92</v>
      </c>
      <c r="F510" s="1">
        <v>3.0000000000000001E-3</v>
      </c>
      <c r="G510" s="1">
        <v>265455</v>
      </c>
      <c r="H510" s="1">
        <v>5.6989999999999998</v>
      </c>
      <c r="I510" s="1">
        <v>3.1259999999999999</v>
      </c>
      <c r="J510" s="1">
        <v>6.9429999999999996</v>
      </c>
      <c r="K510" s="1">
        <v>10.069000000000001</v>
      </c>
      <c r="L510" s="1" t="s">
        <v>41</v>
      </c>
    </row>
    <row r="511" spans="1:12" ht="13" x14ac:dyDescent="0.15">
      <c r="A511" s="1">
        <v>1</v>
      </c>
      <c r="B511" s="1">
        <v>2</v>
      </c>
      <c r="C511" s="1">
        <v>8</v>
      </c>
      <c r="D511" s="1" t="s">
        <v>24</v>
      </c>
      <c r="E511" s="1">
        <v>115</v>
      </c>
      <c r="F511" s="1">
        <v>5.0000000000000001E-3</v>
      </c>
      <c r="G511" s="1">
        <v>303654</v>
      </c>
      <c r="H511" s="1">
        <v>12.234999999999999</v>
      </c>
      <c r="I511" s="1">
        <v>3.2</v>
      </c>
      <c r="J511" s="1">
        <v>13.608000000000001</v>
      </c>
      <c r="K511" s="1">
        <v>16.806999999999999</v>
      </c>
      <c r="L511" s="1" t="s">
        <v>41</v>
      </c>
    </row>
    <row r="512" spans="1:12" ht="13" x14ac:dyDescent="0.15">
      <c r="A512" s="1">
        <v>1</v>
      </c>
      <c r="B512" s="1">
        <v>2</v>
      </c>
      <c r="C512" s="1">
        <v>12</v>
      </c>
      <c r="D512" s="1" t="s">
        <v>24</v>
      </c>
      <c r="E512" s="1">
        <v>107</v>
      </c>
      <c r="F512" s="1">
        <v>3.0000000000000001E-3</v>
      </c>
      <c r="G512" s="1">
        <v>293749</v>
      </c>
      <c r="H512" s="1">
        <v>6.3529999999999998</v>
      </c>
      <c r="I512" s="1">
        <v>2.9710000000000001</v>
      </c>
      <c r="J512" s="1">
        <v>7.5839999999999996</v>
      </c>
      <c r="K512" s="1">
        <v>10.555</v>
      </c>
      <c r="L512" s="1" t="s">
        <v>41</v>
      </c>
    </row>
    <row r="513" spans="1:12" ht="13" x14ac:dyDescent="0.15">
      <c r="A513" s="1">
        <v>1</v>
      </c>
      <c r="B513" s="1">
        <v>2</v>
      </c>
      <c r="C513" s="1">
        <v>13</v>
      </c>
      <c r="D513" s="1" t="s">
        <v>24</v>
      </c>
      <c r="E513" s="1">
        <v>64</v>
      </c>
      <c r="F513" s="1">
        <v>2E-3</v>
      </c>
      <c r="G513" s="1">
        <v>209604</v>
      </c>
      <c r="H513" s="1">
        <v>4.5049999999999999</v>
      </c>
      <c r="I513" s="1">
        <v>3.1150000000000002</v>
      </c>
      <c r="J513" s="1">
        <v>5.4850000000000003</v>
      </c>
      <c r="K513" s="1">
        <v>8.5990000000000002</v>
      </c>
      <c r="L513" s="1" t="s">
        <v>41</v>
      </c>
    </row>
    <row r="514" spans="1:12" ht="13" x14ac:dyDescent="0.15">
      <c r="A514" s="1">
        <v>1</v>
      </c>
      <c r="B514" s="1">
        <v>2</v>
      </c>
      <c r="C514" s="1">
        <v>14</v>
      </c>
      <c r="D514" s="1" t="s">
        <v>24</v>
      </c>
      <c r="E514" s="1">
        <v>81</v>
      </c>
      <c r="F514" s="1">
        <v>2E-3</v>
      </c>
      <c r="G514" s="1">
        <v>229123</v>
      </c>
      <c r="H514" s="1">
        <v>5.585</v>
      </c>
      <c r="I514" s="1">
        <v>3.081</v>
      </c>
      <c r="J514" s="1">
        <v>6.8460000000000001</v>
      </c>
      <c r="K514" s="1">
        <v>9.9269999999999996</v>
      </c>
      <c r="L514" s="1" t="s">
        <v>41</v>
      </c>
    </row>
    <row r="515" spans="1:12" ht="13" x14ac:dyDescent="0.15">
      <c r="A515" s="1">
        <v>1</v>
      </c>
      <c r="B515" s="1">
        <v>2</v>
      </c>
      <c r="C515" s="1">
        <v>15</v>
      </c>
      <c r="D515" s="1" t="s">
        <v>24</v>
      </c>
      <c r="E515" s="1">
        <v>83</v>
      </c>
      <c r="F515" s="1">
        <v>2E-3</v>
      </c>
      <c r="G515" s="1">
        <v>204732</v>
      </c>
      <c r="H515" s="1">
        <v>4.1959999999999997</v>
      </c>
      <c r="I515" s="1">
        <v>3.0649999999999999</v>
      </c>
      <c r="J515" s="1">
        <v>5.2460000000000004</v>
      </c>
      <c r="K515" s="1">
        <v>8.3109999999999999</v>
      </c>
      <c r="L515" s="1" t="s">
        <v>41</v>
      </c>
    </row>
    <row r="516" spans="1:12" ht="13" x14ac:dyDescent="0.15">
      <c r="A516" s="1">
        <v>1</v>
      </c>
      <c r="B516" s="1">
        <v>2</v>
      </c>
      <c r="C516" s="1">
        <v>16</v>
      </c>
      <c r="D516" s="1" t="s">
        <v>24</v>
      </c>
      <c r="E516" s="1">
        <v>95</v>
      </c>
      <c r="F516" s="1">
        <v>4.0000000000000001E-3</v>
      </c>
      <c r="G516" s="1">
        <v>275716</v>
      </c>
      <c r="H516" s="1">
        <v>11.603</v>
      </c>
      <c r="I516" s="1">
        <v>2.97</v>
      </c>
      <c r="J516" s="1">
        <v>12.872</v>
      </c>
      <c r="K516" s="1">
        <v>15.840999999999999</v>
      </c>
      <c r="L516" s="1" t="s">
        <v>41</v>
      </c>
    </row>
    <row r="517" spans="1:12" ht="13" x14ac:dyDescent="0.15">
      <c r="A517" s="1">
        <v>1</v>
      </c>
      <c r="B517" s="1">
        <v>2</v>
      </c>
      <c r="C517" s="1">
        <v>17</v>
      </c>
      <c r="D517" s="1" t="s">
        <v>24</v>
      </c>
      <c r="E517" s="1">
        <v>84</v>
      </c>
      <c r="F517" s="1">
        <v>3.0000000000000001E-3</v>
      </c>
      <c r="G517" s="1">
        <v>223359</v>
      </c>
      <c r="H517" s="1">
        <v>5.8540000000000001</v>
      </c>
      <c r="I517" s="1">
        <v>2.9279999999999999</v>
      </c>
      <c r="J517" s="1">
        <v>6.6840000000000002</v>
      </c>
      <c r="K517" s="1">
        <v>9.6110000000000007</v>
      </c>
      <c r="L517" s="1" t="s">
        <v>41</v>
      </c>
    </row>
    <row r="518" spans="1:12" ht="13" x14ac:dyDescent="0.15">
      <c r="A518" s="1">
        <v>1</v>
      </c>
      <c r="B518" s="1">
        <v>2</v>
      </c>
      <c r="C518" s="1">
        <v>18</v>
      </c>
      <c r="D518" s="1" t="s">
        <v>24</v>
      </c>
      <c r="E518" s="1">
        <v>84</v>
      </c>
      <c r="F518" s="1">
        <v>3.0000000000000001E-3</v>
      </c>
      <c r="G518" s="1">
        <v>238642</v>
      </c>
      <c r="H518" s="1">
        <v>6.2430000000000003</v>
      </c>
      <c r="I518" s="1">
        <v>3.54</v>
      </c>
      <c r="J518" s="1">
        <v>6.9740000000000002</v>
      </c>
      <c r="K518" s="1">
        <v>10.513999999999999</v>
      </c>
      <c r="L518" s="1" t="s">
        <v>41</v>
      </c>
    </row>
    <row r="519" spans="1:12" ht="13" x14ac:dyDescent="0.15">
      <c r="A519" s="1">
        <v>1</v>
      </c>
      <c r="B519" s="1">
        <v>2</v>
      </c>
      <c r="C519" s="1">
        <v>19</v>
      </c>
      <c r="D519" s="1" t="s">
        <v>24</v>
      </c>
      <c r="E519" s="1">
        <v>95</v>
      </c>
      <c r="F519" s="1">
        <v>3.0000000000000001E-3</v>
      </c>
      <c r="G519" s="1">
        <v>239790</v>
      </c>
      <c r="H519" s="1">
        <v>5.0620000000000003</v>
      </c>
      <c r="I519" s="1">
        <v>3.2959999999999998</v>
      </c>
      <c r="J519" s="1">
        <v>5.883</v>
      </c>
      <c r="K519" s="1">
        <v>9.1790000000000003</v>
      </c>
      <c r="L519" s="1" t="s">
        <v>41</v>
      </c>
    </row>
    <row r="520" spans="1:12" ht="13" x14ac:dyDescent="0.15">
      <c r="A520" s="1">
        <v>1</v>
      </c>
      <c r="B520" s="1">
        <v>2</v>
      </c>
      <c r="C520" s="1">
        <v>20</v>
      </c>
      <c r="D520" s="1" t="s">
        <v>24</v>
      </c>
      <c r="E520" s="1">
        <v>97</v>
      </c>
      <c r="F520" s="1">
        <v>3.0000000000000001E-3</v>
      </c>
      <c r="G520" s="1">
        <v>217104</v>
      </c>
      <c r="H520" s="1">
        <v>5.423</v>
      </c>
      <c r="I520" s="1">
        <v>3.1139999999999999</v>
      </c>
      <c r="J520" s="1">
        <v>6.1840000000000002</v>
      </c>
      <c r="K520" s="1">
        <v>9.2970000000000006</v>
      </c>
      <c r="L520" s="1" t="s">
        <v>41</v>
      </c>
    </row>
    <row r="521" spans="1:12" ht="13" x14ac:dyDescent="0.15">
      <c r="A521" s="1">
        <v>1</v>
      </c>
      <c r="B521" s="1">
        <v>3</v>
      </c>
      <c r="C521" s="1">
        <v>1</v>
      </c>
      <c r="D521" s="1" t="s">
        <v>24</v>
      </c>
      <c r="E521" s="1">
        <v>231</v>
      </c>
      <c r="F521" s="1">
        <v>8.0000000000000002E-3</v>
      </c>
      <c r="G521" s="1">
        <v>3680225</v>
      </c>
      <c r="H521" s="1">
        <v>106.69</v>
      </c>
      <c r="I521" s="1">
        <v>12.154</v>
      </c>
      <c r="J521" s="1">
        <v>123.905</v>
      </c>
      <c r="K521" s="1">
        <v>136.06</v>
      </c>
      <c r="L521" s="1" t="s">
        <v>41</v>
      </c>
    </row>
    <row r="522" spans="1:12" ht="13" x14ac:dyDescent="0.15">
      <c r="A522" s="1">
        <v>1</v>
      </c>
      <c r="B522" s="1">
        <v>3</v>
      </c>
      <c r="C522" s="1">
        <v>2</v>
      </c>
      <c r="D522" s="1" t="s">
        <v>24</v>
      </c>
      <c r="E522" s="1">
        <v>221</v>
      </c>
      <c r="F522" s="1">
        <v>6.0000000000000001E-3</v>
      </c>
      <c r="G522" s="1">
        <v>1581547</v>
      </c>
      <c r="H522" s="1">
        <v>34.546999999999997</v>
      </c>
      <c r="I522" s="1">
        <v>12.483000000000001</v>
      </c>
      <c r="J522" s="1">
        <v>39.433999999999997</v>
      </c>
      <c r="K522" s="1">
        <v>51.917999999999999</v>
      </c>
      <c r="L522" s="1" t="s">
        <v>41</v>
      </c>
    </row>
    <row r="523" spans="1:12" ht="13" x14ac:dyDescent="0.15">
      <c r="A523" s="1">
        <v>1</v>
      </c>
      <c r="B523" s="1">
        <v>3</v>
      </c>
      <c r="C523" s="1">
        <v>3</v>
      </c>
      <c r="D523" s="1" t="s">
        <v>24</v>
      </c>
      <c r="E523" s="1">
        <v>381</v>
      </c>
      <c r="F523" s="1">
        <v>2.5000000000000001E-2</v>
      </c>
      <c r="G523" s="1">
        <v>5778486</v>
      </c>
      <c r="H523" s="1">
        <v>356.50700000000001</v>
      </c>
      <c r="I523" s="1">
        <v>11.516</v>
      </c>
      <c r="J523" s="1">
        <v>380.08499999999998</v>
      </c>
      <c r="K523" s="1">
        <v>391.60199999999998</v>
      </c>
      <c r="L523" s="1" t="s">
        <v>41</v>
      </c>
    </row>
    <row r="524" spans="1:12" ht="13" x14ac:dyDescent="0.15">
      <c r="A524" s="1">
        <v>1</v>
      </c>
      <c r="B524" s="1">
        <v>3</v>
      </c>
      <c r="C524" s="1">
        <v>5</v>
      </c>
      <c r="D524" s="1" t="s">
        <v>24</v>
      </c>
      <c r="E524" s="1">
        <v>216</v>
      </c>
      <c r="F524" s="1">
        <v>7.0000000000000001E-3</v>
      </c>
      <c r="G524" s="1">
        <v>2680610</v>
      </c>
      <c r="H524" s="1">
        <v>69.102999999999994</v>
      </c>
      <c r="I524" s="1">
        <v>12.198</v>
      </c>
      <c r="J524" s="1">
        <v>82.822999999999993</v>
      </c>
      <c r="K524" s="1">
        <v>95.021000000000001</v>
      </c>
      <c r="L524" s="1" t="s">
        <v>41</v>
      </c>
    </row>
    <row r="525" spans="1:12" ht="13" x14ac:dyDescent="0.15">
      <c r="A525" s="1">
        <v>1</v>
      </c>
      <c r="B525" s="1">
        <v>3</v>
      </c>
      <c r="C525" s="1">
        <v>6</v>
      </c>
      <c r="D525" s="1" t="s">
        <v>24</v>
      </c>
      <c r="E525" s="1">
        <v>213</v>
      </c>
      <c r="F525" s="1">
        <v>5.0000000000000001E-3</v>
      </c>
      <c r="G525" s="1">
        <v>2538394</v>
      </c>
      <c r="H525" s="1">
        <v>48.12</v>
      </c>
      <c r="I525" s="1">
        <v>12.125999999999999</v>
      </c>
      <c r="J525" s="1">
        <v>57.78</v>
      </c>
      <c r="K525" s="1">
        <v>69.906000000000006</v>
      </c>
      <c r="L525" s="1" t="s">
        <v>41</v>
      </c>
    </row>
    <row r="526" spans="1:12" ht="13" x14ac:dyDescent="0.15">
      <c r="A526" s="1">
        <v>1</v>
      </c>
      <c r="B526" s="1">
        <v>3</v>
      </c>
      <c r="C526" s="1">
        <v>7</v>
      </c>
      <c r="D526" s="1" t="s">
        <v>24</v>
      </c>
      <c r="E526" s="1">
        <v>272</v>
      </c>
      <c r="F526" s="1">
        <v>8.0000000000000002E-3</v>
      </c>
      <c r="G526" s="1">
        <v>3234778</v>
      </c>
      <c r="H526" s="1">
        <v>79.790000000000006</v>
      </c>
      <c r="I526" s="1">
        <v>11.959</v>
      </c>
      <c r="J526" s="1">
        <v>91.971000000000004</v>
      </c>
      <c r="K526" s="1">
        <v>103.93</v>
      </c>
      <c r="L526" s="1" t="s">
        <v>41</v>
      </c>
    </row>
    <row r="527" spans="1:12" ht="13" x14ac:dyDescent="0.15">
      <c r="A527" s="1">
        <v>1</v>
      </c>
      <c r="B527" s="1">
        <v>3</v>
      </c>
      <c r="C527" s="1">
        <v>8</v>
      </c>
      <c r="D527" s="1" t="s">
        <v>24</v>
      </c>
      <c r="E527" s="1">
        <v>364</v>
      </c>
      <c r="F527" s="1">
        <v>1.7000000000000001E-2</v>
      </c>
      <c r="G527" s="1">
        <v>4196618</v>
      </c>
      <c r="H527" s="1">
        <v>178.32400000000001</v>
      </c>
      <c r="I527" s="1">
        <v>11.766999999999999</v>
      </c>
      <c r="J527" s="1">
        <v>195.81200000000001</v>
      </c>
      <c r="K527" s="1">
        <v>207.57900000000001</v>
      </c>
      <c r="L527" s="1" t="s">
        <v>41</v>
      </c>
    </row>
    <row r="528" spans="1:12" ht="13" x14ac:dyDescent="0.15">
      <c r="A528" s="1">
        <v>1</v>
      </c>
      <c r="B528" s="1">
        <v>3</v>
      </c>
      <c r="C528" s="1">
        <v>12</v>
      </c>
      <c r="D528" s="1" t="s">
        <v>24</v>
      </c>
      <c r="E528" s="1">
        <v>296</v>
      </c>
      <c r="F528" s="1">
        <v>1.2E-2</v>
      </c>
      <c r="G528" s="1">
        <v>3383205</v>
      </c>
      <c r="H528" s="1">
        <v>113.86799999999999</v>
      </c>
      <c r="I528" s="1">
        <v>11.265000000000001</v>
      </c>
      <c r="J528" s="1">
        <v>127.57</v>
      </c>
      <c r="K528" s="1">
        <v>138.83500000000001</v>
      </c>
      <c r="L528" s="1" t="s">
        <v>41</v>
      </c>
    </row>
    <row r="529" spans="1:12" ht="13" x14ac:dyDescent="0.15">
      <c r="A529" s="1">
        <v>1</v>
      </c>
      <c r="B529" s="1">
        <v>3</v>
      </c>
      <c r="C529" s="1">
        <v>13</v>
      </c>
      <c r="D529" s="1" t="s">
        <v>24</v>
      </c>
      <c r="E529" s="1">
        <v>242</v>
      </c>
      <c r="F529" s="1">
        <v>1.0999999999999999E-2</v>
      </c>
      <c r="G529" s="1">
        <v>3564098</v>
      </c>
      <c r="H529" s="1">
        <v>150.17500000000001</v>
      </c>
      <c r="I529" s="1">
        <v>11.019</v>
      </c>
      <c r="J529" s="1">
        <v>163.41399999999999</v>
      </c>
      <c r="K529" s="1">
        <v>174.43299999999999</v>
      </c>
      <c r="L529" s="1" t="s">
        <v>41</v>
      </c>
    </row>
    <row r="530" spans="1:12" ht="13" x14ac:dyDescent="0.15">
      <c r="A530" s="1">
        <v>1</v>
      </c>
      <c r="B530" s="1">
        <v>3</v>
      </c>
      <c r="C530" s="1">
        <v>14</v>
      </c>
      <c r="D530" s="1" t="s">
        <v>24</v>
      </c>
      <c r="E530" s="1">
        <v>219</v>
      </c>
      <c r="F530" s="1">
        <v>7.0000000000000001E-3</v>
      </c>
      <c r="G530" s="1">
        <v>2553165</v>
      </c>
      <c r="H530" s="1">
        <v>69.144000000000005</v>
      </c>
      <c r="I530" s="1">
        <v>11.696</v>
      </c>
      <c r="J530" s="1">
        <v>78.795000000000002</v>
      </c>
      <c r="K530" s="1">
        <v>90.491</v>
      </c>
      <c r="L530" s="1" t="s">
        <v>41</v>
      </c>
    </row>
    <row r="531" spans="1:12" ht="13" x14ac:dyDescent="0.15">
      <c r="A531" s="1">
        <v>1</v>
      </c>
      <c r="B531" s="1">
        <v>3</v>
      </c>
      <c r="C531" s="1">
        <v>15</v>
      </c>
      <c r="D531" s="1" t="s">
        <v>24</v>
      </c>
      <c r="E531" s="1">
        <v>219</v>
      </c>
      <c r="F531" s="1">
        <v>6.0000000000000001E-3</v>
      </c>
      <c r="G531" s="1">
        <v>2623116</v>
      </c>
      <c r="H531" s="1">
        <v>56.003</v>
      </c>
      <c r="I531" s="1">
        <v>11.483000000000001</v>
      </c>
      <c r="J531" s="1">
        <v>65.786000000000001</v>
      </c>
      <c r="K531" s="1">
        <v>77.269000000000005</v>
      </c>
      <c r="L531" s="1" t="s">
        <v>41</v>
      </c>
    </row>
    <row r="532" spans="1:12" ht="13" x14ac:dyDescent="0.15">
      <c r="A532" s="1">
        <v>1</v>
      </c>
      <c r="B532" s="1">
        <v>3</v>
      </c>
      <c r="C532" s="1">
        <v>16</v>
      </c>
      <c r="D532" s="1" t="s">
        <v>24</v>
      </c>
      <c r="E532" s="1">
        <v>302</v>
      </c>
      <c r="F532" s="1">
        <v>1.4999999999999999E-2</v>
      </c>
      <c r="G532" s="1">
        <v>3241352</v>
      </c>
      <c r="H532" s="1">
        <v>166.91399999999999</v>
      </c>
      <c r="I532" s="1">
        <v>11.33</v>
      </c>
      <c r="J532" s="1">
        <v>179.93299999999999</v>
      </c>
      <c r="K532" s="1">
        <v>191.26400000000001</v>
      </c>
      <c r="L532" s="1" t="s">
        <v>41</v>
      </c>
    </row>
    <row r="533" spans="1:12" ht="13" x14ac:dyDescent="0.15">
      <c r="A533" s="1">
        <v>1</v>
      </c>
      <c r="B533" s="1">
        <v>3</v>
      </c>
      <c r="C533" s="1">
        <v>17</v>
      </c>
      <c r="D533" s="1" t="s">
        <v>24</v>
      </c>
      <c r="E533" s="1">
        <v>259</v>
      </c>
      <c r="F533" s="1">
        <v>0.01</v>
      </c>
      <c r="G533" s="1">
        <v>3117036</v>
      </c>
      <c r="H533" s="1">
        <v>101.599</v>
      </c>
      <c r="I533" s="1">
        <v>11.093</v>
      </c>
      <c r="J533" s="1">
        <v>115.126</v>
      </c>
      <c r="K533" s="1">
        <v>126.21899999999999</v>
      </c>
      <c r="L533" s="1" t="s">
        <v>41</v>
      </c>
    </row>
    <row r="534" spans="1:12" ht="13" x14ac:dyDescent="0.15">
      <c r="A534" s="1">
        <v>1</v>
      </c>
      <c r="B534" s="1">
        <v>3</v>
      </c>
      <c r="C534" s="1">
        <v>18</v>
      </c>
      <c r="D534" s="1" t="s">
        <v>24</v>
      </c>
      <c r="E534" s="1">
        <v>281</v>
      </c>
      <c r="F534" s="1">
        <v>8.0000000000000002E-3</v>
      </c>
      <c r="G534" s="1">
        <v>3228543</v>
      </c>
      <c r="H534" s="1">
        <v>76.016000000000005</v>
      </c>
      <c r="I534" s="1">
        <v>12.199</v>
      </c>
      <c r="J534" s="1">
        <v>90.063000000000002</v>
      </c>
      <c r="K534" s="1">
        <v>102.261</v>
      </c>
      <c r="L534" s="1" t="s">
        <v>41</v>
      </c>
    </row>
    <row r="535" spans="1:12" ht="13" x14ac:dyDescent="0.15">
      <c r="A535" s="1">
        <v>1</v>
      </c>
      <c r="B535" s="1">
        <v>3</v>
      </c>
      <c r="C535" s="1">
        <v>19</v>
      </c>
      <c r="D535" s="1" t="s">
        <v>24</v>
      </c>
      <c r="E535" s="1">
        <v>282</v>
      </c>
      <c r="F535" s="1">
        <v>8.0000000000000002E-3</v>
      </c>
      <c r="G535" s="1">
        <v>3378882</v>
      </c>
      <c r="H535" s="1">
        <v>74.066000000000003</v>
      </c>
      <c r="I535" s="1">
        <v>11.734999999999999</v>
      </c>
      <c r="J535" s="1">
        <v>87.06</v>
      </c>
      <c r="K535" s="1">
        <v>98.795000000000002</v>
      </c>
      <c r="L535" s="1" t="s">
        <v>41</v>
      </c>
    </row>
    <row r="536" spans="1:12" ht="13" x14ac:dyDescent="0.15">
      <c r="A536" s="1">
        <v>1</v>
      </c>
      <c r="B536" s="1">
        <v>3</v>
      </c>
      <c r="C536" s="1">
        <v>20</v>
      </c>
      <c r="D536" s="1" t="s">
        <v>24</v>
      </c>
      <c r="E536" s="1">
        <v>296</v>
      </c>
      <c r="F536" s="1">
        <v>0.01</v>
      </c>
      <c r="G536" s="1">
        <v>2541185</v>
      </c>
      <c r="H536" s="1">
        <v>70.662000000000006</v>
      </c>
      <c r="I536" s="1">
        <v>11.679</v>
      </c>
      <c r="J536" s="1">
        <v>80.733000000000004</v>
      </c>
      <c r="K536" s="1">
        <v>92.412999999999997</v>
      </c>
      <c r="L536" s="1" t="s">
        <v>41</v>
      </c>
    </row>
    <row r="537" spans="1:12" ht="13" x14ac:dyDescent="0.15">
      <c r="A537" s="1">
        <v>1</v>
      </c>
      <c r="B537" s="1">
        <v>4</v>
      </c>
      <c r="C537" s="1">
        <v>1</v>
      </c>
      <c r="D537" s="1" t="s">
        <v>24</v>
      </c>
      <c r="E537" s="1">
        <v>534</v>
      </c>
      <c r="F537" s="1">
        <v>9.8000000000000004E-2</v>
      </c>
      <c r="G537" s="1">
        <v>26272391</v>
      </c>
      <c r="H537" s="1">
        <v>856.06299999999999</v>
      </c>
      <c r="I537" s="1">
        <v>33.058</v>
      </c>
      <c r="J537" s="1">
        <v>957.625</v>
      </c>
      <c r="K537" s="1">
        <v>990.70500000000004</v>
      </c>
      <c r="L537" s="1" t="s">
        <v>41</v>
      </c>
    </row>
    <row r="538" spans="1:12" ht="13" x14ac:dyDescent="0.15">
      <c r="A538" s="1">
        <v>1</v>
      </c>
      <c r="B538" s="1">
        <v>4</v>
      </c>
      <c r="C538" s="1">
        <v>2</v>
      </c>
      <c r="D538" s="1" t="s">
        <v>24</v>
      </c>
      <c r="E538" s="1">
        <v>449</v>
      </c>
      <c r="F538" s="1">
        <v>4.5999999999999999E-2</v>
      </c>
      <c r="G538" s="1">
        <v>12381044</v>
      </c>
      <c r="H538" s="1">
        <v>419.61200000000002</v>
      </c>
      <c r="I538" s="1">
        <v>32.283999999999999</v>
      </c>
      <c r="J538" s="1">
        <v>465.02100000000002</v>
      </c>
      <c r="K538" s="1">
        <v>497.30599999999998</v>
      </c>
      <c r="L538" s="1" t="s">
        <v>41</v>
      </c>
    </row>
    <row r="539" spans="1:12" ht="13" x14ac:dyDescent="0.15">
      <c r="A539" s="1">
        <v>1</v>
      </c>
      <c r="B539" s="1">
        <v>4</v>
      </c>
      <c r="C539" s="1">
        <v>3</v>
      </c>
      <c r="D539" s="1" t="s">
        <v>24</v>
      </c>
      <c r="E539" s="1">
        <v>878</v>
      </c>
      <c r="F539" s="1">
        <v>0.24299999999999999</v>
      </c>
      <c r="G539" s="1">
        <v>36741614</v>
      </c>
      <c r="H539" s="1">
        <v>2110.6370000000002</v>
      </c>
      <c r="I539" s="1">
        <v>31.108000000000001</v>
      </c>
      <c r="J539" s="1">
        <v>2287.9349999999999</v>
      </c>
      <c r="K539" s="1">
        <v>2319.0439999999999</v>
      </c>
      <c r="L539" s="1" t="s">
        <v>41</v>
      </c>
    </row>
    <row r="540" spans="1:12" ht="13" x14ac:dyDescent="0.15">
      <c r="A540" s="1">
        <v>1</v>
      </c>
      <c r="B540" s="1">
        <v>4</v>
      </c>
      <c r="C540" s="1">
        <v>5</v>
      </c>
      <c r="D540" s="1" t="s">
        <v>24</v>
      </c>
      <c r="E540" s="1">
        <v>524</v>
      </c>
      <c r="F540" s="1">
        <v>6.7000000000000004E-2</v>
      </c>
      <c r="G540" s="1">
        <v>14887723</v>
      </c>
      <c r="H540" s="1">
        <v>403.15100000000001</v>
      </c>
      <c r="I540" s="1">
        <v>33.000999999999998</v>
      </c>
      <c r="J540" s="1">
        <v>450.315</v>
      </c>
      <c r="K540" s="1">
        <v>483.31900000000002</v>
      </c>
      <c r="L540" s="1" t="s">
        <v>41</v>
      </c>
    </row>
    <row r="541" spans="1:12" ht="13" x14ac:dyDescent="0.15">
      <c r="A541" s="1">
        <v>1</v>
      </c>
      <c r="B541" s="1">
        <v>4</v>
      </c>
      <c r="C541" s="1">
        <v>6</v>
      </c>
      <c r="D541" s="1" t="s">
        <v>24</v>
      </c>
      <c r="E541" s="1">
        <v>555</v>
      </c>
      <c r="F541" s="1">
        <v>0.06</v>
      </c>
      <c r="G541" s="1">
        <v>17275066</v>
      </c>
      <c r="H541" s="1">
        <v>373.87799999999999</v>
      </c>
      <c r="I541" s="1">
        <v>32.262</v>
      </c>
      <c r="J541" s="1">
        <v>432.05200000000002</v>
      </c>
      <c r="K541" s="1">
        <v>464.31700000000001</v>
      </c>
      <c r="L541" s="1" t="s">
        <v>41</v>
      </c>
    </row>
    <row r="542" spans="1:12" ht="13" x14ac:dyDescent="0.15">
      <c r="A542" s="1">
        <v>1</v>
      </c>
      <c r="B542" s="1">
        <v>4</v>
      </c>
      <c r="C542" s="1">
        <v>7</v>
      </c>
      <c r="D542" s="1" t="s">
        <v>24</v>
      </c>
      <c r="E542" s="1">
        <v>643</v>
      </c>
      <c r="F542" s="1">
        <v>3.7999999999999999E-2</v>
      </c>
      <c r="G542" s="1">
        <v>23181000</v>
      </c>
      <c r="H542" s="1">
        <v>1087.1890000000001</v>
      </c>
      <c r="I542" s="1">
        <v>32.734000000000002</v>
      </c>
      <c r="J542" s="1">
        <v>1193.9949999999999</v>
      </c>
      <c r="K542" s="1">
        <v>1226.731</v>
      </c>
      <c r="L542" s="1" t="s">
        <v>41</v>
      </c>
    </row>
    <row r="543" spans="1:12" ht="13" x14ac:dyDescent="0.15">
      <c r="A543" s="1">
        <v>1</v>
      </c>
      <c r="B543" s="1">
        <v>4</v>
      </c>
      <c r="C543" s="1">
        <v>8</v>
      </c>
      <c r="D543" s="1" t="s">
        <v>24</v>
      </c>
      <c r="E543" s="1">
        <v>771</v>
      </c>
      <c r="F543" s="1">
        <v>9.1999999999999998E-2</v>
      </c>
      <c r="G543" s="1">
        <v>27169479</v>
      </c>
      <c r="H543" s="1">
        <v>1846.674</v>
      </c>
      <c r="I543" s="1">
        <v>31.58</v>
      </c>
      <c r="J543" s="1">
        <v>1972.019</v>
      </c>
      <c r="K543" s="1">
        <v>2003.6010000000001</v>
      </c>
      <c r="L543" s="1" t="s">
        <v>41</v>
      </c>
    </row>
    <row r="544" spans="1:12" ht="13" x14ac:dyDescent="0.15">
      <c r="A544" s="1">
        <v>1</v>
      </c>
      <c r="B544" s="1">
        <v>4</v>
      </c>
      <c r="C544" s="1">
        <v>12</v>
      </c>
      <c r="D544" s="1" t="s">
        <v>24</v>
      </c>
      <c r="E544" s="1">
        <v>729</v>
      </c>
      <c r="F544" s="1">
        <v>8.2000000000000003E-2</v>
      </c>
      <c r="G544" s="1">
        <v>24431482</v>
      </c>
      <c r="H544" s="1">
        <v>1205.896</v>
      </c>
      <c r="I544" s="1">
        <v>30.779</v>
      </c>
      <c r="J544" s="1">
        <v>1321.425</v>
      </c>
      <c r="K544" s="1">
        <v>1352.2059999999999</v>
      </c>
      <c r="L544" s="1" t="s">
        <v>41</v>
      </c>
    </row>
    <row r="545" spans="1:26" ht="13" x14ac:dyDescent="0.15">
      <c r="A545" s="1">
        <v>1</v>
      </c>
      <c r="B545" s="1">
        <v>4</v>
      </c>
      <c r="C545" s="1">
        <v>13</v>
      </c>
      <c r="D545" s="1" t="s">
        <v>24</v>
      </c>
      <c r="E545" s="1">
        <v>550</v>
      </c>
      <c r="F545" s="1">
        <v>7.6999999999999999E-2</v>
      </c>
      <c r="G545" s="1">
        <v>20458867</v>
      </c>
      <c r="H545" s="1">
        <v>847.96</v>
      </c>
      <c r="I545" s="1">
        <v>31.641999999999999</v>
      </c>
      <c r="J545" s="1">
        <v>946.82799999999997</v>
      </c>
      <c r="K545" s="1">
        <v>978.47199999999998</v>
      </c>
      <c r="L545" s="1" t="s">
        <v>41</v>
      </c>
    </row>
    <row r="546" spans="1:26" ht="13" x14ac:dyDescent="0.15">
      <c r="A546" s="1">
        <v>1</v>
      </c>
      <c r="B546" s="1">
        <v>4</v>
      </c>
      <c r="C546" s="1">
        <v>14</v>
      </c>
      <c r="D546" s="1" t="s">
        <v>24</v>
      </c>
      <c r="E546" s="1">
        <v>599</v>
      </c>
      <c r="F546" s="1">
        <v>9.4E-2</v>
      </c>
      <c r="G546" s="1">
        <v>20979469</v>
      </c>
      <c r="H546" s="1">
        <v>775.51300000000003</v>
      </c>
      <c r="I546" s="1">
        <v>31.658999999999999</v>
      </c>
      <c r="J546" s="1">
        <v>858.21299999999997</v>
      </c>
      <c r="K546" s="1">
        <v>889.88699999999994</v>
      </c>
      <c r="L546" s="1" t="s">
        <v>41</v>
      </c>
    </row>
    <row r="547" spans="1:26" ht="13" x14ac:dyDescent="0.15">
      <c r="A547" s="1">
        <v>1</v>
      </c>
      <c r="B547" s="1">
        <v>4</v>
      </c>
      <c r="C547" s="1">
        <v>15</v>
      </c>
      <c r="D547" s="1" t="s">
        <v>24</v>
      </c>
      <c r="E547" s="1">
        <v>454</v>
      </c>
      <c r="F547" s="1">
        <v>5.0999999999999997E-2</v>
      </c>
      <c r="G547" s="1">
        <v>17055180</v>
      </c>
      <c r="H547" s="1">
        <v>436.06799999999998</v>
      </c>
      <c r="I547" s="1">
        <v>32.497999999999998</v>
      </c>
      <c r="J547" s="1">
        <v>518.19600000000003</v>
      </c>
      <c r="K547" s="1">
        <v>550.69600000000003</v>
      </c>
      <c r="L547" s="1" t="s">
        <v>41</v>
      </c>
    </row>
    <row r="548" spans="1:26" ht="13" x14ac:dyDescent="0.15">
      <c r="A548" s="1">
        <v>1</v>
      </c>
      <c r="B548" s="1">
        <v>4</v>
      </c>
      <c r="C548" s="1">
        <v>16</v>
      </c>
      <c r="D548" s="1" t="s">
        <v>24</v>
      </c>
      <c r="E548" s="1">
        <v>761</v>
      </c>
      <c r="F548" s="1">
        <v>7.5999999999999998E-2</v>
      </c>
      <c r="G548" s="1">
        <v>21112470</v>
      </c>
      <c r="H548" s="1">
        <v>1255.3209999999999</v>
      </c>
      <c r="I548" s="1">
        <v>30.39</v>
      </c>
      <c r="J548" s="1">
        <v>1348.442</v>
      </c>
      <c r="K548" s="1">
        <v>1378.8340000000001</v>
      </c>
      <c r="L548" s="1" t="s">
        <v>41</v>
      </c>
    </row>
    <row r="549" spans="1:26" ht="13" x14ac:dyDescent="0.15">
      <c r="A549" s="1">
        <v>1</v>
      </c>
      <c r="B549" s="1">
        <v>4</v>
      </c>
      <c r="C549" s="1">
        <v>18</v>
      </c>
      <c r="D549" s="1" t="s">
        <v>24</v>
      </c>
      <c r="E549" s="1">
        <v>737</v>
      </c>
      <c r="F549" s="1">
        <v>6.8000000000000005E-2</v>
      </c>
      <c r="G549" s="1">
        <v>25195414</v>
      </c>
      <c r="H549" s="1">
        <v>754.19899999999996</v>
      </c>
      <c r="I549" s="1">
        <v>32.982999999999997</v>
      </c>
      <c r="J549" s="1">
        <v>853.548</v>
      </c>
      <c r="K549" s="1">
        <v>886.55399999999997</v>
      </c>
      <c r="L549" s="1" t="s">
        <v>41</v>
      </c>
    </row>
    <row r="550" spans="1:26" ht="13" x14ac:dyDescent="0.15">
      <c r="A550" s="1">
        <v>1</v>
      </c>
      <c r="B550" s="1">
        <v>4</v>
      </c>
      <c r="C550" s="1">
        <v>20</v>
      </c>
      <c r="D550" s="1" t="s">
        <v>24</v>
      </c>
      <c r="E550" s="1">
        <v>571</v>
      </c>
      <c r="F550" s="1">
        <v>6.2E-2</v>
      </c>
      <c r="G550" s="1">
        <v>15740602</v>
      </c>
      <c r="H550" s="1">
        <v>533.18299999999999</v>
      </c>
      <c r="I550" s="1">
        <v>31.809000000000001</v>
      </c>
      <c r="J550" s="1">
        <v>584.69600000000003</v>
      </c>
      <c r="K550" s="1">
        <v>616.524</v>
      </c>
      <c r="L550" s="1" t="s">
        <v>41</v>
      </c>
    </row>
    <row r="551" spans="1:26" ht="13" x14ac:dyDescent="0.15">
      <c r="A551" s="5">
        <v>1</v>
      </c>
      <c r="B551" s="5">
        <v>5</v>
      </c>
      <c r="C551" s="5">
        <v>1</v>
      </c>
      <c r="D551" s="6" t="s">
        <v>24</v>
      </c>
      <c r="E551" s="5">
        <v>1378</v>
      </c>
      <c r="F551" s="5">
        <v>0.127</v>
      </c>
      <c r="G551" s="5">
        <v>133608828</v>
      </c>
      <c r="H551" s="5">
        <v>4863.8630000000003</v>
      </c>
      <c r="I551" s="5">
        <v>71.364000000000004</v>
      </c>
      <c r="J551" s="5">
        <v>5401.04</v>
      </c>
      <c r="K551" s="5">
        <v>5472.4390000000003</v>
      </c>
      <c r="L551" s="6" t="s">
        <v>41</v>
      </c>
    </row>
    <row r="552" spans="1:26" ht="13" x14ac:dyDescent="0.15">
      <c r="A552" s="5">
        <v>1</v>
      </c>
      <c r="B552" s="5">
        <v>5</v>
      </c>
      <c r="C552" s="5">
        <v>2</v>
      </c>
      <c r="D552" s="6" t="s">
        <v>24</v>
      </c>
      <c r="E552" s="5">
        <v>1004</v>
      </c>
      <c r="F552" s="5">
        <v>5.8999999999999997E-2</v>
      </c>
      <c r="G552" s="5">
        <v>65902900</v>
      </c>
      <c r="H552" s="5">
        <v>2936.4769999999999</v>
      </c>
      <c r="I552" s="5">
        <v>68.846999999999994</v>
      </c>
      <c r="J552" s="5">
        <v>3167.6129999999998</v>
      </c>
      <c r="K552" s="5">
        <v>3236.462</v>
      </c>
      <c r="L552" s="6" t="s">
        <v>41</v>
      </c>
    </row>
    <row r="553" spans="1:26" ht="13" x14ac:dyDescent="0.15">
      <c r="A553" s="5">
        <v>1</v>
      </c>
      <c r="B553" s="5">
        <v>5</v>
      </c>
      <c r="C553" s="5">
        <v>3</v>
      </c>
      <c r="D553" s="6" t="s">
        <v>24</v>
      </c>
      <c r="E553" s="5">
        <v>1779</v>
      </c>
      <c r="F553" s="5">
        <v>0.16300000000000001</v>
      </c>
      <c r="G553" s="5">
        <v>157361224</v>
      </c>
      <c r="H553" s="5">
        <v>9574.6620000000003</v>
      </c>
      <c r="I553" s="5">
        <v>67.436999999999998</v>
      </c>
      <c r="J553" s="5">
        <v>10221.450999999999</v>
      </c>
      <c r="K553" s="5">
        <v>10288.888999999999</v>
      </c>
      <c r="L553" s="6" t="s">
        <v>41</v>
      </c>
    </row>
    <row r="554" spans="1:26" ht="13" x14ac:dyDescent="0.15">
      <c r="A554" s="5">
        <v>1</v>
      </c>
      <c r="B554" s="5">
        <v>5</v>
      </c>
      <c r="C554" s="5">
        <v>5</v>
      </c>
      <c r="D554" s="6" t="s">
        <v>24</v>
      </c>
      <c r="E554" s="5">
        <v>1216</v>
      </c>
      <c r="F554" s="5">
        <v>0.129</v>
      </c>
      <c r="G554" s="5">
        <v>82566403</v>
      </c>
      <c r="H554" s="5">
        <v>2568.8139999999999</v>
      </c>
      <c r="I554" s="5">
        <v>70.927999999999997</v>
      </c>
      <c r="J554" s="5">
        <v>2916.0740000000001</v>
      </c>
      <c r="K554" s="5">
        <v>2987.0340000000001</v>
      </c>
      <c r="L554" s="6" t="s">
        <v>41</v>
      </c>
    </row>
    <row r="555" spans="1:26" ht="13" x14ac:dyDescent="0.15">
      <c r="A555" s="5">
        <v>1</v>
      </c>
      <c r="B555" s="5">
        <v>5</v>
      </c>
      <c r="C555" s="5">
        <v>6</v>
      </c>
      <c r="D555" s="6" t="s">
        <v>24</v>
      </c>
      <c r="E555" s="5">
        <v>1259</v>
      </c>
      <c r="F555" s="5">
        <v>0.26400000000000001</v>
      </c>
      <c r="G555" s="5">
        <v>91044389</v>
      </c>
      <c r="H555" s="5">
        <v>2691.9079999999999</v>
      </c>
      <c r="I555" s="5">
        <v>70.188999999999993</v>
      </c>
      <c r="J555" s="5">
        <v>3045.0410000000002</v>
      </c>
      <c r="K555" s="5">
        <v>3115.2330000000002</v>
      </c>
      <c r="L555" s="6" t="s">
        <v>41</v>
      </c>
    </row>
    <row r="556" spans="1:26" ht="13" x14ac:dyDescent="0.15">
      <c r="A556" s="5">
        <v>1</v>
      </c>
      <c r="B556" s="5">
        <v>5</v>
      </c>
      <c r="C556" s="5">
        <v>7</v>
      </c>
      <c r="D556" s="6" t="s">
        <v>24</v>
      </c>
      <c r="E556" s="5">
        <v>1407</v>
      </c>
      <c r="F556" s="5">
        <v>8.7999999999999995E-2</v>
      </c>
      <c r="G556" s="5">
        <v>115591577</v>
      </c>
      <c r="H556" s="5">
        <v>4868.4440000000004</v>
      </c>
      <c r="I556" s="5">
        <v>69.287999999999997</v>
      </c>
      <c r="J556" s="5">
        <v>5357.0280000000002</v>
      </c>
      <c r="K556" s="5">
        <v>5426.317</v>
      </c>
      <c r="L556" s="6" t="s">
        <v>41</v>
      </c>
    </row>
    <row r="557" spans="1:26" ht="13" x14ac:dyDescent="0.15">
      <c r="A557" s="2">
        <v>2</v>
      </c>
      <c r="B557" s="2">
        <v>1</v>
      </c>
      <c r="C557" s="2">
        <v>9</v>
      </c>
      <c r="D557" s="2" t="s">
        <v>25</v>
      </c>
      <c r="E557" s="2">
        <v>119</v>
      </c>
      <c r="F557" s="2">
        <v>8.0000000000000002E-3</v>
      </c>
      <c r="G557" s="2">
        <v>410947</v>
      </c>
      <c r="H557" s="2">
        <v>30.777000000000001</v>
      </c>
      <c r="I557" s="2">
        <v>3.0539999999999998</v>
      </c>
      <c r="J557" s="2">
        <v>32.557000000000002</v>
      </c>
      <c r="K557" s="2">
        <v>35.610999999999997</v>
      </c>
      <c r="L557" s="2" t="s">
        <v>41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>
        <v>2</v>
      </c>
      <c r="B558" s="2">
        <v>1</v>
      </c>
      <c r="C558" s="2">
        <v>10</v>
      </c>
      <c r="D558" s="2" t="s">
        <v>17</v>
      </c>
      <c r="E558" s="2">
        <v>131</v>
      </c>
      <c r="F558" s="2">
        <v>7.0000000000000001E-3</v>
      </c>
      <c r="G558" s="2">
        <v>364694</v>
      </c>
      <c r="H558" s="2">
        <v>17.391999999999999</v>
      </c>
      <c r="I558" s="2">
        <v>3.0409999999999999</v>
      </c>
      <c r="J558" s="2">
        <v>19.199000000000002</v>
      </c>
      <c r="K558" s="2">
        <v>22.24</v>
      </c>
      <c r="L558" s="2" t="s">
        <v>41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>
        <v>2</v>
      </c>
      <c r="B559" s="2">
        <v>1</v>
      </c>
      <c r="C559" s="2">
        <v>19</v>
      </c>
      <c r="D559" s="2" t="s">
        <v>26</v>
      </c>
      <c r="E559" s="2">
        <v>95</v>
      </c>
      <c r="F559" s="2">
        <v>7.0000000000000001E-3</v>
      </c>
      <c r="G559" s="2">
        <v>245719</v>
      </c>
      <c r="H559" s="2">
        <v>17.559000000000001</v>
      </c>
      <c r="I559" s="2">
        <v>3.2869999999999999</v>
      </c>
      <c r="J559" s="2">
        <v>18.792999999999999</v>
      </c>
      <c r="K559" s="2">
        <v>22.081</v>
      </c>
      <c r="L559" s="2" t="s">
        <v>41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>
        <v>2</v>
      </c>
      <c r="B560" s="2">
        <v>2</v>
      </c>
      <c r="C560" s="2">
        <v>4</v>
      </c>
      <c r="D560" s="2" t="s">
        <v>19</v>
      </c>
      <c r="E560" s="2">
        <v>314</v>
      </c>
      <c r="F560" s="2">
        <v>2.5999999999999999E-2</v>
      </c>
      <c r="G560" s="2">
        <v>3757398</v>
      </c>
      <c r="H560" s="2">
        <v>292.61399999999998</v>
      </c>
      <c r="I560" s="2">
        <v>11.497</v>
      </c>
      <c r="J560" s="2">
        <v>306.76499999999999</v>
      </c>
      <c r="K560" s="2">
        <v>318.262</v>
      </c>
      <c r="L560" s="2" t="s">
        <v>41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>
        <v>2</v>
      </c>
      <c r="B561" s="2">
        <v>2</v>
      </c>
      <c r="C561" s="2">
        <v>7</v>
      </c>
      <c r="D561" s="2" t="s">
        <v>27</v>
      </c>
      <c r="E561" s="2">
        <v>272</v>
      </c>
      <c r="F561" s="2">
        <v>1.2999999999999999E-2</v>
      </c>
      <c r="G561" s="2">
        <v>3332270</v>
      </c>
      <c r="H561" s="2">
        <v>156.03200000000001</v>
      </c>
      <c r="I561" s="2">
        <v>11.930999999999999</v>
      </c>
      <c r="J561" s="2">
        <v>168.65</v>
      </c>
      <c r="K561" s="2">
        <v>180.58199999999999</v>
      </c>
      <c r="L561" s="2" t="s">
        <v>41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>
        <v>2</v>
      </c>
      <c r="B562" s="2">
        <v>2</v>
      </c>
      <c r="C562" s="2">
        <v>9</v>
      </c>
      <c r="D562" s="2" t="s">
        <v>25</v>
      </c>
      <c r="E562" s="2">
        <v>379</v>
      </c>
      <c r="F562" s="2">
        <v>3.5000000000000003E-2</v>
      </c>
      <c r="G562" s="2">
        <v>5703176</v>
      </c>
      <c r="H562" s="2">
        <v>499.73599999999999</v>
      </c>
      <c r="I562" s="2">
        <v>10.936</v>
      </c>
      <c r="J562" s="2">
        <v>525.86400000000003</v>
      </c>
      <c r="K562" s="2">
        <v>536.79999999999995</v>
      </c>
      <c r="L562" s="2" t="s">
        <v>41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>
        <v>2</v>
      </c>
      <c r="B563" s="2">
        <v>2</v>
      </c>
      <c r="C563" s="2">
        <v>10</v>
      </c>
      <c r="D563" s="2" t="s">
        <v>20</v>
      </c>
      <c r="E563" s="2">
        <v>358</v>
      </c>
      <c r="F563" s="2">
        <v>1.7000000000000001E-2</v>
      </c>
      <c r="G563" s="2">
        <v>4285912</v>
      </c>
      <c r="H563" s="2">
        <v>193.99700000000001</v>
      </c>
      <c r="I563" s="2">
        <v>11.619</v>
      </c>
      <c r="J563" s="2">
        <v>212.03399999999999</v>
      </c>
      <c r="K563" s="2">
        <v>223.654</v>
      </c>
      <c r="L563" s="2" t="s">
        <v>41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>
        <v>2</v>
      </c>
      <c r="B564" s="2">
        <v>2</v>
      </c>
      <c r="C564" s="2">
        <v>13</v>
      </c>
      <c r="D564" s="2" t="s">
        <v>28</v>
      </c>
      <c r="E564" s="2">
        <v>242</v>
      </c>
      <c r="F564" s="2">
        <v>1.7999999999999999E-2</v>
      </c>
      <c r="G564" s="2">
        <v>3517742</v>
      </c>
      <c r="H564" s="2">
        <v>255.43700000000001</v>
      </c>
      <c r="I564" s="2">
        <v>10.952999999999999</v>
      </c>
      <c r="J564" s="2">
        <v>272.54000000000002</v>
      </c>
      <c r="K564" s="2">
        <v>283.49400000000003</v>
      </c>
      <c r="L564" s="2" t="s">
        <v>41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>
        <v>2</v>
      </c>
      <c r="B565" s="2">
        <v>2</v>
      </c>
      <c r="C565" s="2">
        <v>19</v>
      </c>
      <c r="D565" s="2" t="s">
        <v>29</v>
      </c>
      <c r="E565" s="2">
        <v>282</v>
      </c>
      <c r="F565" s="2">
        <v>1.6E-2</v>
      </c>
      <c r="G565" s="2">
        <v>3503069</v>
      </c>
      <c r="H565" s="2">
        <v>198.55</v>
      </c>
      <c r="I565" s="2">
        <v>11.683</v>
      </c>
      <c r="J565" s="2">
        <v>212.827</v>
      </c>
      <c r="K565" s="2">
        <v>224.50899999999999</v>
      </c>
      <c r="L565" s="2" t="s">
        <v>41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>
        <v>2</v>
      </c>
      <c r="B566" s="2">
        <v>3</v>
      </c>
      <c r="C566" s="2">
        <v>4</v>
      </c>
      <c r="D566" s="2" t="s">
        <v>19</v>
      </c>
      <c r="E566" s="2">
        <v>678</v>
      </c>
      <c r="F566" s="2">
        <v>5.3999999999999999E-2</v>
      </c>
      <c r="G566" s="2">
        <v>23279078</v>
      </c>
      <c r="H566" s="2">
        <v>1832.663</v>
      </c>
      <c r="I566" s="2">
        <v>30.75</v>
      </c>
      <c r="J566" s="2">
        <v>1934.046</v>
      </c>
      <c r="K566" s="2">
        <v>1964.799</v>
      </c>
      <c r="L566" s="2" t="s">
        <v>41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>
        <v>2</v>
      </c>
      <c r="B567" s="2">
        <v>3</v>
      </c>
      <c r="C567" s="2">
        <v>7</v>
      </c>
      <c r="D567" s="2" t="s">
        <v>27</v>
      </c>
      <c r="E567" s="2">
        <v>643</v>
      </c>
      <c r="F567" s="2">
        <v>6.7000000000000004E-2</v>
      </c>
      <c r="G567" s="2">
        <v>24568051</v>
      </c>
      <c r="H567" s="2">
        <v>1410.4670000000001</v>
      </c>
      <c r="I567" s="2">
        <v>31.914000000000001</v>
      </c>
      <c r="J567" s="2">
        <v>1502.4760000000001</v>
      </c>
      <c r="K567" s="2">
        <v>1534.3920000000001</v>
      </c>
      <c r="L567" s="2" t="s">
        <v>41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>
        <v>2</v>
      </c>
      <c r="B568" s="2">
        <v>3</v>
      </c>
      <c r="C568" s="2">
        <v>9</v>
      </c>
      <c r="D568" s="2" t="s">
        <v>25</v>
      </c>
      <c r="E568" s="2">
        <v>761</v>
      </c>
      <c r="F568" s="2">
        <v>0.13500000000000001</v>
      </c>
      <c r="G568" s="2">
        <v>28464357</v>
      </c>
      <c r="H568" s="2">
        <v>2319.058</v>
      </c>
      <c r="I568" s="2">
        <v>29.550999999999998</v>
      </c>
      <c r="J568" s="2">
        <v>2453.7350000000001</v>
      </c>
      <c r="K568" s="2">
        <v>2483.288</v>
      </c>
      <c r="L568" s="2" t="s">
        <v>41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>
        <v>2</v>
      </c>
      <c r="B569" s="2">
        <v>3</v>
      </c>
      <c r="C569" s="2">
        <v>10</v>
      </c>
      <c r="D569" s="2" t="s">
        <v>20</v>
      </c>
      <c r="E569" s="2">
        <v>814</v>
      </c>
      <c r="F569" s="2">
        <v>0.10199999999999999</v>
      </c>
      <c r="G569" s="2">
        <v>29174524</v>
      </c>
      <c r="H569" s="2">
        <v>1393.356</v>
      </c>
      <c r="I569" s="2">
        <v>31.739000000000001</v>
      </c>
      <c r="J569" s="2">
        <v>1505.92</v>
      </c>
      <c r="K569" s="2">
        <v>1537.683</v>
      </c>
      <c r="L569" s="2" t="s">
        <v>41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>
        <v>2</v>
      </c>
      <c r="B570" s="2">
        <v>3</v>
      </c>
      <c r="C570" s="2">
        <v>13</v>
      </c>
      <c r="D570" s="2" t="s">
        <v>28</v>
      </c>
      <c r="E570" s="2">
        <v>550</v>
      </c>
      <c r="F570" s="2">
        <v>3.9E-2</v>
      </c>
      <c r="G570" s="2">
        <v>21785972</v>
      </c>
      <c r="H570" s="2">
        <v>1380.037</v>
      </c>
      <c r="I570" s="2">
        <v>30.864000000000001</v>
      </c>
      <c r="J570" s="2">
        <v>1461.9670000000001</v>
      </c>
      <c r="K570" s="2">
        <v>1492.8330000000001</v>
      </c>
      <c r="L570" s="2" t="s">
        <v>41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>
        <v>2</v>
      </c>
      <c r="B571" s="2">
        <v>3</v>
      </c>
      <c r="C571" s="2">
        <v>14</v>
      </c>
      <c r="D571" s="2" t="s">
        <v>30</v>
      </c>
      <c r="E571" s="2">
        <v>599</v>
      </c>
      <c r="F571" s="2">
        <v>9.8000000000000004E-2</v>
      </c>
      <c r="G571" s="2">
        <v>21490011</v>
      </c>
      <c r="H571" s="2">
        <v>1372.1389999999999</v>
      </c>
      <c r="I571" s="2">
        <v>31.363</v>
      </c>
      <c r="J571" s="2">
        <v>1463.0150000000001</v>
      </c>
      <c r="K571" s="2">
        <v>1494.4059999999999</v>
      </c>
      <c r="L571" s="2" t="s">
        <v>41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>
        <v>2</v>
      </c>
      <c r="B572" s="2">
        <v>3</v>
      </c>
      <c r="C572" s="2">
        <v>17</v>
      </c>
      <c r="D572" s="2" t="s">
        <v>21</v>
      </c>
      <c r="E572" s="2">
        <v>661</v>
      </c>
      <c r="F572" s="2">
        <v>5.7000000000000002E-2</v>
      </c>
      <c r="G572" s="2">
        <v>24648957</v>
      </c>
      <c r="H572" s="2">
        <v>1383.4280000000001</v>
      </c>
      <c r="I572" s="2">
        <v>30.774999999999999</v>
      </c>
      <c r="J572" s="2">
        <v>1484.521</v>
      </c>
      <c r="K572" s="2">
        <v>1515.298</v>
      </c>
      <c r="L572" s="2" t="s">
        <v>41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>
        <v>2</v>
      </c>
      <c r="B573" s="2">
        <v>3</v>
      </c>
      <c r="C573" s="2">
        <v>19</v>
      </c>
      <c r="D573" s="2" t="s">
        <v>22</v>
      </c>
      <c r="E573" s="2">
        <v>702</v>
      </c>
      <c r="F573" s="2">
        <v>4.2000000000000003E-2</v>
      </c>
      <c r="G573" s="2">
        <v>26016147</v>
      </c>
      <c r="H573" s="2">
        <v>1249.0340000000001</v>
      </c>
      <c r="I573" s="2">
        <v>31.128</v>
      </c>
      <c r="J573" s="2">
        <v>1372.1220000000001</v>
      </c>
      <c r="K573" s="2">
        <v>1403.2529999999999</v>
      </c>
      <c r="L573" s="2" t="s">
        <v>41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3">
        <v>2</v>
      </c>
      <c r="B574" s="3">
        <v>4</v>
      </c>
      <c r="C574" s="3">
        <v>4</v>
      </c>
      <c r="D574" s="4" t="s">
        <v>23</v>
      </c>
      <c r="E574" s="3">
        <v>1380</v>
      </c>
      <c r="F574" s="3">
        <v>0.17399999999999999</v>
      </c>
      <c r="G574" s="3">
        <v>111523378</v>
      </c>
      <c r="H574" s="3">
        <v>8214.1370000000006</v>
      </c>
      <c r="I574" s="3">
        <v>66.519000000000005</v>
      </c>
      <c r="J574" s="3">
        <v>8687.9860000000008</v>
      </c>
      <c r="K574" s="3">
        <v>8754.6260000000002</v>
      </c>
      <c r="L574" s="4" t="s">
        <v>41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1">
        <v>2</v>
      </c>
      <c r="B575" s="1">
        <v>1</v>
      </c>
      <c r="C575" s="1">
        <v>1</v>
      </c>
      <c r="D575" s="1" t="s">
        <v>24</v>
      </c>
      <c r="E575" s="1">
        <v>84</v>
      </c>
      <c r="F575" s="1">
        <v>4.0000000000000001E-3</v>
      </c>
      <c r="G575" s="1">
        <v>293462</v>
      </c>
      <c r="H575" s="1">
        <v>16.63</v>
      </c>
      <c r="I575" s="1">
        <v>3.2879999999999998</v>
      </c>
      <c r="J575" s="1">
        <v>17.652000000000001</v>
      </c>
      <c r="K575" s="1">
        <v>20.94</v>
      </c>
      <c r="L575" s="1" t="s">
        <v>41</v>
      </c>
    </row>
    <row r="576" spans="1:26" ht="13" x14ac:dyDescent="0.15">
      <c r="A576" s="1">
        <v>2</v>
      </c>
      <c r="B576" s="1">
        <v>1</v>
      </c>
      <c r="C576" s="1">
        <v>2</v>
      </c>
      <c r="D576" s="1" t="s">
        <v>24</v>
      </c>
      <c r="E576" s="1">
        <v>93</v>
      </c>
      <c r="F576" s="1">
        <v>3.0000000000000001E-3</v>
      </c>
      <c r="G576" s="1">
        <v>187588</v>
      </c>
      <c r="H576" s="1">
        <v>4.0670000000000002</v>
      </c>
      <c r="I576" s="1">
        <v>3.2679999999999998</v>
      </c>
      <c r="J576" s="1">
        <v>4.8230000000000004</v>
      </c>
      <c r="K576" s="1">
        <v>8.0909999999999993</v>
      </c>
      <c r="L576" s="1" t="s">
        <v>41</v>
      </c>
    </row>
    <row r="577" spans="1:12" ht="13" x14ac:dyDescent="0.15">
      <c r="A577" s="1">
        <v>2</v>
      </c>
      <c r="B577" s="1">
        <v>1</v>
      </c>
      <c r="C577" s="1">
        <v>3</v>
      </c>
      <c r="D577" s="1" t="s">
        <v>24</v>
      </c>
      <c r="E577" s="1">
        <v>130</v>
      </c>
      <c r="F577" s="1">
        <v>8.0000000000000002E-3</v>
      </c>
      <c r="G577" s="1">
        <v>392232</v>
      </c>
      <c r="H577" s="1">
        <v>25.748999999999999</v>
      </c>
      <c r="I577" s="1">
        <v>3.0609999999999999</v>
      </c>
      <c r="J577" s="1">
        <v>27.745999999999999</v>
      </c>
      <c r="K577" s="1">
        <v>30.806999999999999</v>
      </c>
      <c r="L577" s="1" t="s">
        <v>41</v>
      </c>
    </row>
    <row r="578" spans="1:12" ht="13" x14ac:dyDescent="0.15">
      <c r="A578" s="1">
        <v>2</v>
      </c>
      <c r="B578" s="1">
        <v>1</v>
      </c>
      <c r="C578" s="1">
        <v>4</v>
      </c>
      <c r="D578" s="1" t="s">
        <v>24</v>
      </c>
      <c r="E578" s="1">
        <v>102</v>
      </c>
      <c r="F578" s="1">
        <v>3.0000000000000001E-3</v>
      </c>
      <c r="G578" s="1">
        <v>247824</v>
      </c>
      <c r="H578" s="1">
        <v>4.1120000000000001</v>
      </c>
      <c r="I578" s="1">
        <v>3.0190000000000001</v>
      </c>
      <c r="J578" s="1">
        <v>5.1689999999999996</v>
      </c>
      <c r="K578" s="1">
        <v>8.1880000000000006</v>
      </c>
      <c r="L578" s="1" t="s">
        <v>41</v>
      </c>
    </row>
    <row r="579" spans="1:12" ht="13" x14ac:dyDescent="0.15">
      <c r="A579" s="1">
        <v>2</v>
      </c>
      <c r="B579" s="1">
        <v>1</v>
      </c>
      <c r="C579" s="1">
        <v>5</v>
      </c>
      <c r="D579" s="1" t="s">
        <v>24</v>
      </c>
      <c r="E579" s="1">
        <v>63</v>
      </c>
      <c r="F579" s="1">
        <v>1E-3</v>
      </c>
      <c r="G579" s="1">
        <v>163779</v>
      </c>
      <c r="H579" s="1">
        <v>2.645</v>
      </c>
      <c r="I579" s="1">
        <v>3.5830000000000002</v>
      </c>
      <c r="J579" s="1">
        <v>3.153</v>
      </c>
      <c r="K579" s="1">
        <v>6.7359999999999998</v>
      </c>
      <c r="L579" s="1" t="s">
        <v>41</v>
      </c>
    </row>
    <row r="580" spans="1:12" ht="13" x14ac:dyDescent="0.15">
      <c r="A580" s="1">
        <v>2</v>
      </c>
      <c r="B580" s="1">
        <v>1</v>
      </c>
      <c r="C580" s="1">
        <v>6</v>
      </c>
      <c r="D580" s="1" t="s">
        <v>24</v>
      </c>
      <c r="E580" s="1">
        <v>74</v>
      </c>
      <c r="F580" s="1">
        <v>2E-3</v>
      </c>
      <c r="G580" s="1">
        <v>131017</v>
      </c>
      <c r="H580" s="1">
        <v>2.3210000000000002</v>
      </c>
      <c r="I580" s="1">
        <v>3.3940000000000001</v>
      </c>
      <c r="J580" s="1">
        <v>2.8540000000000001</v>
      </c>
      <c r="K580" s="1">
        <v>6.2480000000000002</v>
      </c>
      <c r="L580" s="1" t="s">
        <v>41</v>
      </c>
    </row>
    <row r="581" spans="1:12" ht="13" x14ac:dyDescent="0.15">
      <c r="A581" s="1">
        <v>2</v>
      </c>
      <c r="B581" s="1">
        <v>1</v>
      </c>
      <c r="C581" s="1">
        <v>7</v>
      </c>
      <c r="D581" s="1" t="s">
        <v>24</v>
      </c>
      <c r="E581" s="1">
        <v>92</v>
      </c>
      <c r="F581" s="1">
        <v>3.0000000000000001E-3</v>
      </c>
      <c r="G581" s="1">
        <v>269358</v>
      </c>
      <c r="H581" s="1">
        <v>6.9530000000000003</v>
      </c>
      <c r="I581" s="1">
        <v>3.1120000000000001</v>
      </c>
      <c r="J581" s="1">
        <v>8.1470000000000002</v>
      </c>
      <c r="K581" s="1">
        <v>11.259</v>
      </c>
      <c r="L581" s="1" t="s">
        <v>41</v>
      </c>
    </row>
    <row r="582" spans="1:12" ht="13" x14ac:dyDescent="0.15">
      <c r="A582" s="1">
        <v>2</v>
      </c>
      <c r="B582" s="1">
        <v>1</v>
      </c>
      <c r="C582" s="1">
        <v>8</v>
      </c>
      <c r="D582" s="1" t="s">
        <v>24</v>
      </c>
      <c r="E582" s="1">
        <v>115</v>
      </c>
      <c r="F582" s="1">
        <v>3.0000000000000001E-3</v>
      </c>
      <c r="G582" s="1">
        <v>289698</v>
      </c>
      <c r="H582" s="1">
        <v>5.8879999999999999</v>
      </c>
      <c r="I582" s="1">
        <v>3.1760000000000002</v>
      </c>
      <c r="J582" s="1">
        <v>7.1260000000000003</v>
      </c>
      <c r="K582" s="1">
        <v>10.302</v>
      </c>
      <c r="L582" s="1" t="s">
        <v>41</v>
      </c>
    </row>
    <row r="583" spans="1:12" ht="13" x14ac:dyDescent="0.15">
      <c r="A583" s="1">
        <v>2</v>
      </c>
      <c r="B583" s="1">
        <v>1</v>
      </c>
      <c r="C583" s="1">
        <v>11</v>
      </c>
      <c r="D583" s="1" t="s">
        <v>24</v>
      </c>
      <c r="E583" s="1">
        <v>101</v>
      </c>
      <c r="F583" s="1">
        <v>5.0000000000000001E-3</v>
      </c>
      <c r="G583" s="1">
        <v>363446</v>
      </c>
      <c r="H583" s="1">
        <v>15.441000000000001</v>
      </c>
      <c r="I583" s="1">
        <v>2.8860000000000001</v>
      </c>
      <c r="J583" s="1">
        <v>17.257000000000001</v>
      </c>
      <c r="K583" s="1">
        <v>20.143000000000001</v>
      </c>
      <c r="L583" s="1" t="s">
        <v>41</v>
      </c>
    </row>
    <row r="584" spans="1:12" ht="13" x14ac:dyDescent="0.15">
      <c r="A584" s="1">
        <v>2</v>
      </c>
      <c r="B584" s="1">
        <v>1</v>
      </c>
      <c r="C584" s="1">
        <v>12</v>
      </c>
      <c r="D584" s="1" t="s">
        <v>24</v>
      </c>
      <c r="E584" s="1">
        <v>107</v>
      </c>
      <c r="F584" s="1">
        <v>4.0000000000000001E-3</v>
      </c>
      <c r="G584" s="1">
        <v>288223</v>
      </c>
      <c r="H584" s="1">
        <v>7.5190000000000001</v>
      </c>
      <c r="I584" s="1">
        <v>3.0030000000000001</v>
      </c>
      <c r="J584" s="1">
        <v>9.0210000000000008</v>
      </c>
      <c r="K584" s="1">
        <v>12.023999999999999</v>
      </c>
      <c r="L584" s="1" t="s">
        <v>41</v>
      </c>
    </row>
    <row r="585" spans="1:12" ht="13" x14ac:dyDescent="0.15">
      <c r="A585" s="1">
        <v>2</v>
      </c>
      <c r="B585" s="1">
        <v>1</v>
      </c>
      <c r="C585" s="1">
        <v>13</v>
      </c>
      <c r="D585" s="1" t="s">
        <v>24</v>
      </c>
      <c r="E585" s="1">
        <v>64</v>
      </c>
      <c r="F585" s="1">
        <v>2E-3</v>
      </c>
      <c r="G585" s="1">
        <v>219043</v>
      </c>
      <c r="H585" s="1">
        <v>4.4660000000000002</v>
      </c>
      <c r="I585" s="1">
        <v>3.137</v>
      </c>
      <c r="J585" s="1">
        <v>5.492</v>
      </c>
      <c r="K585" s="1">
        <v>8.6289999999999996</v>
      </c>
      <c r="L585" s="1" t="s">
        <v>41</v>
      </c>
    </row>
    <row r="586" spans="1:12" ht="13" x14ac:dyDescent="0.15">
      <c r="A586" s="1">
        <v>2</v>
      </c>
      <c r="B586" s="1">
        <v>1</v>
      </c>
      <c r="C586" s="1">
        <v>14</v>
      </c>
      <c r="D586" s="1" t="s">
        <v>24</v>
      </c>
      <c r="E586" s="1">
        <v>81</v>
      </c>
      <c r="F586" s="1">
        <v>2E-3</v>
      </c>
      <c r="G586" s="1">
        <v>223447</v>
      </c>
      <c r="H586" s="1">
        <v>4.6719999999999997</v>
      </c>
      <c r="I586" s="1">
        <v>3.1139999999999999</v>
      </c>
      <c r="J586" s="1">
        <v>5.8479999999999999</v>
      </c>
      <c r="K586" s="1">
        <v>8.9610000000000003</v>
      </c>
      <c r="L586" s="1" t="s">
        <v>41</v>
      </c>
    </row>
    <row r="587" spans="1:12" ht="13" x14ac:dyDescent="0.15">
      <c r="A587" s="1">
        <v>2</v>
      </c>
      <c r="B587" s="1">
        <v>1</v>
      </c>
      <c r="C587" s="1">
        <v>15</v>
      </c>
      <c r="D587" s="1" t="s">
        <v>24</v>
      </c>
      <c r="E587" s="1">
        <v>83</v>
      </c>
      <c r="F587" s="1">
        <v>2E-3</v>
      </c>
      <c r="G587" s="1">
        <v>185779</v>
      </c>
      <c r="H587" s="1">
        <v>3.956</v>
      </c>
      <c r="I587" s="1">
        <v>3.0880000000000001</v>
      </c>
      <c r="J587" s="1">
        <v>4.7300000000000004</v>
      </c>
      <c r="K587" s="1">
        <v>7.8179999999999996</v>
      </c>
      <c r="L587" s="1" t="s">
        <v>41</v>
      </c>
    </row>
    <row r="588" spans="1:12" ht="13" x14ac:dyDescent="0.15">
      <c r="A588" s="1">
        <v>2</v>
      </c>
      <c r="B588" s="1">
        <v>1</v>
      </c>
      <c r="C588" s="1">
        <v>16</v>
      </c>
      <c r="D588" s="1" t="s">
        <v>24</v>
      </c>
      <c r="E588" s="1">
        <v>95</v>
      </c>
      <c r="F588" s="1">
        <v>3.0000000000000001E-3</v>
      </c>
      <c r="G588" s="1">
        <v>250010</v>
      </c>
      <c r="H588" s="1">
        <v>8.2590000000000003</v>
      </c>
      <c r="I588" s="1">
        <v>3.0640000000000001</v>
      </c>
      <c r="J588" s="1">
        <v>9.2260000000000009</v>
      </c>
      <c r="K588" s="1">
        <v>12.289</v>
      </c>
      <c r="L588" s="1" t="s">
        <v>41</v>
      </c>
    </row>
    <row r="589" spans="1:12" ht="13" x14ac:dyDescent="0.15">
      <c r="A589" s="1">
        <v>2</v>
      </c>
      <c r="B589" s="1">
        <v>1</v>
      </c>
      <c r="C589" s="1">
        <v>17</v>
      </c>
      <c r="D589" s="1" t="s">
        <v>24</v>
      </c>
      <c r="E589" s="1">
        <v>84</v>
      </c>
      <c r="F589" s="1">
        <v>2E-3</v>
      </c>
      <c r="G589" s="1">
        <v>211615</v>
      </c>
      <c r="H589" s="1">
        <v>5.2969999999999997</v>
      </c>
      <c r="I589" s="1">
        <v>2.9609999999999999</v>
      </c>
      <c r="J589" s="1">
        <v>6.0880000000000001</v>
      </c>
      <c r="K589" s="1">
        <v>9.0489999999999995</v>
      </c>
      <c r="L589" s="1" t="s">
        <v>41</v>
      </c>
    </row>
    <row r="590" spans="1:12" ht="13" x14ac:dyDescent="0.15">
      <c r="A590" s="1">
        <v>2</v>
      </c>
      <c r="B590" s="1">
        <v>1</v>
      </c>
      <c r="C590" s="1">
        <v>18</v>
      </c>
      <c r="D590" s="1" t="s">
        <v>24</v>
      </c>
      <c r="E590" s="1">
        <v>84</v>
      </c>
      <c r="F590" s="1">
        <v>3.0000000000000001E-3</v>
      </c>
      <c r="G590" s="1">
        <v>237984</v>
      </c>
      <c r="H590" s="1">
        <v>6.5860000000000003</v>
      </c>
      <c r="I590" s="1">
        <v>3.6030000000000002</v>
      </c>
      <c r="J590" s="1">
        <v>7.3129999999999997</v>
      </c>
      <c r="K590" s="1">
        <v>10.916</v>
      </c>
      <c r="L590" s="1" t="s">
        <v>41</v>
      </c>
    </row>
    <row r="591" spans="1:12" ht="13" x14ac:dyDescent="0.15">
      <c r="A591" s="1">
        <v>2</v>
      </c>
      <c r="B591" s="1">
        <v>1</v>
      </c>
      <c r="C591" s="1">
        <v>20</v>
      </c>
      <c r="D591" s="1" t="s">
        <v>24</v>
      </c>
      <c r="E591" s="1">
        <v>97</v>
      </c>
      <c r="F591" s="1">
        <v>4.0000000000000001E-3</v>
      </c>
      <c r="G591" s="1">
        <v>247482</v>
      </c>
      <c r="H591" s="1">
        <v>8.3689999999999998</v>
      </c>
      <c r="I591" s="1">
        <v>3.1840000000000002</v>
      </c>
      <c r="J591" s="1">
        <v>9.1859999999999999</v>
      </c>
      <c r="K591" s="1">
        <v>12.37</v>
      </c>
      <c r="L591" s="1" t="s">
        <v>41</v>
      </c>
    </row>
    <row r="592" spans="1:12" ht="13" x14ac:dyDescent="0.15">
      <c r="A592" s="1">
        <v>2</v>
      </c>
      <c r="B592" s="1">
        <v>2</v>
      </c>
      <c r="C592" s="1">
        <v>1</v>
      </c>
      <c r="D592" s="1" t="s">
        <v>24</v>
      </c>
      <c r="E592" s="1">
        <v>231</v>
      </c>
      <c r="F592" s="1">
        <v>1.2999999999999999E-2</v>
      </c>
      <c r="G592" s="1">
        <v>3541413</v>
      </c>
      <c r="H592" s="1">
        <v>205.488</v>
      </c>
      <c r="I592" s="1">
        <v>12.135</v>
      </c>
      <c r="J592" s="1">
        <v>221.761</v>
      </c>
      <c r="K592" s="1">
        <v>233.89599999999999</v>
      </c>
      <c r="L592" s="1" t="s">
        <v>41</v>
      </c>
    </row>
    <row r="593" spans="1:12" ht="13" x14ac:dyDescent="0.15">
      <c r="A593" s="1">
        <v>2</v>
      </c>
      <c r="B593" s="1">
        <v>2</v>
      </c>
      <c r="C593" s="1">
        <v>2</v>
      </c>
      <c r="D593" s="1" t="s">
        <v>24</v>
      </c>
      <c r="E593" s="1">
        <v>221</v>
      </c>
      <c r="F593" s="1">
        <v>8.0000000000000002E-3</v>
      </c>
      <c r="G593" s="1">
        <v>1878144</v>
      </c>
      <c r="H593" s="1">
        <v>49.423999999999999</v>
      </c>
      <c r="I593" s="1">
        <v>11.984</v>
      </c>
      <c r="J593" s="1">
        <v>58.301000000000002</v>
      </c>
      <c r="K593" s="1">
        <v>70.284000000000006</v>
      </c>
      <c r="L593" s="1" t="s">
        <v>41</v>
      </c>
    </row>
    <row r="594" spans="1:12" ht="13" x14ac:dyDescent="0.15">
      <c r="A594" s="1">
        <v>2</v>
      </c>
      <c r="B594" s="1">
        <v>2</v>
      </c>
      <c r="C594" s="1">
        <v>3</v>
      </c>
      <c r="D594" s="1" t="s">
        <v>24</v>
      </c>
      <c r="E594" s="1">
        <v>381</v>
      </c>
      <c r="F594" s="1">
        <v>2.7E-2</v>
      </c>
      <c r="G594" s="1">
        <v>5317881</v>
      </c>
      <c r="H594" s="1">
        <v>357.45600000000002</v>
      </c>
      <c r="I594" s="1">
        <v>11.368</v>
      </c>
      <c r="J594" s="1">
        <v>379.27699999999999</v>
      </c>
      <c r="K594" s="1">
        <v>390.64499999999998</v>
      </c>
      <c r="L594" s="1" t="s">
        <v>41</v>
      </c>
    </row>
    <row r="595" spans="1:12" ht="13" x14ac:dyDescent="0.15">
      <c r="A595" s="1">
        <v>2</v>
      </c>
      <c r="B595" s="1">
        <v>2</v>
      </c>
      <c r="C595" s="1">
        <v>5</v>
      </c>
      <c r="D595" s="1" t="s">
        <v>24</v>
      </c>
      <c r="E595" s="1">
        <v>216</v>
      </c>
      <c r="F595" s="1">
        <v>8.9999999999999993E-3</v>
      </c>
      <c r="G595" s="1">
        <v>3003303</v>
      </c>
      <c r="H595" s="1">
        <v>98.899000000000001</v>
      </c>
      <c r="I595" s="1">
        <v>12.379</v>
      </c>
      <c r="J595" s="1">
        <v>108.93899999999999</v>
      </c>
      <c r="K595" s="1">
        <v>121.318</v>
      </c>
      <c r="L595" s="1" t="s">
        <v>41</v>
      </c>
    </row>
    <row r="596" spans="1:12" ht="13" x14ac:dyDescent="0.15">
      <c r="A596" s="1">
        <v>2</v>
      </c>
      <c r="B596" s="1">
        <v>2</v>
      </c>
      <c r="C596" s="1">
        <v>6</v>
      </c>
      <c r="D596" s="1" t="s">
        <v>24</v>
      </c>
      <c r="E596" s="1">
        <v>213</v>
      </c>
      <c r="F596" s="1">
        <v>6.0000000000000001E-3</v>
      </c>
      <c r="G596" s="1">
        <v>2210721</v>
      </c>
      <c r="H596" s="1">
        <v>50.136000000000003</v>
      </c>
      <c r="I596" s="1">
        <v>12.035</v>
      </c>
      <c r="J596" s="1">
        <v>57.444000000000003</v>
      </c>
      <c r="K596" s="1">
        <v>69.477999999999994</v>
      </c>
      <c r="L596" s="1" t="s">
        <v>41</v>
      </c>
    </row>
    <row r="597" spans="1:12" ht="13" x14ac:dyDescent="0.15">
      <c r="A597" s="1">
        <v>2</v>
      </c>
      <c r="B597" s="1">
        <v>2</v>
      </c>
      <c r="C597" s="1">
        <v>8</v>
      </c>
      <c r="D597" s="1" t="s">
        <v>24</v>
      </c>
      <c r="E597" s="1">
        <v>364</v>
      </c>
      <c r="F597" s="1">
        <v>1.7999999999999999E-2</v>
      </c>
      <c r="G597" s="1">
        <v>4044195</v>
      </c>
      <c r="H597" s="1">
        <v>191.608</v>
      </c>
      <c r="I597" s="1">
        <v>11.712999999999999</v>
      </c>
      <c r="J597" s="1">
        <v>207.892</v>
      </c>
      <c r="K597" s="1">
        <v>219.60599999999999</v>
      </c>
      <c r="L597" s="1" t="s">
        <v>41</v>
      </c>
    </row>
    <row r="598" spans="1:12" ht="13" x14ac:dyDescent="0.15">
      <c r="A598" s="1">
        <v>2</v>
      </c>
      <c r="B598" s="1">
        <v>2</v>
      </c>
      <c r="C598" s="1">
        <v>11</v>
      </c>
      <c r="D598" s="1" t="s">
        <v>24</v>
      </c>
      <c r="E598" s="1">
        <v>290</v>
      </c>
      <c r="F598" s="1">
        <v>1.7999999999999999E-2</v>
      </c>
      <c r="G598" s="1">
        <v>4281760</v>
      </c>
      <c r="H598" s="1">
        <v>239.26</v>
      </c>
      <c r="I598" s="1">
        <v>11.493</v>
      </c>
      <c r="J598" s="1">
        <v>256.40499999999997</v>
      </c>
      <c r="K598" s="1">
        <v>267.899</v>
      </c>
      <c r="L598" s="1" t="s">
        <v>41</v>
      </c>
    </row>
    <row r="599" spans="1:12" ht="13" x14ac:dyDescent="0.15">
      <c r="A599" s="1">
        <v>2</v>
      </c>
      <c r="B599" s="1">
        <v>2</v>
      </c>
      <c r="C599" s="1">
        <v>12</v>
      </c>
      <c r="D599" s="1" t="s">
        <v>24</v>
      </c>
      <c r="E599" s="1">
        <v>296</v>
      </c>
      <c r="F599" s="1">
        <v>1.4E-2</v>
      </c>
      <c r="G599" s="1">
        <v>3119495</v>
      </c>
      <c r="H599" s="1">
        <v>118.202</v>
      </c>
      <c r="I599" s="1">
        <v>11.349</v>
      </c>
      <c r="J599" s="1">
        <v>130.62</v>
      </c>
      <c r="K599" s="1">
        <v>141.96899999999999</v>
      </c>
      <c r="L599" s="1" t="s">
        <v>41</v>
      </c>
    </row>
    <row r="600" spans="1:12" ht="13" x14ac:dyDescent="0.15">
      <c r="A600" s="1">
        <v>2</v>
      </c>
      <c r="B600" s="1">
        <v>2</v>
      </c>
      <c r="C600" s="1">
        <v>14</v>
      </c>
      <c r="D600" s="1" t="s">
        <v>24</v>
      </c>
      <c r="E600" s="1">
        <v>219</v>
      </c>
      <c r="F600" s="1">
        <v>8.0000000000000002E-3</v>
      </c>
      <c r="G600" s="1">
        <v>2460136</v>
      </c>
      <c r="H600" s="1">
        <v>78.111999999999995</v>
      </c>
      <c r="I600" s="1">
        <v>11.612</v>
      </c>
      <c r="J600" s="1">
        <v>87.555999999999997</v>
      </c>
      <c r="K600" s="1">
        <v>99.167000000000002</v>
      </c>
      <c r="L600" s="1" t="s">
        <v>41</v>
      </c>
    </row>
    <row r="601" spans="1:12" ht="13" x14ac:dyDescent="0.15">
      <c r="A601" s="1">
        <v>2</v>
      </c>
      <c r="B601" s="1">
        <v>2</v>
      </c>
      <c r="C601" s="1">
        <v>15</v>
      </c>
      <c r="D601" s="1" t="s">
        <v>24</v>
      </c>
      <c r="E601" s="1">
        <v>219</v>
      </c>
      <c r="F601" s="1">
        <v>6.0000000000000001E-3</v>
      </c>
      <c r="G601" s="1">
        <v>2321200</v>
      </c>
      <c r="H601" s="1">
        <v>51.732999999999997</v>
      </c>
      <c r="I601" s="1">
        <v>11.576000000000001</v>
      </c>
      <c r="J601" s="1">
        <v>59.927</v>
      </c>
      <c r="K601" s="1">
        <v>71.501999999999995</v>
      </c>
      <c r="L601" s="1" t="s">
        <v>41</v>
      </c>
    </row>
    <row r="602" spans="1:12" ht="13" x14ac:dyDescent="0.15">
      <c r="A602" s="1">
        <v>2</v>
      </c>
      <c r="B602" s="1">
        <v>2</v>
      </c>
      <c r="C602" s="1">
        <v>16</v>
      </c>
      <c r="D602" s="1" t="s">
        <v>24</v>
      </c>
      <c r="E602" s="1">
        <v>302</v>
      </c>
      <c r="F602" s="1">
        <v>1.2E-2</v>
      </c>
      <c r="G602" s="1">
        <v>2928900</v>
      </c>
      <c r="H602" s="1">
        <v>94.757000000000005</v>
      </c>
      <c r="I602" s="1">
        <v>11.315</v>
      </c>
      <c r="J602" s="1">
        <v>110.057</v>
      </c>
      <c r="K602" s="1">
        <v>121.372</v>
      </c>
      <c r="L602" s="1" t="s">
        <v>41</v>
      </c>
    </row>
    <row r="603" spans="1:12" ht="13" x14ac:dyDescent="0.15">
      <c r="A603" s="1">
        <v>2</v>
      </c>
      <c r="B603" s="1">
        <v>2</v>
      </c>
      <c r="C603" s="1">
        <v>17</v>
      </c>
      <c r="D603" s="1" t="s">
        <v>24</v>
      </c>
      <c r="E603" s="1">
        <v>259</v>
      </c>
      <c r="F603" s="1">
        <v>0.01</v>
      </c>
      <c r="G603" s="1">
        <v>3054073</v>
      </c>
      <c r="H603" s="1">
        <v>96.338999999999999</v>
      </c>
      <c r="I603" s="1">
        <v>11.041</v>
      </c>
      <c r="J603" s="1">
        <v>109.825</v>
      </c>
      <c r="K603" s="1">
        <v>120.866</v>
      </c>
      <c r="L603" s="1" t="s">
        <v>41</v>
      </c>
    </row>
    <row r="604" spans="1:12" ht="13" x14ac:dyDescent="0.15">
      <c r="A604" s="1">
        <v>2</v>
      </c>
      <c r="B604" s="1">
        <v>2</v>
      </c>
      <c r="C604" s="1">
        <v>18</v>
      </c>
      <c r="D604" s="1" t="s">
        <v>24</v>
      </c>
      <c r="E604" s="1">
        <v>281</v>
      </c>
      <c r="F604" s="1">
        <v>8.9999999999999993E-3</v>
      </c>
      <c r="G604" s="1">
        <v>3285683</v>
      </c>
      <c r="H604" s="1">
        <v>81.061999999999998</v>
      </c>
      <c r="I604" s="1">
        <v>12.321</v>
      </c>
      <c r="J604" s="1">
        <v>94.631</v>
      </c>
      <c r="K604" s="1">
        <v>106.952</v>
      </c>
      <c r="L604" s="1" t="s">
        <v>41</v>
      </c>
    </row>
    <row r="605" spans="1:12" ht="13" x14ac:dyDescent="0.15">
      <c r="A605" s="1">
        <v>2</v>
      </c>
      <c r="B605" s="1">
        <v>2</v>
      </c>
      <c r="C605" s="1">
        <v>20</v>
      </c>
      <c r="D605" s="1" t="s">
        <v>24</v>
      </c>
      <c r="E605" s="1">
        <v>296</v>
      </c>
      <c r="F605" s="1">
        <v>1.2999999999999999E-2</v>
      </c>
      <c r="G605" s="1">
        <v>2850379</v>
      </c>
      <c r="H605" s="1">
        <v>109.259</v>
      </c>
      <c r="I605" s="1">
        <v>11.672000000000001</v>
      </c>
      <c r="J605" s="1">
        <v>120.36799999999999</v>
      </c>
      <c r="K605" s="1">
        <v>132.04</v>
      </c>
      <c r="L605" s="1" t="s">
        <v>41</v>
      </c>
    </row>
    <row r="606" spans="1:12" ht="13" x14ac:dyDescent="0.15">
      <c r="A606" s="1">
        <v>2</v>
      </c>
      <c r="B606" s="1">
        <v>3</v>
      </c>
      <c r="C606" s="1">
        <v>1</v>
      </c>
      <c r="D606" s="1" t="s">
        <v>24</v>
      </c>
      <c r="E606" s="1">
        <v>534</v>
      </c>
      <c r="F606" s="1">
        <v>6.7000000000000004E-2</v>
      </c>
      <c r="G606" s="1">
        <v>26169217</v>
      </c>
      <c r="H606" s="1">
        <v>1575.6510000000001</v>
      </c>
      <c r="I606" s="1">
        <v>33.628999999999998</v>
      </c>
      <c r="J606" s="1">
        <v>1681.7539999999999</v>
      </c>
      <c r="K606" s="1">
        <v>1715.386</v>
      </c>
      <c r="L606" s="1" t="s">
        <v>41</v>
      </c>
    </row>
    <row r="607" spans="1:12" ht="13" x14ac:dyDescent="0.15">
      <c r="A607" s="1">
        <v>2</v>
      </c>
      <c r="B607" s="1">
        <v>3</v>
      </c>
      <c r="C607" s="1">
        <v>2</v>
      </c>
      <c r="D607" s="1" t="s">
        <v>24</v>
      </c>
      <c r="E607" s="1">
        <v>449</v>
      </c>
      <c r="F607" s="1">
        <v>4.2000000000000003E-2</v>
      </c>
      <c r="G607" s="1">
        <v>13402053</v>
      </c>
      <c r="H607" s="1">
        <v>470.75700000000001</v>
      </c>
      <c r="I607" s="1">
        <v>32.774000000000001</v>
      </c>
      <c r="J607" s="1">
        <v>522.97799999999995</v>
      </c>
      <c r="K607" s="1">
        <v>555.75400000000002</v>
      </c>
      <c r="L607" s="1" t="s">
        <v>41</v>
      </c>
    </row>
    <row r="608" spans="1:12" ht="13" x14ac:dyDescent="0.15">
      <c r="A608" s="1">
        <v>2</v>
      </c>
      <c r="B608" s="1">
        <v>3</v>
      </c>
      <c r="C608" s="1">
        <v>3</v>
      </c>
      <c r="D608" s="1" t="s">
        <v>24</v>
      </c>
      <c r="E608" s="1">
        <v>878</v>
      </c>
      <c r="F608" s="1">
        <v>7.0000000000000007E-2</v>
      </c>
      <c r="G608" s="1">
        <v>35923828</v>
      </c>
      <c r="H608" s="1">
        <v>2359.41</v>
      </c>
      <c r="I608" s="1">
        <v>30.895</v>
      </c>
      <c r="J608" s="1">
        <v>2515.4679999999998</v>
      </c>
      <c r="K608" s="1">
        <v>2546.3649999999998</v>
      </c>
      <c r="L608" s="1" t="s">
        <v>41</v>
      </c>
    </row>
    <row r="609" spans="1:26" ht="13" x14ac:dyDescent="0.15">
      <c r="A609" s="1">
        <v>2</v>
      </c>
      <c r="B609" s="1">
        <v>3</v>
      </c>
      <c r="C609" s="1">
        <v>5</v>
      </c>
      <c r="D609" s="1" t="s">
        <v>24</v>
      </c>
      <c r="E609" s="1">
        <v>524</v>
      </c>
      <c r="F609" s="1">
        <v>2.5000000000000001E-2</v>
      </c>
      <c r="G609" s="1">
        <v>18494846</v>
      </c>
      <c r="H609" s="1">
        <v>603.28099999999995</v>
      </c>
      <c r="I609" s="1">
        <v>32.564</v>
      </c>
      <c r="J609" s="1">
        <v>680.01099999999997</v>
      </c>
      <c r="K609" s="1">
        <v>712.577</v>
      </c>
      <c r="L609" s="1" t="s">
        <v>41</v>
      </c>
    </row>
    <row r="610" spans="1:26" ht="13" x14ac:dyDescent="0.15">
      <c r="A610" s="1">
        <v>2</v>
      </c>
      <c r="B610" s="1">
        <v>3</v>
      </c>
      <c r="C610" s="1">
        <v>6</v>
      </c>
      <c r="D610" s="1" t="s">
        <v>24</v>
      </c>
      <c r="E610" s="1">
        <v>555</v>
      </c>
      <c r="F610" s="1">
        <v>2.3E-2</v>
      </c>
      <c r="G610" s="1">
        <v>17638163</v>
      </c>
      <c r="H610" s="1">
        <v>463.25299999999999</v>
      </c>
      <c r="I610" s="1">
        <v>32.412999999999997</v>
      </c>
      <c r="J610" s="1">
        <v>528.15800000000002</v>
      </c>
      <c r="K610" s="1">
        <v>560.572</v>
      </c>
      <c r="L610" s="1" t="s">
        <v>41</v>
      </c>
    </row>
    <row r="611" spans="1:26" ht="13" x14ac:dyDescent="0.15">
      <c r="A611" s="1">
        <v>2</v>
      </c>
      <c r="B611" s="1">
        <v>3</v>
      </c>
      <c r="C611" s="1">
        <v>8</v>
      </c>
      <c r="D611" s="1" t="s">
        <v>24</v>
      </c>
      <c r="E611" s="1">
        <v>771</v>
      </c>
      <c r="F611" s="1">
        <v>6.3E-2</v>
      </c>
      <c r="G611" s="1">
        <v>27071274</v>
      </c>
      <c r="H611" s="1">
        <v>2051.9090000000001</v>
      </c>
      <c r="I611" s="1">
        <v>31.425999999999998</v>
      </c>
      <c r="J611" s="1">
        <v>2185.8760000000002</v>
      </c>
      <c r="K611" s="1">
        <v>2217.3049999999998</v>
      </c>
      <c r="L611" s="1" t="s">
        <v>41</v>
      </c>
    </row>
    <row r="612" spans="1:26" ht="13" x14ac:dyDescent="0.15">
      <c r="A612" s="1">
        <v>2</v>
      </c>
      <c r="B612" s="1">
        <v>3</v>
      </c>
      <c r="C612" s="1">
        <v>11</v>
      </c>
      <c r="D612" s="1" t="s">
        <v>24</v>
      </c>
      <c r="E612" s="1">
        <v>746</v>
      </c>
      <c r="F612" s="1">
        <v>0.13600000000000001</v>
      </c>
      <c r="G612" s="1">
        <v>31759942</v>
      </c>
      <c r="H612" s="1">
        <v>2035.816</v>
      </c>
      <c r="I612" s="1">
        <v>31.03</v>
      </c>
      <c r="J612" s="1">
        <v>2190.7919999999999</v>
      </c>
      <c r="K612" s="1">
        <v>2221.8449999999998</v>
      </c>
      <c r="L612" s="1" t="s">
        <v>41</v>
      </c>
    </row>
    <row r="613" spans="1:26" ht="13" x14ac:dyDescent="0.15">
      <c r="A613" s="1">
        <v>2</v>
      </c>
      <c r="B613" s="1">
        <v>3</v>
      </c>
      <c r="C613" s="1">
        <v>12</v>
      </c>
      <c r="D613" s="1" t="s">
        <v>24</v>
      </c>
      <c r="E613" s="1">
        <v>729</v>
      </c>
      <c r="F613" s="1">
        <v>5.5E-2</v>
      </c>
      <c r="G613" s="1">
        <v>23421476</v>
      </c>
      <c r="H613" s="1">
        <v>1418.0650000000001</v>
      </c>
      <c r="I613" s="1">
        <v>30.893999999999998</v>
      </c>
      <c r="J613" s="1">
        <v>1540.066</v>
      </c>
      <c r="K613" s="1">
        <v>1570.9639999999999</v>
      </c>
      <c r="L613" s="1" t="s">
        <v>41</v>
      </c>
    </row>
    <row r="614" spans="1:26" ht="13" x14ac:dyDescent="0.15">
      <c r="A614" s="1">
        <v>2</v>
      </c>
      <c r="B614" s="1">
        <v>3</v>
      </c>
      <c r="C614" s="1">
        <v>15</v>
      </c>
      <c r="D614" s="1" t="s">
        <v>24</v>
      </c>
      <c r="E614" s="1">
        <v>454</v>
      </c>
      <c r="F614" s="1">
        <v>0.04</v>
      </c>
      <c r="G614" s="1">
        <v>16137020</v>
      </c>
      <c r="H614" s="1">
        <v>410.40499999999997</v>
      </c>
      <c r="I614" s="1">
        <v>32.805999999999997</v>
      </c>
      <c r="J614" s="1">
        <v>464.52699999999999</v>
      </c>
      <c r="K614" s="1">
        <v>497.33499999999998</v>
      </c>
      <c r="L614" s="1" t="s">
        <v>41</v>
      </c>
    </row>
    <row r="615" spans="1:26" ht="13" x14ac:dyDescent="0.15">
      <c r="A615" s="1">
        <v>2</v>
      </c>
      <c r="B615" s="1">
        <v>3</v>
      </c>
      <c r="C615" s="1">
        <v>16</v>
      </c>
      <c r="D615" s="1" t="s">
        <v>24</v>
      </c>
      <c r="E615" s="1">
        <v>761</v>
      </c>
      <c r="F615" s="1">
        <v>9.0999999999999998E-2</v>
      </c>
      <c r="G615" s="1">
        <v>20521693</v>
      </c>
      <c r="H615" s="1">
        <v>987.596</v>
      </c>
      <c r="I615" s="1">
        <v>30.376000000000001</v>
      </c>
      <c r="J615" s="1">
        <v>1090.8779999999999</v>
      </c>
      <c r="K615" s="1">
        <v>1121.269</v>
      </c>
      <c r="L615" s="1" t="s">
        <v>41</v>
      </c>
    </row>
    <row r="616" spans="1:26" ht="13" x14ac:dyDescent="0.15">
      <c r="A616" s="1">
        <v>2</v>
      </c>
      <c r="B616" s="1">
        <v>3</v>
      </c>
      <c r="C616" s="1">
        <v>18</v>
      </c>
      <c r="D616" s="1" t="s">
        <v>24</v>
      </c>
      <c r="E616" s="1">
        <v>737</v>
      </c>
      <c r="F616" s="1">
        <v>3.2000000000000001E-2</v>
      </c>
      <c r="G616" s="1">
        <v>26365174</v>
      </c>
      <c r="H616" s="1">
        <v>807.17899999999997</v>
      </c>
      <c r="I616" s="1">
        <v>32.860999999999997</v>
      </c>
      <c r="J616" s="1">
        <v>920.44200000000001</v>
      </c>
      <c r="K616" s="1">
        <v>953.30399999999997</v>
      </c>
      <c r="L616" s="1" t="s">
        <v>41</v>
      </c>
    </row>
    <row r="617" spans="1:26" ht="13" x14ac:dyDescent="0.15">
      <c r="A617" s="1">
        <v>2</v>
      </c>
      <c r="B617" s="1">
        <v>3</v>
      </c>
      <c r="C617" s="1">
        <v>20</v>
      </c>
      <c r="D617" s="1" t="s">
        <v>24</v>
      </c>
      <c r="E617" s="1">
        <v>571</v>
      </c>
      <c r="F617" s="1">
        <v>3.3000000000000002E-2</v>
      </c>
      <c r="G617" s="1">
        <v>18701739</v>
      </c>
      <c r="H617" s="1">
        <v>876.12300000000005</v>
      </c>
      <c r="I617" s="1">
        <v>31.832000000000001</v>
      </c>
      <c r="J617" s="1">
        <v>949.29</v>
      </c>
      <c r="K617" s="1">
        <v>981.12400000000002</v>
      </c>
      <c r="L617" s="1" t="s">
        <v>41</v>
      </c>
    </row>
    <row r="618" spans="1:26" ht="13" x14ac:dyDescent="0.15">
      <c r="A618" s="5">
        <v>2</v>
      </c>
      <c r="B618" s="5">
        <v>4</v>
      </c>
      <c r="C618" s="5">
        <v>1</v>
      </c>
      <c r="D618" s="6" t="s">
        <v>24</v>
      </c>
      <c r="E618" s="5">
        <v>1378</v>
      </c>
      <c r="F618" s="5">
        <v>0.39</v>
      </c>
      <c r="G618" s="5">
        <v>140291313</v>
      </c>
      <c r="H618" s="5">
        <v>9574.4</v>
      </c>
      <c r="I618" s="5">
        <v>70.998000000000005</v>
      </c>
      <c r="J618" s="5">
        <v>10250.299999999999</v>
      </c>
      <c r="K618" s="5">
        <v>10321.299999999999</v>
      </c>
      <c r="L618" s="6" t="s">
        <v>41</v>
      </c>
    </row>
    <row r="619" spans="1:26" ht="13" x14ac:dyDescent="0.15">
      <c r="A619" s="5">
        <v>2</v>
      </c>
      <c r="B619" s="5">
        <v>4</v>
      </c>
      <c r="C619" s="5">
        <v>2</v>
      </c>
      <c r="D619" s="6" t="s">
        <v>24</v>
      </c>
      <c r="E619" s="5">
        <v>1004</v>
      </c>
      <c r="F619" s="5">
        <v>8.5999999999999993E-2</v>
      </c>
      <c r="G619" s="5">
        <v>74855925</v>
      </c>
      <c r="H619" s="5">
        <v>3528.6689999999999</v>
      </c>
      <c r="I619" s="5">
        <v>69.691000000000003</v>
      </c>
      <c r="J619" s="5">
        <v>3881.2809999999999</v>
      </c>
      <c r="K619" s="5">
        <v>3950.9940000000001</v>
      </c>
      <c r="L619" s="6" t="s">
        <v>41</v>
      </c>
    </row>
    <row r="620" spans="1:26" ht="13" x14ac:dyDescent="0.15">
      <c r="A620" s="5">
        <v>2</v>
      </c>
      <c r="B620" s="5">
        <v>4</v>
      </c>
      <c r="C620" s="5">
        <v>3</v>
      </c>
      <c r="D620" s="6" t="s">
        <v>24</v>
      </c>
      <c r="E620" s="5">
        <v>1779</v>
      </c>
      <c r="F620" s="5">
        <v>0.17699999999999999</v>
      </c>
      <c r="G620" s="5">
        <v>167124257</v>
      </c>
      <c r="H620" s="5">
        <v>11894.981</v>
      </c>
      <c r="I620" s="5">
        <v>67.125</v>
      </c>
      <c r="J620" s="5">
        <v>12707.271000000001</v>
      </c>
      <c r="K620" s="5">
        <v>12774.397999999999</v>
      </c>
      <c r="L620" s="6" t="s">
        <v>41</v>
      </c>
    </row>
    <row r="621" spans="1:26" ht="13" x14ac:dyDescent="0.15">
      <c r="A621" s="5">
        <v>2</v>
      </c>
      <c r="B621" s="5">
        <v>4</v>
      </c>
      <c r="C621" s="5">
        <v>5</v>
      </c>
      <c r="D621" s="6" t="s">
        <v>24</v>
      </c>
      <c r="E621" s="5">
        <v>1216</v>
      </c>
      <c r="F621" s="5">
        <v>0.158</v>
      </c>
      <c r="G621" s="5">
        <v>104691736</v>
      </c>
      <c r="H621" s="5">
        <v>3776.7089999999998</v>
      </c>
      <c r="I621" s="5">
        <v>70.611999999999995</v>
      </c>
      <c r="J621" s="5">
        <v>4262.4250000000002</v>
      </c>
      <c r="K621" s="5">
        <v>4333.058</v>
      </c>
      <c r="L621" s="6" t="s">
        <v>41</v>
      </c>
    </row>
    <row r="622" spans="1:26" ht="13" x14ac:dyDescent="0.15">
      <c r="A622" s="5">
        <v>2</v>
      </c>
      <c r="B622" s="5">
        <v>4</v>
      </c>
      <c r="C622" s="5">
        <v>6</v>
      </c>
      <c r="D622" s="6" t="s">
        <v>24</v>
      </c>
      <c r="E622" s="5">
        <v>1259</v>
      </c>
      <c r="F622" s="5">
        <v>7.5999999999999998E-2</v>
      </c>
      <c r="G622" s="5">
        <v>96867930</v>
      </c>
      <c r="H622" s="5">
        <v>3262.7710000000002</v>
      </c>
      <c r="I622" s="5">
        <v>70.069000000000003</v>
      </c>
      <c r="J622" s="5">
        <v>3614.0740000000001</v>
      </c>
      <c r="K622" s="5">
        <v>3684.145</v>
      </c>
      <c r="L622" s="6" t="s">
        <v>41</v>
      </c>
    </row>
    <row r="623" spans="1:26" ht="13" x14ac:dyDescent="0.15">
      <c r="A623" s="5">
        <v>2</v>
      </c>
      <c r="B623" s="5">
        <v>4</v>
      </c>
      <c r="C623" s="5">
        <v>7</v>
      </c>
      <c r="D623" s="6" t="s">
        <v>24</v>
      </c>
      <c r="E623" s="5">
        <v>1407</v>
      </c>
      <c r="F623" s="5">
        <v>0.26700000000000002</v>
      </c>
      <c r="G623" s="5">
        <v>128450128</v>
      </c>
      <c r="H623" s="5">
        <v>7006.5860000000002</v>
      </c>
      <c r="I623" s="5">
        <v>69.158000000000001</v>
      </c>
      <c r="J623" s="5">
        <v>7522.9949999999999</v>
      </c>
      <c r="K623" s="5">
        <v>7592.1540000000005</v>
      </c>
      <c r="L623" s="6" t="s">
        <v>41</v>
      </c>
    </row>
    <row r="624" spans="1:26" ht="13" x14ac:dyDescent="0.15">
      <c r="A624" s="2">
        <v>3</v>
      </c>
      <c r="B624" s="2">
        <v>1</v>
      </c>
      <c r="C624" s="2">
        <v>4</v>
      </c>
      <c r="D624" s="2" t="s">
        <v>19</v>
      </c>
      <c r="E624" s="2">
        <v>314</v>
      </c>
      <c r="F624" s="2">
        <v>2.1999999999999999E-2</v>
      </c>
      <c r="G624" s="2">
        <v>3612786</v>
      </c>
      <c r="H624" s="2">
        <v>245.351</v>
      </c>
      <c r="I624" s="2">
        <v>11.238</v>
      </c>
      <c r="J624" s="2">
        <v>263.20999999999998</v>
      </c>
      <c r="K624" s="2">
        <v>274.44799999999998</v>
      </c>
      <c r="L624" s="2" t="s">
        <v>41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>
        <v>3</v>
      </c>
      <c r="B625" s="2">
        <v>1</v>
      </c>
      <c r="C625" s="2">
        <v>7</v>
      </c>
      <c r="D625" s="2" t="s">
        <v>27</v>
      </c>
      <c r="E625" s="2">
        <v>272</v>
      </c>
      <c r="F625" s="2">
        <v>1.2999999999999999E-2</v>
      </c>
      <c r="G625" s="2">
        <v>3229649</v>
      </c>
      <c r="H625" s="2">
        <v>160.55000000000001</v>
      </c>
      <c r="I625" s="2">
        <v>11.819000000000001</v>
      </c>
      <c r="J625" s="2">
        <v>172.56100000000001</v>
      </c>
      <c r="K625" s="2">
        <v>184.38</v>
      </c>
      <c r="L625" s="2" t="s">
        <v>41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>
        <v>3</v>
      </c>
      <c r="B626" s="2">
        <v>1</v>
      </c>
      <c r="C626" s="2">
        <v>10</v>
      </c>
      <c r="D626" s="2" t="s">
        <v>20</v>
      </c>
      <c r="E626" s="2">
        <v>358</v>
      </c>
      <c r="F626" s="2">
        <v>1.2999999999999999E-2</v>
      </c>
      <c r="G626" s="2">
        <v>4033914</v>
      </c>
      <c r="H626" s="2">
        <v>118.035</v>
      </c>
      <c r="I626" s="2">
        <v>11.641999999999999</v>
      </c>
      <c r="J626" s="2">
        <v>134.25700000000001</v>
      </c>
      <c r="K626" s="2">
        <v>145.899</v>
      </c>
      <c r="L626" s="2" t="s">
        <v>41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>
        <v>3</v>
      </c>
      <c r="B627" s="2">
        <v>1</v>
      </c>
      <c r="C627" s="2">
        <v>13</v>
      </c>
      <c r="D627" s="2" t="s">
        <v>42</v>
      </c>
      <c r="E627" s="2">
        <v>242</v>
      </c>
      <c r="F627" s="2">
        <v>1.7000000000000001E-2</v>
      </c>
      <c r="G627" s="2">
        <v>3573819</v>
      </c>
      <c r="H627" s="2">
        <v>232.46700000000001</v>
      </c>
      <c r="I627" s="2">
        <v>11.276999999999999</v>
      </c>
      <c r="J627" s="2">
        <v>246.02099999999999</v>
      </c>
      <c r="K627" s="2">
        <v>257.298</v>
      </c>
      <c r="L627" s="2" t="s">
        <v>41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>
        <v>3</v>
      </c>
      <c r="B628" s="2">
        <v>2</v>
      </c>
      <c r="C628" s="2">
        <v>4</v>
      </c>
      <c r="D628" s="2" t="s">
        <v>19</v>
      </c>
      <c r="E628" s="2">
        <v>678</v>
      </c>
      <c r="F628" s="2">
        <v>8.1000000000000003E-2</v>
      </c>
      <c r="G628" s="2">
        <v>23362518</v>
      </c>
      <c r="H628" s="2">
        <v>1802.7080000000001</v>
      </c>
      <c r="I628" s="2">
        <v>31.556999999999999</v>
      </c>
      <c r="J628" s="2">
        <v>1903.002</v>
      </c>
      <c r="K628" s="2">
        <v>1934.586</v>
      </c>
      <c r="L628" s="2" t="s">
        <v>41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>
        <v>3</v>
      </c>
      <c r="B629" s="2">
        <v>2</v>
      </c>
      <c r="C629" s="2">
        <v>7</v>
      </c>
      <c r="D629" s="2" t="s">
        <v>27</v>
      </c>
      <c r="E629" s="2">
        <v>643</v>
      </c>
      <c r="F629" s="2">
        <v>5.5E-2</v>
      </c>
      <c r="G629" s="2">
        <v>23673836</v>
      </c>
      <c r="H629" s="2">
        <v>1682.472</v>
      </c>
      <c r="I629" s="2">
        <v>32.158000000000001</v>
      </c>
      <c r="J629" s="2">
        <v>1771.2919999999999</v>
      </c>
      <c r="K629" s="2">
        <v>1803.452</v>
      </c>
      <c r="L629" s="2" t="s">
        <v>41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>
        <v>3</v>
      </c>
      <c r="B630" s="2">
        <v>2</v>
      </c>
      <c r="C630" s="2">
        <v>10</v>
      </c>
      <c r="D630" s="2" t="s">
        <v>20</v>
      </c>
      <c r="E630" s="2">
        <v>814</v>
      </c>
      <c r="F630" s="2">
        <v>4.3999999999999997E-2</v>
      </c>
      <c r="G630" s="2">
        <v>27956549</v>
      </c>
      <c r="H630" s="2">
        <v>1226.7190000000001</v>
      </c>
      <c r="I630" s="2">
        <v>31.425999999999998</v>
      </c>
      <c r="J630" s="2">
        <v>1331.008</v>
      </c>
      <c r="K630" s="2">
        <v>1362.4369999999999</v>
      </c>
      <c r="L630" s="2" t="s">
        <v>41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>
        <v>3</v>
      </c>
      <c r="B631" s="2">
        <v>2</v>
      </c>
      <c r="C631" s="2">
        <v>13</v>
      </c>
      <c r="D631" s="2" t="s">
        <v>42</v>
      </c>
      <c r="E631" s="2">
        <v>550</v>
      </c>
      <c r="F631" s="2">
        <v>0.20399999999999999</v>
      </c>
      <c r="G631" s="2">
        <v>22676475</v>
      </c>
      <c r="H631" s="2">
        <v>1496.154</v>
      </c>
      <c r="I631" s="2">
        <v>30.907</v>
      </c>
      <c r="J631" s="2">
        <v>1584.404</v>
      </c>
      <c r="K631" s="2">
        <v>1615.327</v>
      </c>
      <c r="L631" s="2" t="s">
        <v>41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>
        <v>3</v>
      </c>
      <c r="B632" s="2">
        <v>2</v>
      </c>
      <c r="C632" s="2">
        <v>14</v>
      </c>
      <c r="D632" s="2" t="s">
        <v>30</v>
      </c>
      <c r="E632" s="2">
        <v>599</v>
      </c>
      <c r="F632" s="2">
        <v>0.05</v>
      </c>
      <c r="G632" s="2">
        <v>20539742</v>
      </c>
      <c r="H632" s="2">
        <v>1268.0809999999999</v>
      </c>
      <c r="I632" s="2">
        <v>31.736999999999998</v>
      </c>
      <c r="J632" s="2">
        <v>1353.106</v>
      </c>
      <c r="K632" s="2">
        <v>1384.845</v>
      </c>
      <c r="L632" s="2" t="s">
        <v>41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>
        <v>3</v>
      </c>
      <c r="B633" s="2">
        <v>2</v>
      </c>
      <c r="C633" s="2">
        <v>17</v>
      </c>
      <c r="D633" s="2" t="s">
        <v>21</v>
      </c>
      <c r="E633" s="2">
        <v>661</v>
      </c>
      <c r="F633" s="2">
        <v>7.6999999999999999E-2</v>
      </c>
      <c r="G633" s="2">
        <v>24231718</v>
      </c>
      <c r="H633" s="2">
        <v>1636.5309999999999</v>
      </c>
      <c r="I633" s="2">
        <v>30.719000000000001</v>
      </c>
      <c r="J633" s="2">
        <v>1732.2819999999999</v>
      </c>
      <c r="K633" s="2">
        <v>1763.0029999999999</v>
      </c>
      <c r="L633" s="2" t="s">
        <v>41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>
        <v>3</v>
      </c>
      <c r="B634" s="2">
        <v>2</v>
      </c>
      <c r="C634" s="2">
        <v>19</v>
      </c>
      <c r="D634" s="2" t="s">
        <v>22</v>
      </c>
      <c r="E634" s="2">
        <v>702</v>
      </c>
      <c r="F634" s="2">
        <v>4.5999999999999999E-2</v>
      </c>
      <c r="G634" s="2">
        <v>26087315</v>
      </c>
      <c r="H634" s="2">
        <v>1291.395</v>
      </c>
      <c r="I634" s="2">
        <v>30.908000000000001</v>
      </c>
      <c r="J634" s="2">
        <v>1408.97</v>
      </c>
      <c r="K634" s="2">
        <v>1439.8820000000001</v>
      </c>
      <c r="L634" s="2" t="s">
        <v>41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3">
        <v>3</v>
      </c>
      <c r="B635" s="3">
        <v>3</v>
      </c>
      <c r="C635" s="3">
        <v>4</v>
      </c>
      <c r="D635" s="4" t="s">
        <v>23</v>
      </c>
      <c r="E635" s="3">
        <v>1380</v>
      </c>
      <c r="F635" s="3">
        <v>0.36499999999999999</v>
      </c>
      <c r="G635" s="3">
        <v>113582717</v>
      </c>
      <c r="H635" s="3">
        <v>8474.0930000000008</v>
      </c>
      <c r="I635" s="3">
        <v>66.989000000000004</v>
      </c>
      <c r="J635" s="3">
        <v>8925.0619999999999</v>
      </c>
      <c r="K635" s="3">
        <v>8992.0529999999999</v>
      </c>
      <c r="L635" s="4" t="s">
        <v>41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3">
        <v>3</v>
      </c>
      <c r="B636" s="3">
        <v>3</v>
      </c>
      <c r="C636" s="3">
        <v>7</v>
      </c>
      <c r="D636" s="4" t="s">
        <v>33</v>
      </c>
      <c r="E636" s="3">
        <v>1407</v>
      </c>
      <c r="F636" s="3">
        <v>0.19600000000000001</v>
      </c>
      <c r="G636" s="3">
        <v>125174679</v>
      </c>
      <c r="H636" s="3">
        <v>9237.1299999999992</v>
      </c>
      <c r="I636" s="3">
        <v>69.156999999999996</v>
      </c>
      <c r="J636" s="3">
        <v>9729.3359999999993</v>
      </c>
      <c r="K636" s="3">
        <v>9798.5069999999996</v>
      </c>
      <c r="L636" s="4" t="s">
        <v>41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1">
        <v>3</v>
      </c>
      <c r="B637" s="1">
        <v>1</v>
      </c>
      <c r="C637" s="1">
        <v>1</v>
      </c>
      <c r="D637" s="1" t="s">
        <v>24</v>
      </c>
      <c r="E637" s="1">
        <v>231</v>
      </c>
      <c r="F637" s="1">
        <v>8.0000000000000002E-3</v>
      </c>
      <c r="G637" s="1">
        <v>3540379</v>
      </c>
      <c r="H637" s="1">
        <v>103.449</v>
      </c>
      <c r="I637" s="1">
        <v>12.358000000000001</v>
      </c>
      <c r="J637" s="1">
        <v>119.504</v>
      </c>
      <c r="K637" s="1">
        <v>131.86199999999999</v>
      </c>
      <c r="L637" s="1" t="s">
        <v>41</v>
      </c>
    </row>
    <row r="638" spans="1:26" ht="13" x14ac:dyDescent="0.15">
      <c r="A638" s="1">
        <v>3</v>
      </c>
      <c r="B638" s="1">
        <v>1</v>
      </c>
      <c r="C638" s="1">
        <v>2</v>
      </c>
      <c r="D638" s="1" t="s">
        <v>24</v>
      </c>
      <c r="E638" s="1">
        <v>221</v>
      </c>
      <c r="F638" s="1">
        <v>5.0000000000000001E-3</v>
      </c>
      <c r="G638" s="1">
        <v>1755645</v>
      </c>
      <c r="H638" s="1">
        <v>30.439</v>
      </c>
      <c r="I638" s="1">
        <v>12.092000000000001</v>
      </c>
      <c r="J638" s="1">
        <v>38.348999999999997</v>
      </c>
      <c r="K638" s="1">
        <v>50.441000000000003</v>
      </c>
      <c r="L638" s="1" t="s">
        <v>41</v>
      </c>
    </row>
    <row r="639" spans="1:26" ht="13" x14ac:dyDescent="0.15">
      <c r="A639" s="1">
        <v>3</v>
      </c>
      <c r="B639" s="1">
        <v>1</v>
      </c>
      <c r="C639" s="1">
        <v>3</v>
      </c>
      <c r="D639" s="1" t="s">
        <v>24</v>
      </c>
      <c r="E639" s="1">
        <v>381</v>
      </c>
      <c r="F639" s="1">
        <v>1.7000000000000001E-2</v>
      </c>
      <c r="G639" s="1">
        <v>5402217</v>
      </c>
      <c r="H639" s="1">
        <v>198.48500000000001</v>
      </c>
      <c r="I639" s="1">
        <v>11.432</v>
      </c>
      <c r="J639" s="1">
        <v>220.68700000000001</v>
      </c>
      <c r="K639" s="1">
        <v>232.119</v>
      </c>
      <c r="L639" s="1" t="s">
        <v>41</v>
      </c>
    </row>
    <row r="640" spans="1:26" ht="13" x14ac:dyDescent="0.15">
      <c r="A640" s="1">
        <v>3</v>
      </c>
      <c r="B640" s="1">
        <v>1</v>
      </c>
      <c r="C640" s="1">
        <v>5</v>
      </c>
      <c r="D640" s="1" t="s">
        <v>24</v>
      </c>
      <c r="E640" s="1">
        <v>216</v>
      </c>
      <c r="F640" s="1">
        <v>0.01</v>
      </c>
      <c r="G640" s="1">
        <v>3053856</v>
      </c>
      <c r="H640" s="1">
        <v>109.102</v>
      </c>
      <c r="I640" s="1">
        <v>12.22</v>
      </c>
      <c r="J640" s="1">
        <v>120.506</v>
      </c>
      <c r="K640" s="1">
        <v>132.727</v>
      </c>
      <c r="L640" s="1" t="s">
        <v>41</v>
      </c>
    </row>
    <row r="641" spans="1:12" ht="13" x14ac:dyDescent="0.15">
      <c r="A641" s="1">
        <v>3</v>
      </c>
      <c r="B641" s="1">
        <v>1</v>
      </c>
      <c r="C641" s="1">
        <v>6</v>
      </c>
      <c r="D641" s="1" t="s">
        <v>24</v>
      </c>
      <c r="E641" s="1">
        <v>213</v>
      </c>
      <c r="F641" s="1">
        <v>6.0000000000000001E-3</v>
      </c>
      <c r="G641" s="1">
        <v>2388845</v>
      </c>
      <c r="H641" s="1">
        <v>49.62</v>
      </c>
      <c r="I641" s="1">
        <v>11.930999999999999</v>
      </c>
      <c r="J641" s="1">
        <v>58.201000000000001</v>
      </c>
      <c r="K641" s="1">
        <v>70.132000000000005</v>
      </c>
      <c r="L641" s="1" t="s">
        <v>41</v>
      </c>
    </row>
    <row r="642" spans="1:12" ht="13" x14ac:dyDescent="0.15">
      <c r="A642" s="1">
        <v>3</v>
      </c>
      <c r="B642" s="1">
        <v>1</v>
      </c>
      <c r="C642" s="1">
        <v>8</v>
      </c>
      <c r="D642" s="1" t="s">
        <v>24</v>
      </c>
      <c r="E642" s="1">
        <v>364</v>
      </c>
      <c r="F642" s="1">
        <v>1.4E-2</v>
      </c>
      <c r="G642" s="1">
        <v>3875764</v>
      </c>
      <c r="H642" s="1">
        <v>154.36799999999999</v>
      </c>
      <c r="I642" s="1">
        <v>11.778</v>
      </c>
      <c r="J642" s="1">
        <v>169.59299999999999</v>
      </c>
      <c r="K642" s="1">
        <v>181.37100000000001</v>
      </c>
      <c r="L642" s="1" t="s">
        <v>41</v>
      </c>
    </row>
    <row r="643" spans="1:12" ht="13" x14ac:dyDescent="0.15">
      <c r="A643" s="1">
        <v>3</v>
      </c>
      <c r="B643" s="1">
        <v>1</v>
      </c>
      <c r="C643" s="1">
        <v>9</v>
      </c>
      <c r="D643" s="1" t="s">
        <v>24</v>
      </c>
      <c r="E643" s="1">
        <v>379</v>
      </c>
      <c r="F643" s="1">
        <v>2.5000000000000001E-2</v>
      </c>
      <c r="G643" s="1">
        <v>5586502</v>
      </c>
      <c r="H643" s="1">
        <v>325.62700000000001</v>
      </c>
      <c r="I643" s="1">
        <v>11.048999999999999</v>
      </c>
      <c r="J643" s="1">
        <v>350.57499999999999</v>
      </c>
      <c r="K643" s="1">
        <v>361.62400000000002</v>
      </c>
      <c r="L643" s="1" t="s">
        <v>41</v>
      </c>
    </row>
    <row r="644" spans="1:12" ht="13" x14ac:dyDescent="0.15">
      <c r="A644" s="1">
        <v>3</v>
      </c>
      <c r="B644" s="1">
        <v>1</v>
      </c>
      <c r="C644" s="1">
        <v>11</v>
      </c>
      <c r="D644" s="1" t="s">
        <v>24</v>
      </c>
      <c r="E644" s="1">
        <v>290</v>
      </c>
      <c r="F644" s="1">
        <v>1.4E-2</v>
      </c>
      <c r="G644" s="1">
        <v>4308826</v>
      </c>
      <c r="H644" s="1">
        <v>188.81299999999999</v>
      </c>
      <c r="I644" s="1">
        <v>11.542</v>
      </c>
      <c r="J644" s="1">
        <v>209.65</v>
      </c>
      <c r="K644" s="1">
        <v>221.19200000000001</v>
      </c>
      <c r="L644" s="1" t="s">
        <v>41</v>
      </c>
    </row>
    <row r="645" spans="1:12" ht="13" x14ac:dyDescent="0.15">
      <c r="A645" s="1">
        <v>3</v>
      </c>
      <c r="B645" s="1">
        <v>1</v>
      </c>
      <c r="C645" s="1">
        <v>12</v>
      </c>
      <c r="D645" s="1" t="s">
        <v>24</v>
      </c>
      <c r="E645" s="1">
        <v>296</v>
      </c>
      <c r="F645" s="1">
        <v>0.01</v>
      </c>
      <c r="G645" s="1">
        <v>3321475</v>
      </c>
      <c r="H645" s="1">
        <v>82.718999999999994</v>
      </c>
      <c r="I645" s="1">
        <v>11.269</v>
      </c>
      <c r="J645" s="1">
        <v>95.713999999999999</v>
      </c>
      <c r="K645" s="1">
        <v>106.983</v>
      </c>
      <c r="L645" s="1" t="s">
        <v>41</v>
      </c>
    </row>
    <row r="646" spans="1:12" ht="13" x14ac:dyDescent="0.15">
      <c r="A646" s="1">
        <v>3</v>
      </c>
      <c r="B646" s="1">
        <v>1</v>
      </c>
      <c r="C646" s="1">
        <v>14</v>
      </c>
      <c r="D646" s="1" t="s">
        <v>24</v>
      </c>
      <c r="E646" s="1">
        <v>219</v>
      </c>
      <c r="F646" s="1">
        <v>7.0000000000000001E-3</v>
      </c>
      <c r="G646" s="1">
        <v>2291279</v>
      </c>
      <c r="H646" s="1">
        <v>62.667999999999999</v>
      </c>
      <c r="I646" s="1">
        <v>11.576000000000001</v>
      </c>
      <c r="J646" s="1">
        <v>71.215000000000003</v>
      </c>
      <c r="K646" s="1">
        <v>82.792000000000002</v>
      </c>
      <c r="L646" s="1" t="s">
        <v>41</v>
      </c>
    </row>
    <row r="647" spans="1:12" ht="13" x14ac:dyDescent="0.15">
      <c r="A647" s="1">
        <v>3</v>
      </c>
      <c r="B647" s="1">
        <v>1</v>
      </c>
      <c r="C647" s="1">
        <v>15</v>
      </c>
      <c r="D647" s="1" t="s">
        <v>24</v>
      </c>
      <c r="E647" s="1">
        <v>219</v>
      </c>
      <c r="F647" s="1">
        <v>7.0000000000000001E-3</v>
      </c>
      <c r="G647" s="1">
        <v>2300473</v>
      </c>
      <c r="H647" s="1">
        <v>59.497999999999998</v>
      </c>
      <c r="I647" s="1">
        <v>11.558999999999999</v>
      </c>
      <c r="J647" s="1">
        <v>70.057000000000002</v>
      </c>
      <c r="K647" s="1">
        <v>81.616</v>
      </c>
      <c r="L647" s="1" t="s">
        <v>41</v>
      </c>
    </row>
    <row r="648" spans="1:12" ht="13" x14ac:dyDescent="0.15">
      <c r="A648" s="1">
        <v>3</v>
      </c>
      <c r="B648" s="1">
        <v>1</v>
      </c>
      <c r="C648" s="1">
        <v>16</v>
      </c>
      <c r="D648" s="1" t="s">
        <v>24</v>
      </c>
      <c r="E648" s="1">
        <v>302</v>
      </c>
      <c r="F648" s="1">
        <v>0.01</v>
      </c>
      <c r="G648" s="1">
        <v>3035165</v>
      </c>
      <c r="H648" s="1">
        <v>66.224000000000004</v>
      </c>
      <c r="I648" s="1">
        <v>11.441000000000001</v>
      </c>
      <c r="J648" s="1">
        <v>82.119</v>
      </c>
      <c r="K648" s="1">
        <v>93.558999999999997</v>
      </c>
      <c r="L648" s="1" t="s">
        <v>41</v>
      </c>
    </row>
    <row r="649" spans="1:12" ht="13" x14ac:dyDescent="0.15">
      <c r="A649" s="1">
        <v>3</v>
      </c>
      <c r="B649" s="1">
        <v>1</v>
      </c>
      <c r="C649" s="1">
        <v>17</v>
      </c>
      <c r="D649" s="1" t="s">
        <v>24</v>
      </c>
      <c r="E649" s="1">
        <v>259</v>
      </c>
      <c r="F649" s="1">
        <v>1.0999999999999999E-2</v>
      </c>
      <c r="G649" s="1">
        <v>3043547</v>
      </c>
      <c r="H649" s="1">
        <v>138.821</v>
      </c>
      <c r="I649" s="1">
        <v>10.927</v>
      </c>
      <c r="J649" s="1">
        <v>151.47399999999999</v>
      </c>
      <c r="K649" s="1">
        <v>162.40100000000001</v>
      </c>
      <c r="L649" s="1" t="s">
        <v>41</v>
      </c>
    </row>
    <row r="650" spans="1:12" ht="13" x14ac:dyDescent="0.15">
      <c r="A650" s="1">
        <v>3</v>
      </c>
      <c r="B650" s="1">
        <v>1</v>
      </c>
      <c r="C650" s="1">
        <v>18</v>
      </c>
      <c r="D650" s="1" t="s">
        <v>24</v>
      </c>
      <c r="E650" s="1">
        <v>281</v>
      </c>
      <c r="F650" s="1">
        <v>8.9999999999999993E-3</v>
      </c>
      <c r="G650" s="1">
        <v>3252526</v>
      </c>
      <c r="H650" s="1">
        <v>84.462000000000003</v>
      </c>
      <c r="I650" s="1">
        <v>12.404</v>
      </c>
      <c r="J650" s="1">
        <v>98.236000000000004</v>
      </c>
      <c r="K650" s="1">
        <v>110.64</v>
      </c>
      <c r="L650" s="1" t="s">
        <v>41</v>
      </c>
    </row>
    <row r="651" spans="1:12" ht="13" x14ac:dyDescent="0.15">
      <c r="A651" s="1">
        <v>3</v>
      </c>
      <c r="B651" s="1">
        <v>1</v>
      </c>
      <c r="C651" s="1">
        <v>19</v>
      </c>
      <c r="D651" s="1" t="s">
        <v>24</v>
      </c>
      <c r="E651" s="1">
        <v>282</v>
      </c>
      <c r="F651" s="1">
        <v>1.2E-2</v>
      </c>
      <c r="G651" s="1">
        <v>3589803</v>
      </c>
      <c r="H651" s="1">
        <v>146.57499999999999</v>
      </c>
      <c r="I651" s="1">
        <v>11.92</v>
      </c>
      <c r="J651" s="1">
        <v>162.16800000000001</v>
      </c>
      <c r="K651" s="1">
        <v>174.08799999999999</v>
      </c>
      <c r="L651" s="1" t="s">
        <v>41</v>
      </c>
    </row>
    <row r="652" spans="1:12" ht="13" x14ac:dyDescent="0.15">
      <c r="A652" s="1">
        <v>3</v>
      </c>
      <c r="B652" s="1">
        <v>1</v>
      </c>
      <c r="C652" s="1">
        <v>20</v>
      </c>
      <c r="D652" s="1" t="s">
        <v>24</v>
      </c>
      <c r="E652" s="1">
        <v>296</v>
      </c>
      <c r="F652" s="1">
        <v>1.2E-2</v>
      </c>
      <c r="G652" s="1">
        <v>3003059</v>
      </c>
      <c r="H652" s="1">
        <v>103.313</v>
      </c>
      <c r="I652" s="1">
        <v>11.833</v>
      </c>
      <c r="J652" s="1">
        <v>114.816</v>
      </c>
      <c r="K652" s="1">
        <v>126.649</v>
      </c>
      <c r="L652" s="1" t="s">
        <v>41</v>
      </c>
    </row>
    <row r="653" spans="1:12" ht="13" x14ac:dyDescent="0.15">
      <c r="A653" s="1">
        <v>3</v>
      </c>
      <c r="B653" s="1">
        <v>2</v>
      </c>
      <c r="C653" s="1">
        <v>1</v>
      </c>
      <c r="D653" s="1" t="s">
        <v>24</v>
      </c>
      <c r="E653" s="1">
        <v>534</v>
      </c>
      <c r="F653" s="1">
        <v>9.0999999999999998E-2</v>
      </c>
      <c r="G653" s="1">
        <v>25598216</v>
      </c>
      <c r="H653" s="1">
        <v>936.19</v>
      </c>
      <c r="I653" s="1">
        <v>33.308</v>
      </c>
      <c r="J653" s="1">
        <v>1040.952</v>
      </c>
      <c r="K653" s="1">
        <v>1074.277</v>
      </c>
      <c r="L653" s="1" t="s">
        <v>41</v>
      </c>
    </row>
    <row r="654" spans="1:12" ht="13" x14ac:dyDescent="0.15">
      <c r="A654" s="1">
        <v>3</v>
      </c>
      <c r="B654" s="1">
        <v>2</v>
      </c>
      <c r="C654" s="1">
        <v>2</v>
      </c>
      <c r="D654" s="1" t="s">
        <v>24</v>
      </c>
      <c r="E654" s="1">
        <v>449</v>
      </c>
      <c r="F654" s="1">
        <v>6.4000000000000001E-2</v>
      </c>
      <c r="G654" s="1">
        <v>11560063</v>
      </c>
      <c r="H654" s="1">
        <v>297.78500000000003</v>
      </c>
      <c r="I654" s="1">
        <v>32.515999999999998</v>
      </c>
      <c r="J654" s="1">
        <v>337.35199999999998</v>
      </c>
      <c r="K654" s="1">
        <v>369.91199999999998</v>
      </c>
      <c r="L654" s="1" t="s">
        <v>41</v>
      </c>
    </row>
    <row r="655" spans="1:12" ht="13" x14ac:dyDescent="0.15">
      <c r="A655" s="1">
        <v>3</v>
      </c>
      <c r="B655" s="1">
        <v>2</v>
      </c>
      <c r="C655" s="1">
        <v>3</v>
      </c>
      <c r="D655" s="1" t="s">
        <v>24</v>
      </c>
      <c r="E655" s="1">
        <v>878</v>
      </c>
      <c r="F655" s="1">
        <v>0.13800000000000001</v>
      </c>
      <c r="G655" s="1">
        <v>35025737</v>
      </c>
      <c r="H655" s="1">
        <v>2743.3069999999998</v>
      </c>
      <c r="I655" s="1">
        <v>30.669</v>
      </c>
      <c r="J655" s="1">
        <v>2896.194</v>
      </c>
      <c r="K655" s="1">
        <v>2926.8939999999998</v>
      </c>
      <c r="L655" s="1" t="s">
        <v>41</v>
      </c>
    </row>
    <row r="656" spans="1:12" ht="13" x14ac:dyDescent="0.15">
      <c r="A656" s="1">
        <v>3</v>
      </c>
      <c r="B656" s="1">
        <v>2</v>
      </c>
      <c r="C656" s="1">
        <v>5</v>
      </c>
      <c r="D656" s="1" t="s">
        <v>24</v>
      </c>
      <c r="E656" s="1">
        <v>524</v>
      </c>
      <c r="F656" s="1">
        <v>8.5000000000000006E-2</v>
      </c>
      <c r="G656" s="1">
        <v>19594070</v>
      </c>
      <c r="H656" s="1">
        <v>744.89499999999998</v>
      </c>
      <c r="I656" s="1">
        <v>32.33</v>
      </c>
      <c r="J656" s="1">
        <v>825.92200000000003</v>
      </c>
      <c r="K656" s="1">
        <v>858.25400000000002</v>
      </c>
      <c r="L656" s="1" t="s">
        <v>41</v>
      </c>
    </row>
    <row r="657" spans="1:26" ht="13" x14ac:dyDescent="0.15">
      <c r="A657" s="1">
        <v>3</v>
      </c>
      <c r="B657" s="1">
        <v>2</v>
      </c>
      <c r="C657" s="1">
        <v>6</v>
      </c>
      <c r="D657" s="1" t="s">
        <v>24</v>
      </c>
      <c r="E657" s="1">
        <v>555</v>
      </c>
      <c r="F657" s="1">
        <v>6.7000000000000004E-2</v>
      </c>
      <c r="G657" s="1">
        <v>17306604</v>
      </c>
      <c r="H657" s="1">
        <v>458.48</v>
      </c>
      <c r="I657" s="1">
        <v>31.821000000000002</v>
      </c>
      <c r="J657" s="1">
        <v>522.12400000000002</v>
      </c>
      <c r="K657" s="1">
        <v>553.94600000000003</v>
      </c>
      <c r="L657" s="1" t="s">
        <v>41</v>
      </c>
    </row>
    <row r="658" spans="1:26" ht="13" x14ac:dyDescent="0.15">
      <c r="A658" s="1">
        <v>3</v>
      </c>
      <c r="B658" s="1">
        <v>2</v>
      </c>
      <c r="C658" s="1">
        <v>8</v>
      </c>
      <c r="D658" s="1" t="s">
        <v>24</v>
      </c>
      <c r="E658" s="1">
        <v>771</v>
      </c>
      <c r="F658" s="1">
        <v>8.5000000000000006E-2</v>
      </c>
      <c r="G658" s="1">
        <v>27066407</v>
      </c>
      <c r="H658" s="1">
        <v>1637.1289999999999</v>
      </c>
      <c r="I658" s="1">
        <v>31.931000000000001</v>
      </c>
      <c r="J658" s="1">
        <v>1760.346</v>
      </c>
      <c r="K658" s="1">
        <v>1792.2929999999999</v>
      </c>
      <c r="L658" s="1" t="s">
        <v>41</v>
      </c>
    </row>
    <row r="659" spans="1:26" ht="13" x14ac:dyDescent="0.15">
      <c r="A659" s="1">
        <v>3</v>
      </c>
      <c r="B659" s="1">
        <v>2</v>
      </c>
      <c r="C659" s="1">
        <v>9</v>
      </c>
      <c r="D659" s="1" t="s">
        <v>24</v>
      </c>
      <c r="E659" s="1">
        <v>761</v>
      </c>
      <c r="F659" s="1">
        <v>0.13700000000000001</v>
      </c>
      <c r="G659" s="1">
        <v>27617620</v>
      </c>
      <c r="H659" s="1">
        <v>1548.443</v>
      </c>
      <c r="I659" s="1">
        <v>31.094000000000001</v>
      </c>
      <c r="J659" s="1">
        <v>1670.673</v>
      </c>
      <c r="K659" s="1">
        <v>1701.875</v>
      </c>
      <c r="L659" s="1" t="s">
        <v>41</v>
      </c>
    </row>
    <row r="660" spans="1:26" ht="13" x14ac:dyDescent="0.15">
      <c r="A660" s="1">
        <v>3</v>
      </c>
      <c r="B660" s="1">
        <v>2</v>
      </c>
      <c r="C660" s="1">
        <v>11</v>
      </c>
      <c r="D660" s="1" t="s">
        <v>24</v>
      </c>
      <c r="E660" s="1">
        <v>746</v>
      </c>
      <c r="F660" s="1">
        <v>0.17799999999999999</v>
      </c>
      <c r="G660" s="1">
        <v>31375361</v>
      </c>
      <c r="H660" s="1">
        <v>2010.1079999999999</v>
      </c>
      <c r="I660" s="1">
        <v>31.584</v>
      </c>
      <c r="J660" s="1">
        <v>2158.9340000000002</v>
      </c>
      <c r="K660" s="1">
        <v>2190.5210000000002</v>
      </c>
      <c r="L660" s="1" t="s">
        <v>41</v>
      </c>
    </row>
    <row r="661" spans="1:26" ht="13" x14ac:dyDescent="0.15">
      <c r="A661" s="1">
        <v>3</v>
      </c>
      <c r="B661" s="1">
        <v>2</v>
      </c>
      <c r="C661" s="1">
        <v>12</v>
      </c>
      <c r="D661" s="1" t="s">
        <v>24</v>
      </c>
      <c r="E661" s="1">
        <v>729</v>
      </c>
      <c r="F661" s="1">
        <v>7.8E-2</v>
      </c>
      <c r="G661" s="1">
        <v>24077875</v>
      </c>
      <c r="H661" s="1">
        <v>1084.809</v>
      </c>
      <c r="I661" s="1">
        <v>30.591000000000001</v>
      </c>
      <c r="J661" s="1">
        <v>1201.164</v>
      </c>
      <c r="K661" s="1">
        <v>1231.7719999999999</v>
      </c>
      <c r="L661" s="1" t="s">
        <v>41</v>
      </c>
    </row>
    <row r="662" spans="1:26" ht="13" x14ac:dyDescent="0.15">
      <c r="A662" s="1">
        <v>3</v>
      </c>
      <c r="B662" s="1">
        <v>2</v>
      </c>
      <c r="C662" s="1">
        <v>15</v>
      </c>
      <c r="D662" s="1" t="s">
        <v>24</v>
      </c>
      <c r="E662" s="1">
        <v>454</v>
      </c>
      <c r="F662" s="1">
        <v>3.9E-2</v>
      </c>
      <c r="G662" s="1">
        <v>15309914</v>
      </c>
      <c r="H662" s="1">
        <v>409.48200000000003</v>
      </c>
      <c r="I662" s="1">
        <v>32.276000000000003</v>
      </c>
      <c r="J662" s="1">
        <v>486.09100000000001</v>
      </c>
      <c r="K662" s="1">
        <v>518.36800000000005</v>
      </c>
      <c r="L662" s="1" t="s">
        <v>41</v>
      </c>
    </row>
    <row r="663" spans="1:26" ht="13" x14ac:dyDescent="0.15">
      <c r="A663" s="1">
        <v>3</v>
      </c>
      <c r="B663" s="1">
        <v>2</v>
      </c>
      <c r="C663" s="1">
        <v>16</v>
      </c>
      <c r="D663" s="1" t="s">
        <v>24</v>
      </c>
      <c r="E663" s="1">
        <v>761</v>
      </c>
      <c r="F663" s="1">
        <v>7.9000000000000001E-2</v>
      </c>
      <c r="G663" s="1">
        <v>20994334</v>
      </c>
      <c r="H663" s="1">
        <v>777.88400000000001</v>
      </c>
      <c r="I663" s="1">
        <v>32.290999999999997</v>
      </c>
      <c r="J663" s="1">
        <v>881.851</v>
      </c>
      <c r="K663" s="1">
        <v>914.14400000000001</v>
      </c>
      <c r="L663" s="1" t="s">
        <v>41</v>
      </c>
    </row>
    <row r="664" spans="1:26" ht="13" x14ac:dyDescent="0.15">
      <c r="A664" s="1">
        <v>3</v>
      </c>
      <c r="B664" s="1">
        <v>2</v>
      </c>
      <c r="C664" s="1">
        <v>18</v>
      </c>
      <c r="D664" s="1" t="s">
        <v>24</v>
      </c>
      <c r="E664" s="1">
        <v>737</v>
      </c>
      <c r="F664" s="1">
        <v>5.2999999999999999E-2</v>
      </c>
      <c r="G664" s="1">
        <v>26556879</v>
      </c>
      <c r="H664" s="1">
        <v>1772.4349999999999</v>
      </c>
      <c r="I664" s="1">
        <v>32.722999999999999</v>
      </c>
      <c r="J664" s="1">
        <v>1885.067</v>
      </c>
      <c r="K664" s="1">
        <v>1917.7919999999999</v>
      </c>
      <c r="L664" s="1" t="s">
        <v>41</v>
      </c>
    </row>
    <row r="665" spans="1:26" ht="13" x14ac:dyDescent="0.15">
      <c r="A665" s="1">
        <v>3</v>
      </c>
      <c r="B665" s="1">
        <v>2</v>
      </c>
      <c r="C665" s="1">
        <v>20</v>
      </c>
      <c r="D665" s="1" t="s">
        <v>24</v>
      </c>
      <c r="E665" s="1">
        <v>571</v>
      </c>
      <c r="F665" s="1">
        <v>3.1E-2</v>
      </c>
      <c r="G665" s="1">
        <v>19275168</v>
      </c>
      <c r="H665" s="1">
        <v>825.16200000000003</v>
      </c>
      <c r="I665" s="1">
        <v>32.081000000000003</v>
      </c>
      <c r="J665" s="1">
        <v>898.98199999999997</v>
      </c>
      <c r="K665" s="1">
        <v>931.06399999999996</v>
      </c>
      <c r="L665" s="1" t="s">
        <v>41</v>
      </c>
    </row>
    <row r="666" spans="1:26" ht="13" x14ac:dyDescent="0.15">
      <c r="A666" s="5">
        <v>3</v>
      </c>
      <c r="B666" s="5">
        <v>3</v>
      </c>
      <c r="C666" s="5">
        <v>1</v>
      </c>
      <c r="D666" s="6" t="s">
        <v>24</v>
      </c>
      <c r="E666" s="5">
        <v>1378</v>
      </c>
      <c r="F666" s="5">
        <v>0.189</v>
      </c>
      <c r="G666" s="5">
        <v>138424046</v>
      </c>
      <c r="H666" s="5">
        <v>8217.4210000000003</v>
      </c>
      <c r="I666" s="5">
        <v>71.584000000000003</v>
      </c>
      <c r="J666" s="5">
        <v>8864.2469999999994</v>
      </c>
      <c r="K666" s="5">
        <v>8935.8490000000002</v>
      </c>
      <c r="L666" s="6" t="s">
        <v>41</v>
      </c>
    </row>
    <row r="667" spans="1:26" ht="13" x14ac:dyDescent="0.15">
      <c r="A667" s="5">
        <v>3</v>
      </c>
      <c r="B667" s="5">
        <v>3</v>
      </c>
      <c r="C667" s="5">
        <v>2</v>
      </c>
      <c r="D667" s="6" t="s">
        <v>24</v>
      </c>
      <c r="E667" s="5">
        <v>1004</v>
      </c>
      <c r="F667" s="5">
        <v>0.13100000000000001</v>
      </c>
      <c r="G667" s="5">
        <v>69115252</v>
      </c>
      <c r="H667" s="5">
        <v>2822.578</v>
      </c>
      <c r="I667" s="5">
        <v>69.495000000000005</v>
      </c>
      <c r="J667" s="5">
        <v>3115.9319999999998</v>
      </c>
      <c r="K667" s="5">
        <v>3185.4279999999999</v>
      </c>
      <c r="L667" s="6" t="s">
        <v>41</v>
      </c>
    </row>
    <row r="668" spans="1:26" ht="13" x14ac:dyDescent="0.15">
      <c r="A668" s="5">
        <v>3</v>
      </c>
      <c r="B668" s="5">
        <v>3</v>
      </c>
      <c r="C668" s="5">
        <v>5</v>
      </c>
      <c r="D668" s="6" t="s">
        <v>24</v>
      </c>
      <c r="E668" s="5">
        <v>1216</v>
      </c>
      <c r="F668" s="5">
        <v>0.14000000000000001</v>
      </c>
      <c r="G668" s="5">
        <v>108287629</v>
      </c>
      <c r="H668" s="5">
        <v>4692.183</v>
      </c>
      <c r="I668" s="5">
        <v>70.543000000000006</v>
      </c>
      <c r="J668" s="5">
        <v>5186.4750000000004</v>
      </c>
      <c r="K668" s="5">
        <v>5257.0379999999996</v>
      </c>
      <c r="L668" s="6" t="s">
        <v>41</v>
      </c>
    </row>
    <row r="669" spans="1:26" ht="13" x14ac:dyDescent="0.15">
      <c r="A669" s="5">
        <v>3</v>
      </c>
      <c r="B669" s="5">
        <v>3</v>
      </c>
      <c r="C669" s="5">
        <v>6</v>
      </c>
      <c r="D669" s="6" t="s">
        <v>24</v>
      </c>
      <c r="E669" s="5">
        <v>1259</v>
      </c>
      <c r="F669" s="5">
        <v>0.25600000000000001</v>
      </c>
      <c r="G669" s="5">
        <v>96074675</v>
      </c>
      <c r="H669" s="5">
        <v>3877.43</v>
      </c>
      <c r="I669" s="5">
        <v>69.314999999999998</v>
      </c>
      <c r="J669" s="5">
        <v>4221.5360000000001</v>
      </c>
      <c r="K669" s="5">
        <v>4290.8549999999996</v>
      </c>
      <c r="L669" s="6" t="s">
        <v>41</v>
      </c>
    </row>
    <row r="670" spans="1:26" ht="13" x14ac:dyDescent="0.15">
      <c r="A670" s="2">
        <v>4</v>
      </c>
      <c r="B670" s="2">
        <v>1</v>
      </c>
      <c r="C670" s="2">
        <v>10</v>
      </c>
      <c r="D670" s="2" t="s">
        <v>20</v>
      </c>
      <c r="E670" s="2">
        <v>814</v>
      </c>
      <c r="F670" s="2">
        <v>7.8E-2</v>
      </c>
      <c r="G670" s="2">
        <v>28703835</v>
      </c>
      <c r="H670" s="2">
        <v>948.36400000000003</v>
      </c>
      <c r="I670" s="2">
        <v>31.58</v>
      </c>
      <c r="J670" s="2">
        <v>1084.4169999999999</v>
      </c>
      <c r="K670" s="2">
        <v>1115.999</v>
      </c>
      <c r="L670" s="2" t="s">
        <v>41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>
        <v>4</v>
      </c>
      <c r="B671" s="2">
        <v>1</v>
      </c>
      <c r="C671" s="2">
        <v>14</v>
      </c>
      <c r="D671" s="2" t="s">
        <v>30</v>
      </c>
      <c r="E671" s="2">
        <v>599</v>
      </c>
      <c r="F671" s="2">
        <v>0.114</v>
      </c>
      <c r="G671" s="2">
        <v>20312317</v>
      </c>
      <c r="H671" s="2">
        <v>1120.9480000000001</v>
      </c>
      <c r="I671" s="2">
        <v>32.073999999999998</v>
      </c>
      <c r="J671" s="2">
        <v>1220.365</v>
      </c>
      <c r="K671" s="2">
        <v>1252.441</v>
      </c>
      <c r="L671" s="2" t="s">
        <v>41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>
        <v>4</v>
      </c>
      <c r="B672" s="2">
        <v>1</v>
      </c>
      <c r="C672" s="2">
        <v>17</v>
      </c>
      <c r="D672" s="2" t="s">
        <v>21</v>
      </c>
      <c r="E672" s="2">
        <v>661</v>
      </c>
      <c r="F672" s="2">
        <v>6.6000000000000003E-2</v>
      </c>
      <c r="G672" s="2">
        <v>23232174</v>
      </c>
      <c r="H672" s="2">
        <v>1028.471</v>
      </c>
      <c r="I672" s="2">
        <v>30.582999999999998</v>
      </c>
      <c r="J672" s="2">
        <v>1140.425</v>
      </c>
      <c r="K672" s="2">
        <v>1171.01</v>
      </c>
      <c r="L672" s="2" t="s">
        <v>41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>
        <v>4</v>
      </c>
      <c r="B673" s="2">
        <v>1</v>
      </c>
      <c r="C673" s="2">
        <v>19</v>
      </c>
      <c r="D673" s="2" t="s">
        <v>22</v>
      </c>
      <c r="E673" s="2">
        <v>702</v>
      </c>
      <c r="F673" s="2">
        <v>7.6999999999999999E-2</v>
      </c>
      <c r="G673" s="2">
        <v>25212323</v>
      </c>
      <c r="H673" s="2">
        <v>1169.357</v>
      </c>
      <c r="I673" s="2">
        <v>31.172000000000001</v>
      </c>
      <c r="J673" s="2">
        <v>1280.002</v>
      </c>
      <c r="K673" s="2">
        <v>1311.1759999999999</v>
      </c>
      <c r="L673" s="2" t="s">
        <v>41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3">
        <v>4</v>
      </c>
      <c r="B674" s="3">
        <v>2</v>
      </c>
      <c r="C674" s="3">
        <v>7</v>
      </c>
      <c r="D674" s="4" t="s">
        <v>34</v>
      </c>
      <c r="E674" s="3">
        <v>1407</v>
      </c>
      <c r="F674" s="3">
        <v>0.26400000000000001</v>
      </c>
      <c r="G674" s="3">
        <v>125266408</v>
      </c>
      <c r="H674" s="3">
        <v>9643.3719999999994</v>
      </c>
      <c r="I674" s="3">
        <v>69.584000000000003</v>
      </c>
      <c r="J674" s="3">
        <v>10137.127</v>
      </c>
      <c r="K674" s="3">
        <v>10206.713</v>
      </c>
      <c r="L674" s="4" t="s">
        <v>41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1">
        <v>4</v>
      </c>
      <c r="B675" s="1">
        <v>1</v>
      </c>
      <c r="C675" s="1">
        <v>1</v>
      </c>
      <c r="D675" s="1" t="s">
        <v>24</v>
      </c>
      <c r="E675" s="1">
        <v>534</v>
      </c>
      <c r="F675" s="1">
        <v>7.6999999999999999E-2</v>
      </c>
      <c r="G675" s="1">
        <v>26115506</v>
      </c>
      <c r="H675" s="1">
        <v>927.399</v>
      </c>
      <c r="I675" s="1">
        <v>32.731999999999999</v>
      </c>
      <c r="J675" s="1">
        <v>1020.785</v>
      </c>
      <c r="K675" s="1">
        <v>1053.5419999999999</v>
      </c>
      <c r="L675" s="1" t="s">
        <v>41</v>
      </c>
    </row>
    <row r="676" spans="1:26" ht="13" x14ac:dyDescent="0.15">
      <c r="A676" s="1">
        <v>4</v>
      </c>
      <c r="B676" s="1">
        <v>1</v>
      </c>
      <c r="C676" s="1">
        <v>2</v>
      </c>
      <c r="D676" s="1" t="s">
        <v>24</v>
      </c>
      <c r="E676" s="1">
        <v>449</v>
      </c>
      <c r="F676" s="1">
        <v>5.8000000000000003E-2</v>
      </c>
      <c r="G676" s="1">
        <v>11878676</v>
      </c>
      <c r="H676" s="1">
        <v>320.46100000000001</v>
      </c>
      <c r="I676" s="1">
        <v>32.173999999999999</v>
      </c>
      <c r="J676" s="1">
        <v>356.90300000000002</v>
      </c>
      <c r="K676" s="1">
        <v>389.07900000000001</v>
      </c>
      <c r="L676" s="1" t="s">
        <v>41</v>
      </c>
    </row>
    <row r="677" spans="1:26" ht="13" x14ac:dyDescent="0.15">
      <c r="A677" s="1">
        <v>4</v>
      </c>
      <c r="B677" s="1">
        <v>1</v>
      </c>
      <c r="C677" s="1">
        <v>3</v>
      </c>
      <c r="D677" s="1" t="s">
        <v>24</v>
      </c>
      <c r="E677" s="1">
        <v>878</v>
      </c>
      <c r="F677" s="1">
        <v>0.13800000000000001</v>
      </c>
      <c r="G677" s="1">
        <v>31839515</v>
      </c>
      <c r="H677" s="1">
        <v>2459.9180000000001</v>
      </c>
      <c r="I677" s="1">
        <v>30.812000000000001</v>
      </c>
      <c r="J677" s="1">
        <v>2617.0149999999999</v>
      </c>
      <c r="K677" s="1">
        <v>2647.8290000000002</v>
      </c>
      <c r="L677" s="1" t="s">
        <v>41</v>
      </c>
    </row>
    <row r="678" spans="1:26" ht="13" x14ac:dyDescent="0.15">
      <c r="A678" s="1">
        <v>4</v>
      </c>
      <c r="B678" s="1">
        <v>1</v>
      </c>
      <c r="C678" s="1">
        <v>4</v>
      </c>
      <c r="D678" s="1" t="s">
        <v>24</v>
      </c>
      <c r="E678" s="1">
        <v>678</v>
      </c>
      <c r="F678" s="1">
        <v>8.7999999999999995E-2</v>
      </c>
      <c r="G678" s="1">
        <v>22122598</v>
      </c>
      <c r="H678" s="1">
        <v>725.798</v>
      </c>
      <c r="I678" s="1">
        <v>31.076000000000001</v>
      </c>
      <c r="J678" s="1">
        <v>836.88800000000003</v>
      </c>
      <c r="K678" s="1">
        <v>867.96500000000003</v>
      </c>
      <c r="L678" s="1" t="s">
        <v>41</v>
      </c>
    </row>
    <row r="679" spans="1:26" ht="13" x14ac:dyDescent="0.15">
      <c r="A679" s="1">
        <v>4</v>
      </c>
      <c r="B679" s="1">
        <v>1</v>
      </c>
      <c r="C679" s="1">
        <v>5</v>
      </c>
      <c r="D679" s="1" t="s">
        <v>24</v>
      </c>
      <c r="E679" s="1">
        <v>524</v>
      </c>
      <c r="F679" s="1">
        <v>5.0999999999999997E-2</v>
      </c>
      <c r="G679" s="1">
        <v>18536536</v>
      </c>
      <c r="H679" s="1">
        <v>554.80499999999995</v>
      </c>
      <c r="I679" s="1">
        <v>32.819000000000003</v>
      </c>
      <c r="J679" s="1">
        <v>620.04899999999998</v>
      </c>
      <c r="K679" s="1">
        <v>652.87</v>
      </c>
      <c r="L679" s="1" t="s">
        <v>41</v>
      </c>
    </row>
    <row r="680" spans="1:26" ht="13" x14ac:dyDescent="0.15">
      <c r="A680" s="1">
        <v>4</v>
      </c>
      <c r="B680" s="1">
        <v>1</v>
      </c>
      <c r="C680" s="1">
        <v>6</v>
      </c>
      <c r="D680" s="1" t="s">
        <v>24</v>
      </c>
      <c r="E680" s="1">
        <v>555</v>
      </c>
      <c r="F680" s="1">
        <v>5.8999999999999997E-2</v>
      </c>
      <c r="G680" s="1">
        <v>17205780</v>
      </c>
      <c r="H680" s="1">
        <v>468.44600000000003</v>
      </c>
      <c r="I680" s="1">
        <v>32.020000000000003</v>
      </c>
      <c r="J680" s="1">
        <v>551.46199999999999</v>
      </c>
      <c r="K680" s="1">
        <v>583.51300000000003</v>
      </c>
      <c r="L680" s="1" t="s">
        <v>41</v>
      </c>
    </row>
    <row r="681" spans="1:26" ht="13" x14ac:dyDescent="0.15">
      <c r="A681" s="1">
        <v>4</v>
      </c>
      <c r="B681" s="1">
        <v>1</v>
      </c>
      <c r="C681" s="1">
        <v>7</v>
      </c>
      <c r="D681" s="1" t="s">
        <v>24</v>
      </c>
      <c r="E681" s="1">
        <v>643</v>
      </c>
      <c r="F681" s="1">
        <v>4.8000000000000001E-2</v>
      </c>
      <c r="G681" s="1">
        <v>22922416</v>
      </c>
      <c r="H681" s="1">
        <v>1162.123</v>
      </c>
      <c r="I681" s="1">
        <v>32.139000000000003</v>
      </c>
      <c r="J681" s="1">
        <v>1264.616</v>
      </c>
      <c r="K681" s="1">
        <v>1296.769</v>
      </c>
      <c r="L681" s="1" t="s">
        <v>41</v>
      </c>
    </row>
    <row r="682" spans="1:26" ht="13" x14ac:dyDescent="0.15">
      <c r="A682" s="1">
        <v>4</v>
      </c>
      <c r="B682" s="1">
        <v>1</v>
      </c>
      <c r="C682" s="1">
        <v>8</v>
      </c>
      <c r="D682" s="1" t="s">
        <v>24</v>
      </c>
      <c r="E682" s="1">
        <v>771</v>
      </c>
      <c r="F682" s="1">
        <v>8.4000000000000005E-2</v>
      </c>
      <c r="G682" s="1">
        <v>27068972</v>
      </c>
      <c r="H682" s="1">
        <v>1143.183</v>
      </c>
      <c r="I682" s="1">
        <v>31.664999999999999</v>
      </c>
      <c r="J682" s="1">
        <v>1261.3499999999999</v>
      </c>
      <c r="K682" s="1">
        <v>1293.0409999999999</v>
      </c>
      <c r="L682" s="1" t="s">
        <v>41</v>
      </c>
    </row>
    <row r="683" spans="1:26" ht="13" x14ac:dyDescent="0.15">
      <c r="A683" s="1">
        <v>4</v>
      </c>
      <c r="B683" s="1">
        <v>1</v>
      </c>
      <c r="C683" s="1">
        <v>9</v>
      </c>
      <c r="D683" s="1" t="s">
        <v>24</v>
      </c>
      <c r="E683" s="1">
        <v>761</v>
      </c>
      <c r="F683" s="1">
        <v>0.23599999999999999</v>
      </c>
      <c r="G683" s="1">
        <v>25986290</v>
      </c>
      <c r="H683" s="1">
        <v>666.08600000000001</v>
      </c>
      <c r="I683" s="1">
        <v>30.384</v>
      </c>
      <c r="J683" s="1">
        <v>773.577</v>
      </c>
      <c r="K683" s="1">
        <v>803.96299999999997</v>
      </c>
      <c r="L683" s="1" t="s">
        <v>41</v>
      </c>
    </row>
    <row r="684" spans="1:26" ht="13" x14ac:dyDescent="0.15">
      <c r="A684" s="1">
        <v>4</v>
      </c>
      <c r="B684" s="1">
        <v>1</v>
      </c>
      <c r="C684" s="1">
        <v>11</v>
      </c>
      <c r="D684" s="1" t="s">
        <v>24</v>
      </c>
      <c r="E684" s="1">
        <v>746</v>
      </c>
      <c r="F684" s="1">
        <v>0.104</v>
      </c>
      <c r="G684" s="1">
        <v>30745528</v>
      </c>
      <c r="H684" s="1">
        <v>1694.2819999999999</v>
      </c>
      <c r="I684" s="1">
        <v>31.234999999999999</v>
      </c>
      <c r="J684" s="1">
        <v>1834.623</v>
      </c>
      <c r="K684" s="1">
        <v>1865.8869999999999</v>
      </c>
      <c r="L684" s="1" t="s">
        <v>41</v>
      </c>
    </row>
    <row r="685" spans="1:26" ht="13" x14ac:dyDescent="0.15">
      <c r="A685" s="1">
        <v>4</v>
      </c>
      <c r="B685" s="1">
        <v>1</v>
      </c>
      <c r="C685" s="1">
        <v>12</v>
      </c>
      <c r="D685" s="1" t="s">
        <v>24</v>
      </c>
      <c r="E685" s="1">
        <v>729</v>
      </c>
      <c r="F685" s="1">
        <v>7.4999999999999997E-2</v>
      </c>
      <c r="G685" s="1">
        <v>24059735</v>
      </c>
      <c r="H685" s="1">
        <v>995.18399999999997</v>
      </c>
      <c r="I685" s="1">
        <v>30.497</v>
      </c>
      <c r="J685" s="1">
        <v>1101.806</v>
      </c>
      <c r="K685" s="1">
        <v>1132.3320000000001</v>
      </c>
      <c r="L685" s="1" t="s">
        <v>41</v>
      </c>
    </row>
    <row r="686" spans="1:26" ht="13" x14ac:dyDescent="0.15">
      <c r="A686" s="1">
        <v>4</v>
      </c>
      <c r="B686" s="1">
        <v>1</v>
      </c>
      <c r="C686" s="1">
        <v>13</v>
      </c>
      <c r="D686" s="1" t="s">
        <v>24</v>
      </c>
      <c r="E686" s="1">
        <v>550</v>
      </c>
      <c r="F686" s="1">
        <v>4.2999999999999997E-2</v>
      </c>
      <c r="G686" s="1">
        <v>21562500</v>
      </c>
      <c r="H686" s="1">
        <v>754.21799999999996</v>
      </c>
      <c r="I686" s="1">
        <v>31.956</v>
      </c>
      <c r="J686" s="1">
        <v>851.45500000000004</v>
      </c>
      <c r="K686" s="1">
        <v>883.41200000000003</v>
      </c>
      <c r="L686" s="1" t="s">
        <v>41</v>
      </c>
    </row>
    <row r="687" spans="1:26" ht="13" x14ac:dyDescent="0.15">
      <c r="A687" s="1">
        <v>4</v>
      </c>
      <c r="B687" s="1">
        <v>1</v>
      </c>
      <c r="C687" s="1">
        <v>15</v>
      </c>
      <c r="D687" s="1" t="s">
        <v>24</v>
      </c>
      <c r="E687" s="1">
        <v>454</v>
      </c>
      <c r="F687" s="1">
        <v>4.7E-2</v>
      </c>
      <c r="G687" s="1">
        <v>15897458</v>
      </c>
      <c r="H687" s="1">
        <v>689.41800000000001</v>
      </c>
      <c r="I687" s="1">
        <v>32.881999999999998</v>
      </c>
      <c r="J687" s="1">
        <v>758.83199999999999</v>
      </c>
      <c r="K687" s="1">
        <v>791.73800000000006</v>
      </c>
      <c r="L687" s="1" t="s">
        <v>41</v>
      </c>
    </row>
    <row r="688" spans="1:26" ht="13" x14ac:dyDescent="0.15">
      <c r="A688" s="1">
        <v>4</v>
      </c>
      <c r="B688" s="1">
        <v>1</v>
      </c>
      <c r="C688" s="1">
        <v>16</v>
      </c>
      <c r="D688" s="1" t="s">
        <v>24</v>
      </c>
      <c r="E688" s="1">
        <v>761</v>
      </c>
      <c r="F688" s="1">
        <v>6.8000000000000005E-2</v>
      </c>
      <c r="G688" s="1">
        <v>20906163</v>
      </c>
      <c r="H688" s="1">
        <v>681.26900000000001</v>
      </c>
      <c r="I688" s="1">
        <v>30.277000000000001</v>
      </c>
      <c r="J688" s="1">
        <v>771.173</v>
      </c>
      <c r="K688" s="1">
        <v>801.47400000000005</v>
      </c>
      <c r="L688" s="1" t="s">
        <v>41</v>
      </c>
    </row>
    <row r="689" spans="1:12" ht="13" x14ac:dyDescent="0.15">
      <c r="A689" s="1">
        <v>4</v>
      </c>
      <c r="B689" s="1">
        <v>1</v>
      </c>
      <c r="C689" s="1">
        <v>18</v>
      </c>
      <c r="D689" s="1" t="s">
        <v>24</v>
      </c>
      <c r="E689" s="1">
        <v>737</v>
      </c>
      <c r="F689" s="1">
        <v>0.20100000000000001</v>
      </c>
      <c r="G689" s="1">
        <v>26961612</v>
      </c>
      <c r="H689" s="1">
        <v>2084.8510000000001</v>
      </c>
      <c r="I689" s="1">
        <v>33.186</v>
      </c>
      <c r="J689" s="1">
        <v>2185.7280000000001</v>
      </c>
      <c r="K689" s="1">
        <v>2218.9299999999998</v>
      </c>
      <c r="L689" s="1" t="s">
        <v>41</v>
      </c>
    </row>
    <row r="690" spans="1:12" ht="13" x14ac:dyDescent="0.15">
      <c r="A690" s="1">
        <v>4</v>
      </c>
      <c r="B690" s="1">
        <v>1</v>
      </c>
      <c r="C690" s="1">
        <v>20</v>
      </c>
      <c r="D690" s="1" t="s">
        <v>24</v>
      </c>
      <c r="E690" s="1">
        <v>571</v>
      </c>
      <c r="F690" s="1">
        <v>2.5000000000000001E-2</v>
      </c>
      <c r="G690" s="1">
        <v>18249433</v>
      </c>
      <c r="H690" s="1">
        <v>539.94799999999998</v>
      </c>
      <c r="I690" s="1">
        <v>32.167999999999999</v>
      </c>
      <c r="J690" s="1">
        <v>620.31299999999999</v>
      </c>
      <c r="K690" s="1">
        <v>652.48299999999995</v>
      </c>
      <c r="L690" s="1" t="s">
        <v>41</v>
      </c>
    </row>
    <row r="691" spans="1:12" ht="13" x14ac:dyDescent="0.15">
      <c r="A691" s="5">
        <v>4</v>
      </c>
      <c r="B691" s="5">
        <v>2</v>
      </c>
      <c r="C691" s="5">
        <v>1</v>
      </c>
      <c r="D691" s="6" t="s">
        <v>24</v>
      </c>
      <c r="E691" s="5">
        <v>1378</v>
      </c>
      <c r="F691" s="5">
        <v>0.13100000000000001</v>
      </c>
      <c r="G691" s="5">
        <v>144590066</v>
      </c>
      <c r="H691" s="5">
        <v>7706.2079999999996</v>
      </c>
      <c r="I691" s="5">
        <v>71.603999999999999</v>
      </c>
      <c r="J691" s="5">
        <v>8353.8359999999993</v>
      </c>
      <c r="K691" s="5">
        <v>8425.4419999999991</v>
      </c>
      <c r="L691" s="6" t="s">
        <v>41</v>
      </c>
    </row>
    <row r="692" spans="1:12" ht="13" x14ac:dyDescent="0.15">
      <c r="A692" s="5">
        <v>4</v>
      </c>
      <c r="B692" s="5">
        <v>2</v>
      </c>
      <c r="C692" s="5">
        <v>2</v>
      </c>
      <c r="D692" s="6" t="s">
        <v>24</v>
      </c>
      <c r="E692" s="5">
        <v>1004</v>
      </c>
      <c r="F692" s="5">
        <v>8.5999999999999993E-2</v>
      </c>
      <c r="G692" s="5">
        <v>71095519</v>
      </c>
      <c r="H692" s="5">
        <v>2959.0430000000001</v>
      </c>
      <c r="I692" s="5">
        <v>68.796000000000006</v>
      </c>
      <c r="J692" s="5">
        <v>3266.3679999999999</v>
      </c>
      <c r="K692" s="5">
        <v>3335.1959999999999</v>
      </c>
      <c r="L692" s="6" t="s">
        <v>41</v>
      </c>
    </row>
    <row r="693" spans="1:12" ht="13" x14ac:dyDescent="0.15">
      <c r="A693" s="5">
        <v>4</v>
      </c>
      <c r="B693" s="5">
        <v>2</v>
      </c>
      <c r="C693" s="5">
        <v>3</v>
      </c>
      <c r="D693" s="6" t="s">
        <v>24</v>
      </c>
      <c r="E693" s="5">
        <v>1779</v>
      </c>
      <c r="F693" s="5">
        <v>0.35499999999999998</v>
      </c>
      <c r="G693" s="5">
        <v>159815780</v>
      </c>
      <c r="H693" s="5">
        <v>13874.214</v>
      </c>
      <c r="I693" s="5">
        <v>67.221999999999994</v>
      </c>
      <c r="J693" s="5">
        <v>14659.835999999999</v>
      </c>
      <c r="K693" s="5">
        <v>14727.062</v>
      </c>
      <c r="L693" s="6" t="s">
        <v>41</v>
      </c>
    </row>
    <row r="694" spans="1:12" ht="13" x14ac:dyDescent="0.15">
      <c r="A694" s="5">
        <v>4</v>
      </c>
      <c r="B694" s="5">
        <v>2</v>
      </c>
      <c r="C694" s="5">
        <v>4</v>
      </c>
      <c r="D694" s="6" t="s">
        <v>24</v>
      </c>
      <c r="E694" s="5">
        <v>1380</v>
      </c>
      <c r="F694" s="5">
        <v>0.28499999999999998</v>
      </c>
      <c r="G694" s="5">
        <v>112134080</v>
      </c>
      <c r="H694" s="5">
        <v>5515.8249999999998</v>
      </c>
      <c r="I694" s="5">
        <v>67.975999999999999</v>
      </c>
      <c r="J694" s="5">
        <v>5969.8879999999999</v>
      </c>
      <c r="K694" s="5">
        <v>6037.88</v>
      </c>
      <c r="L694" s="6" t="s">
        <v>41</v>
      </c>
    </row>
    <row r="695" spans="1:12" ht="13" x14ac:dyDescent="0.15">
      <c r="A695" s="5">
        <v>4</v>
      </c>
      <c r="B695" s="5">
        <v>2</v>
      </c>
      <c r="C695" s="5">
        <v>5</v>
      </c>
      <c r="D695" s="6" t="s">
        <v>24</v>
      </c>
      <c r="E695" s="5">
        <v>1216</v>
      </c>
      <c r="F695" s="5">
        <v>0.248</v>
      </c>
      <c r="G695" s="5">
        <v>108292359</v>
      </c>
      <c r="H695" s="5">
        <v>9647.3670000000002</v>
      </c>
      <c r="I695" s="5">
        <v>70.954999999999998</v>
      </c>
      <c r="J695" s="5">
        <v>10120.861000000001</v>
      </c>
      <c r="K695" s="5">
        <v>10191.817999999999</v>
      </c>
      <c r="L695" s="6" t="s">
        <v>41</v>
      </c>
    </row>
    <row r="696" spans="1:12" ht="13" x14ac:dyDescent="0.15">
      <c r="A696" s="5">
        <v>4</v>
      </c>
      <c r="B696" s="5">
        <v>2</v>
      </c>
      <c r="C696" s="5">
        <v>6</v>
      </c>
      <c r="D696" s="6" t="s">
        <v>24</v>
      </c>
      <c r="E696" s="5">
        <v>1259</v>
      </c>
      <c r="F696" s="5">
        <v>0.108</v>
      </c>
      <c r="G696" s="5">
        <v>97394989</v>
      </c>
      <c r="H696" s="5">
        <v>4852.4920000000002</v>
      </c>
      <c r="I696" s="5">
        <v>69.867999999999995</v>
      </c>
      <c r="J696" s="5">
        <v>5323.0720000000001</v>
      </c>
      <c r="K696" s="5">
        <v>5392.9639999999999</v>
      </c>
      <c r="L696" s="6" t="s">
        <v>41</v>
      </c>
    </row>
    <row r="697" spans="1:12" ht="13" x14ac:dyDescent="0.15">
      <c r="A697" s="5">
        <v>5</v>
      </c>
      <c r="B697" s="5">
        <v>1</v>
      </c>
      <c r="C697" s="5">
        <v>1</v>
      </c>
      <c r="D697" s="6" t="s">
        <v>24</v>
      </c>
      <c r="E697" s="5">
        <v>1378</v>
      </c>
      <c r="F697" s="5">
        <v>0.19800000000000001</v>
      </c>
      <c r="G697" s="5">
        <v>133762958</v>
      </c>
      <c r="H697" s="5">
        <v>6756.1610000000001</v>
      </c>
      <c r="I697" s="5">
        <v>71.695999999999998</v>
      </c>
      <c r="J697" s="5">
        <v>7272.8609999999999</v>
      </c>
      <c r="K697" s="5">
        <v>7344.5870000000004</v>
      </c>
      <c r="L697" s="6" t="s">
        <v>41</v>
      </c>
    </row>
    <row r="698" spans="1:12" ht="13" x14ac:dyDescent="0.15">
      <c r="A698" s="5">
        <v>5</v>
      </c>
      <c r="B698" s="5">
        <v>1</v>
      </c>
      <c r="C698" s="5">
        <v>2</v>
      </c>
      <c r="D698" s="6" t="s">
        <v>24</v>
      </c>
      <c r="E698" s="5">
        <v>1004</v>
      </c>
      <c r="F698" s="5">
        <v>7.4999999999999997E-2</v>
      </c>
      <c r="G698" s="5">
        <v>69414698</v>
      </c>
      <c r="H698" s="5">
        <v>2268.1999999999998</v>
      </c>
      <c r="I698" s="5">
        <v>69.111999999999995</v>
      </c>
      <c r="J698" s="5">
        <v>2486.0529999999999</v>
      </c>
      <c r="K698" s="5">
        <v>2555.1660000000002</v>
      </c>
      <c r="L698" s="6" t="s">
        <v>41</v>
      </c>
    </row>
    <row r="699" spans="1:12" ht="13" x14ac:dyDescent="0.15">
      <c r="A699" s="5">
        <v>5</v>
      </c>
      <c r="B699" s="5">
        <v>1</v>
      </c>
      <c r="C699" s="5">
        <v>3</v>
      </c>
      <c r="D699" s="6" t="s">
        <v>24</v>
      </c>
      <c r="E699" s="5">
        <v>1779</v>
      </c>
      <c r="F699" s="5">
        <v>0.112</v>
      </c>
      <c r="G699" s="5">
        <v>153996705</v>
      </c>
      <c r="H699" s="5">
        <v>6107.3329999999996</v>
      </c>
      <c r="I699" s="5">
        <v>67.742000000000004</v>
      </c>
      <c r="J699" s="5">
        <v>6758.54</v>
      </c>
      <c r="K699" s="5">
        <v>6826.2830000000004</v>
      </c>
      <c r="L699" s="6" t="s">
        <v>41</v>
      </c>
    </row>
    <row r="700" spans="1:12" ht="13" x14ac:dyDescent="0.15">
      <c r="A700" s="5">
        <v>5</v>
      </c>
      <c r="B700" s="5">
        <v>1</v>
      </c>
      <c r="C700" s="5">
        <v>4</v>
      </c>
      <c r="D700" s="6" t="s">
        <v>24</v>
      </c>
      <c r="E700" s="5">
        <v>1380</v>
      </c>
      <c r="F700" s="5">
        <v>0.247</v>
      </c>
      <c r="G700" s="5">
        <v>104022012</v>
      </c>
      <c r="H700" s="5">
        <v>4533.9129999999996</v>
      </c>
      <c r="I700" s="5">
        <v>67.412999999999997</v>
      </c>
      <c r="J700" s="5">
        <v>5029.7160000000003</v>
      </c>
      <c r="K700" s="5">
        <v>5097.13</v>
      </c>
      <c r="L700" s="6" t="s">
        <v>41</v>
      </c>
    </row>
    <row r="701" spans="1:12" ht="13" x14ac:dyDescent="0.15">
      <c r="A701" s="5">
        <v>5</v>
      </c>
      <c r="B701" s="5">
        <v>1</v>
      </c>
      <c r="C701" s="5">
        <v>5</v>
      </c>
      <c r="D701" s="6" t="s">
        <v>24</v>
      </c>
      <c r="E701" s="5">
        <v>1216</v>
      </c>
      <c r="F701" s="5">
        <v>0.27600000000000002</v>
      </c>
      <c r="G701" s="5">
        <v>104542476</v>
      </c>
      <c r="H701" s="5">
        <v>7871.0410000000002</v>
      </c>
      <c r="I701" s="5">
        <v>71.085999999999999</v>
      </c>
      <c r="J701" s="5">
        <v>8264.2260000000006</v>
      </c>
      <c r="K701" s="5">
        <v>8335.3140000000003</v>
      </c>
      <c r="L701" s="6" t="s">
        <v>41</v>
      </c>
    </row>
    <row r="702" spans="1:12" ht="13" x14ac:dyDescent="0.15">
      <c r="A702" s="5">
        <v>5</v>
      </c>
      <c r="B702" s="5">
        <v>1</v>
      </c>
      <c r="C702" s="5">
        <v>6</v>
      </c>
      <c r="D702" s="6" t="s">
        <v>24</v>
      </c>
      <c r="E702" s="5">
        <v>1259</v>
      </c>
      <c r="F702" s="5">
        <v>0.18099999999999999</v>
      </c>
      <c r="G702" s="5">
        <v>89235154</v>
      </c>
      <c r="H702" s="5">
        <v>4305.1139999999996</v>
      </c>
      <c r="I702" s="5">
        <v>70.509</v>
      </c>
      <c r="J702" s="5">
        <v>4678.9139999999998</v>
      </c>
      <c r="K702" s="5">
        <v>4749.4520000000002</v>
      </c>
      <c r="L702" s="6" t="s">
        <v>41</v>
      </c>
    </row>
    <row r="703" spans="1:12" ht="13" x14ac:dyDescent="0.15">
      <c r="A703" s="5">
        <v>5</v>
      </c>
      <c r="B703" s="5">
        <v>1</v>
      </c>
      <c r="C703" s="5">
        <v>7</v>
      </c>
      <c r="D703" s="6" t="s">
        <v>24</v>
      </c>
      <c r="E703" s="5">
        <v>1407</v>
      </c>
      <c r="F703" s="5">
        <v>0.17399999999999999</v>
      </c>
      <c r="G703" s="5">
        <v>117216591</v>
      </c>
      <c r="H703" s="5">
        <v>9574.2710000000006</v>
      </c>
      <c r="I703" s="5">
        <v>69.531999999999996</v>
      </c>
      <c r="J703" s="5">
        <v>10101.415999999999</v>
      </c>
      <c r="K703" s="5">
        <v>10170.950000000001</v>
      </c>
      <c r="L703" s="6" t="s">
        <v>41</v>
      </c>
    </row>
  </sheetData>
  <autoFilter ref="A1:Z703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70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5.1640625" customWidth="1"/>
    <col min="2" max="2" width="4.1640625" customWidth="1"/>
    <col min="3" max="3" width="4.6640625" customWidth="1"/>
    <col min="5" max="5" width="15" customWidth="1"/>
  </cols>
  <sheetData>
    <row r="1" spans="1:2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 t="s">
        <v>12</v>
      </c>
    </row>
    <row r="2" spans="1:20" ht="15.75" customHeight="1" x14ac:dyDescent="0.15">
      <c r="A2" s="1">
        <v>1</v>
      </c>
      <c r="B2" s="1">
        <v>1</v>
      </c>
      <c r="C2" s="1">
        <v>1</v>
      </c>
      <c r="D2" s="1" t="s">
        <v>24</v>
      </c>
      <c r="E2" s="1">
        <v>16</v>
      </c>
      <c r="F2" s="1">
        <v>0</v>
      </c>
      <c r="G2" s="1">
        <v>2854</v>
      </c>
      <c r="H2" s="1">
        <f t="shared" ref="H2:H256" si="0">G2/E2</f>
        <v>178.375</v>
      </c>
      <c r="I2" s="1">
        <v>3.5000000000000003E-2</v>
      </c>
      <c r="J2" s="1">
        <v>0.33800000000000002</v>
      </c>
      <c r="K2" s="1">
        <v>4.2999999999999997E-2</v>
      </c>
      <c r="L2" s="1">
        <v>0.38200000000000001</v>
      </c>
      <c r="M2" s="1" t="s">
        <v>14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</row>
    <row r="3" spans="1:20" ht="15.75" customHeight="1" x14ac:dyDescent="0.15">
      <c r="A3" s="1">
        <v>1</v>
      </c>
      <c r="B3" s="1">
        <v>1</v>
      </c>
      <c r="C3" s="1">
        <v>2</v>
      </c>
      <c r="D3" s="1" t="s">
        <v>24</v>
      </c>
      <c r="E3" s="1">
        <v>20</v>
      </c>
      <c r="F3" s="1">
        <v>0</v>
      </c>
      <c r="G3" s="1">
        <v>5519</v>
      </c>
      <c r="H3" s="1">
        <f t="shared" si="0"/>
        <v>275.95</v>
      </c>
      <c r="I3" s="1">
        <v>8.7999999999999995E-2</v>
      </c>
      <c r="J3" s="1">
        <v>0.41199999999999998</v>
      </c>
      <c r="K3" s="1">
        <v>0.11799999999999999</v>
      </c>
      <c r="L3" s="1">
        <v>0.53</v>
      </c>
      <c r="M3" s="1" t="s">
        <v>14</v>
      </c>
      <c r="P3" s="1">
        <v>2</v>
      </c>
      <c r="Q3" s="1">
        <f>AVERAGE(H2:H21)</f>
        <v>235.08660609857975</v>
      </c>
      <c r="R3" s="1">
        <f>STDEV(H2:H21)</f>
        <v>59.800316054104911</v>
      </c>
      <c r="S3" s="1">
        <f t="shared" ref="S3:S7" si="1">Q3-R3</f>
        <v>175.28629004447484</v>
      </c>
      <c r="T3" s="1">
        <f t="shared" ref="T3:T7" si="2">Q3+R3</f>
        <v>294.88692215268463</v>
      </c>
    </row>
    <row r="4" spans="1:20" ht="15.75" customHeight="1" x14ac:dyDescent="0.15">
      <c r="A4" s="1">
        <v>1</v>
      </c>
      <c r="B4" s="1">
        <v>1</v>
      </c>
      <c r="C4" s="1">
        <v>3</v>
      </c>
      <c r="D4" s="1" t="s">
        <v>24</v>
      </c>
      <c r="E4" s="1">
        <v>27</v>
      </c>
      <c r="F4" s="1">
        <v>1E-3</v>
      </c>
      <c r="G4" s="1">
        <v>6563</v>
      </c>
      <c r="H4" s="1">
        <f t="shared" si="0"/>
        <v>243.07407407407408</v>
      </c>
      <c r="I4" s="1">
        <v>0.185</v>
      </c>
      <c r="J4" s="1">
        <v>0.36399999999999999</v>
      </c>
      <c r="K4" s="1">
        <v>0.20699999999999999</v>
      </c>
      <c r="L4" s="1">
        <v>0.56999999999999995</v>
      </c>
      <c r="M4" s="1" t="s">
        <v>14</v>
      </c>
      <c r="P4" s="1">
        <v>3</v>
      </c>
      <c r="Q4" s="1">
        <f>AVERAGE(H22:H61)</f>
        <v>1626.3766470648109</v>
      </c>
      <c r="R4" s="1">
        <f>STDEV(H22:H61)</f>
        <v>529.2378867644461</v>
      </c>
      <c r="S4" s="1">
        <f t="shared" si="1"/>
        <v>1097.1387603003648</v>
      </c>
      <c r="T4" s="1">
        <f t="shared" si="2"/>
        <v>2155.6145338292572</v>
      </c>
    </row>
    <row r="5" spans="1:20" ht="15.75" customHeight="1" x14ac:dyDescent="0.15">
      <c r="A5" s="1">
        <v>1</v>
      </c>
      <c r="B5" s="1">
        <v>1</v>
      </c>
      <c r="C5" s="1">
        <v>4</v>
      </c>
      <c r="D5" s="1" t="s">
        <v>24</v>
      </c>
      <c r="E5" s="1">
        <v>21</v>
      </c>
      <c r="F5" s="1">
        <v>1E-3</v>
      </c>
      <c r="G5" s="1">
        <v>6688</v>
      </c>
      <c r="H5" s="1">
        <f t="shared" si="0"/>
        <v>318.47619047619048</v>
      </c>
      <c r="I5" s="1">
        <v>0.20300000000000001</v>
      </c>
      <c r="J5" s="1">
        <v>0.39100000000000001</v>
      </c>
      <c r="K5" s="1">
        <v>0.22600000000000001</v>
      </c>
      <c r="L5" s="1">
        <v>0.61699999999999999</v>
      </c>
      <c r="M5" s="1" t="s">
        <v>14</v>
      </c>
      <c r="P5" s="1">
        <v>4</v>
      </c>
      <c r="Q5" s="1">
        <f>AVERAGE(H62:H121)</f>
        <v>6274.3469464656055</v>
      </c>
      <c r="R5" s="1">
        <f>STDEV(H62:H121)</f>
        <v>2152.1390046784668</v>
      </c>
      <c r="S5" s="1">
        <f t="shared" si="1"/>
        <v>4122.2079417871391</v>
      </c>
      <c r="T5" s="1">
        <f t="shared" si="2"/>
        <v>8426.4859511440718</v>
      </c>
    </row>
    <row r="6" spans="1:20" ht="15.75" customHeight="1" x14ac:dyDescent="0.15">
      <c r="A6" s="1">
        <v>1</v>
      </c>
      <c r="B6" s="1">
        <v>1</v>
      </c>
      <c r="C6" s="1">
        <v>5</v>
      </c>
      <c r="D6" s="1" t="s">
        <v>24</v>
      </c>
      <c r="E6" s="1">
        <v>18</v>
      </c>
      <c r="F6" s="1">
        <v>0</v>
      </c>
      <c r="G6" s="1">
        <v>2144</v>
      </c>
      <c r="H6" s="1">
        <f t="shared" si="0"/>
        <v>119.11111111111111</v>
      </c>
      <c r="I6" s="1">
        <v>2.5999999999999999E-2</v>
      </c>
      <c r="J6" s="1">
        <v>0.50700000000000001</v>
      </c>
      <c r="K6" s="1">
        <v>3.1E-2</v>
      </c>
      <c r="L6" s="1">
        <v>0.53800000000000003</v>
      </c>
      <c r="M6" s="1" t="s">
        <v>14</v>
      </c>
      <c r="P6" s="1">
        <v>5</v>
      </c>
      <c r="Q6" s="1">
        <f>AVERAGE(H122:H201)</f>
        <v>16260.304511732509</v>
      </c>
      <c r="R6" s="1">
        <f>STDEV(H122:H201)</f>
        <v>6865.011963617013</v>
      </c>
      <c r="S6" s="1">
        <f t="shared" si="1"/>
        <v>9395.2925481154962</v>
      </c>
      <c r="T6" s="1">
        <f t="shared" si="2"/>
        <v>23125.316475349522</v>
      </c>
    </row>
    <row r="7" spans="1:20" ht="15.75" customHeight="1" x14ac:dyDescent="0.15">
      <c r="A7" s="1">
        <v>1</v>
      </c>
      <c r="B7" s="1">
        <v>1</v>
      </c>
      <c r="C7" s="1">
        <v>6</v>
      </c>
      <c r="D7" s="1" t="s">
        <v>24</v>
      </c>
      <c r="E7" s="1">
        <v>15</v>
      </c>
      <c r="F7" s="1">
        <v>0</v>
      </c>
      <c r="G7" s="1">
        <v>3778</v>
      </c>
      <c r="H7" s="1">
        <f t="shared" si="0"/>
        <v>251.86666666666667</v>
      </c>
      <c r="I7" s="1">
        <v>4.2000000000000003E-2</v>
      </c>
      <c r="J7" s="1">
        <v>0.35799999999999998</v>
      </c>
      <c r="K7" s="1">
        <v>5.5E-2</v>
      </c>
      <c r="L7" s="1">
        <v>0.41299999999999998</v>
      </c>
      <c r="M7" s="1" t="s">
        <v>14</v>
      </c>
      <c r="P7" s="1">
        <v>6</v>
      </c>
      <c r="Q7" s="1">
        <f>AVERAGE(H202:H235)</f>
        <v>35106.65012976461</v>
      </c>
      <c r="R7" s="1">
        <f>STDEV(H202:H235)</f>
        <v>15765.520113705395</v>
      </c>
      <c r="S7" s="1">
        <f t="shared" si="1"/>
        <v>19341.130016059215</v>
      </c>
      <c r="T7" s="1">
        <f t="shared" si="2"/>
        <v>50872.170243470006</v>
      </c>
    </row>
    <row r="8" spans="1:20" ht="15.75" customHeight="1" x14ac:dyDescent="0.15">
      <c r="A8" s="1">
        <v>1</v>
      </c>
      <c r="B8" s="1">
        <v>1</v>
      </c>
      <c r="C8" s="1">
        <v>7</v>
      </c>
      <c r="D8" s="1" t="s">
        <v>24</v>
      </c>
      <c r="E8" s="1">
        <v>16</v>
      </c>
      <c r="F8" s="1">
        <v>0</v>
      </c>
      <c r="G8" s="1">
        <v>3903</v>
      </c>
      <c r="H8" s="1">
        <f t="shared" si="0"/>
        <v>243.9375</v>
      </c>
      <c r="I8" s="1">
        <v>5.1999999999999998E-2</v>
      </c>
      <c r="J8" s="1">
        <v>0.40100000000000002</v>
      </c>
      <c r="K8" s="1">
        <v>6.4000000000000001E-2</v>
      </c>
      <c r="L8" s="1">
        <v>0.46500000000000002</v>
      </c>
      <c r="M8" s="1" t="s">
        <v>14</v>
      </c>
    </row>
    <row r="9" spans="1:20" ht="15.75" customHeight="1" x14ac:dyDescent="0.15">
      <c r="A9" s="1">
        <v>1</v>
      </c>
      <c r="B9" s="1">
        <v>1</v>
      </c>
      <c r="C9" s="1">
        <v>8</v>
      </c>
      <c r="D9" s="1" t="s">
        <v>24</v>
      </c>
      <c r="E9" s="1">
        <v>24</v>
      </c>
      <c r="F9" s="1">
        <v>1E-3</v>
      </c>
      <c r="G9" s="1">
        <v>5891</v>
      </c>
      <c r="H9" s="1">
        <f t="shared" si="0"/>
        <v>245.45833333333334</v>
      </c>
      <c r="I9" s="1">
        <v>0.20100000000000001</v>
      </c>
      <c r="J9" s="1">
        <v>0.33700000000000002</v>
      </c>
      <c r="K9" s="1">
        <v>0.221</v>
      </c>
      <c r="L9" s="1">
        <v>0.55900000000000005</v>
      </c>
      <c r="M9" s="1" t="s">
        <v>14</v>
      </c>
    </row>
    <row r="10" spans="1:20" ht="15.75" customHeight="1" x14ac:dyDescent="0.15">
      <c r="A10" s="1">
        <v>1</v>
      </c>
      <c r="B10" s="1">
        <v>1</v>
      </c>
      <c r="C10" s="1">
        <v>9</v>
      </c>
      <c r="D10" s="1" t="s">
        <v>13</v>
      </c>
      <c r="E10" s="1">
        <v>27</v>
      </c>
      <c r="F10" s="1">
        <v>7.0000000000000001E-3</v>
      </c>
      <c r="G10" s="1">
        <v>7888</v>
      </c>
      <c r="H10" s="1">
        <f t="shared" si="0"/>
        <v>292.14814814814815</v>
      </c>
      <c r="I10" s="1">
        <v>0.39300000000000002</v>
      </c>
      <c r="J10" s="1">
        <v>0.39400000000000002</v>
      </c>
      <c r="K10" s="1">
        <v>0.41899999999999998</v>
      </c>
      <c r="L10" s="1">
        <v>0.81299999999999994</v>
      </c>
      <c r="M10" s="1" t="s">
        <v>14</v>
      </c>
    </row>
    <row r="11" spans="1:20" ht="15.75" customHeight="1" x14ac:dyDescent="0.15">
      <c r="A11" s="1">
        <v>1</v>
      </c>
      <c r="B11" s="1">
        <v>1</v>
      </c>
      <c r="C11" s="1">
        <v>10</v>
      </c>
      <c r="D11" s="1" t="s">
        <v>24</v>
      </c>
      <c r="E11" s="1">
        <v>21</v>
      </c>
      <c r="F11" s="1">
        <v>1E-3</v>
      </c>
      <c r="G11" s="1">
        <v>6584</v>
      </c>
      <c r="H11" s="1">
        <f t="shared" si="0"/>
        <v>313.52380952380952</v>
      </c>
      <c r="I11" s="1">
        <v>0.1</v>
      </c>
      <c r="J11" s="1">
        <v>0.377</v>
      </c>
      <c r="K11" s="1">
        <v>0.121</v>
      </c>
      <c r="L11" s="1">
        <v>0.498</v>
      </c>
      <c r="M11" s="1" t="s">
        <v>14</v>
      </c>
    </row>
    <row r="12" spans="1:20" ht="15.75" customHeight="1" x14ac:dyDescent="0.15">
      <c r="A12" s="1">
        <v>1</v>
      </c>
      <c r="B12" s="1">
        <v>1</v>
      </c>
      <c r="C12" s="1">
        <v>11</v>
      </c>
      <c r="D12" s="1" t="s">
        <v>15</v>
      </c>
      <c r="E12" s="1">
        <v>18</v>
      </c>
      <c r="F12" s="1">
        <v>1E-3</v>
      </c>
      <c r="G12" s="1">
        <v>6529</v>
      </c>
      <c r="H12" s="1">
        <f t="shared" si="0"/>
        <v>362.72222222222223</v>
      </c>
      <c r="I12" s="1">
        <v>0.39100000000000001</v>
      </c>
      <c r="J12" s="1">
        <v>0.35499999999999998</v>
      </c>
      <c r="K12" s="1">
        <v>0.41399999999999998</v>
      </c>
      <c r="L12" s="1">
        <v>0.76900000000000002</v>
      </c>
      <c r="M12" s="1" t="s">
        <v>14</v>
      </c>
    </row>
    <row r="13" spans="1:20" ht="15.75" customHeight="1" x14ac:dyDescent="0.15">
      <c r="A13" s="1">
        <v>1</v>
      </c>
      <c r="B13" s="1">
        <v>1</v>
      </c>
      <c r="C13" s="1">
        <v>12</v>
      </c>
      <c r="D13" s="1" t="s">
        <v>24</v>
      </c>
      <c r="E13" s="1">
        <v>19</v>
      </c>
      <c r="F13" s="1">
        <v>0</v>
      </c>
      <c r="G13" s="1">
        <v>4827</v>
      </c>
      <c r="H13" s="1">
        <f t="shared" si="0"/>
        <v>254.05263157894737</v>
      </c>
      <c r="I13" s="1">
        <v>5.3999999999999999E-2</v>
      </c>
      <c r="J13" s="1">
        <v>0.40799999999999997</v>
      </c>
      <c r="K13" s="1">
        <v>7.1999999999999995E-2</v>
      </c>
      <c r="L13" s="1">
        <v>0.48</v>
      </c>
      <c r="M13" s="1" t="s">
        <v>14</v>
      </c>
    </row>
    <row r="14" spans="1:20" ht="15.75" customHeight="1" x14ac:dyDescent="0.15">
      <c r="A14" s="1">
        <v>1</v>
      </c>
      <c r="B14" s="1">
        <v>1</v>
      </c>
      <c r="C14" s="1">
        <v>13</v>
      </c>
      <c r="D14" s="1" t="s">
        <v>24</v>
      </c>
      <c r="E14" s="1">
        <v>15</v>
      </c>
      <c r="F14" s="1">
        <v>0</v>
      </c>
      <c r="G14" s="1">
        <v>3210</v>
      </c>
      <c r="H14" s="1">
        <f t="shared" si="0"/>
        <v>214</v>
      </c>
      <c r="I14" s="1">
        <v>4.1000000000000002E-2</v>
      </c>
      <c r="J14" s="1">
        <v>0.30499999999999999</v>
      </c>
      <c r="K14" s="1">
        <v>5.1999999999999998E-2</v>
      </c>
      <c r="L14" s="1">
        <v>0.35599999999999998</v>
      </c>
      <c r="M14" s="1" t="s">
        <v>14</v>
      </c>
    </row>
    <row r="15" spans="1:20" ht="15.75" customHeight="1" x14ac:dyDescent="0.15">
      <c r="A15" s="1">
        <v>1</v>
      </c>
      <c r="B15" s="1">
        <v>1</v>
      </c>
      <c r="C15" s="1">
        <v>14</v>
      </c>
      <c r="D15" s="1" t="s">
        <v>24</v>
      </c>
      <c r="E15" s="1">
        <v>15</v>
      </c>
      <c r="F15" s="1">
        <v>0</v>
      </c>
      <c r="G15" s="1">
        <v>3370</v>
      </c>
      <c r="H15" s="1">
        <f t="shared" si="0"/>
        <v>224.66666666666666</v>
      </c>
      <c r="I15" s="1">
        <v>4.2000000000000003E-2</v>
      </c>
      <c r="J15" s="1">
        <v>0.28799999999999998</v>
      </c>
      <c r="K15" s="1">
        <v>5.2999999999999999E-2</v>
      </c>
      <c r="L15" s="1">
        <v>0.34200000000000003</v>
      </c>
      <c r="M15" s="1" t="s">
        <v>14</v>
      </c>
    </row>
    <row r="16" spans="1:20" ht="15.75" customHeight="1" x14ac:dyDescent="0.15">
      <c r="A16" s="1">
        <v>1</v>
      </c>
      <c r="B16" s="1">
        <v>1</v>
      </c>
      <c r="C16" s="1">
        <v>15</v>
      </c>
      <c r="D16" s="1" t="s">
        <v>24</v>
      </c>
      <c r="E16" s="1">
        <v>15</v>
      </c>
      <c r="F16" s="1">
        <v>0</v>
      </c>
      <c r="G16" s="1">
        <v>3438</v>
      </c>
      <c r="H16" s="1">
        <f t="shared" si="0"/>
        <v>229.2</v>
      </c>
      <c r="I16" s="1">
        <v>2.9000000000000001E-2</v>
      </c>
      <c r="J16" s="1">
        <v>0.38100000000000001</v>
      </c>
      <c r="K16" s="1">
        <v>4.2999999999999997E-2</v>
      </c>
      <c r="L16" s="1">
        <v>0.42299999999999999</v>
      </c>
      <c r="M16" s="1" t="s">
        <v>14</v>
      </c>
    </row>
    <row r="17" spans="1:13" ht="15.75" customHeight="1" x14ac:dyDescent="0.15">
      <c r="A17" s="1">
        <v>1</v>
      </c>
      <c r="B17" s="1">
        <v>1</v>
      </c>
      <c r="C17" s="1">
        <v>16</v>
      </c>
      <c r="D17" s="1" t="s">
        <v>24</v>
      </c>
      <c r="E17" s="1">
        <v>21</v>
      </c>
      <c r="F17" s="1">
        <v>1E-3</v>
      </c>
      <c r="G17" s="1">
        <v>3333</v>
      </c>
      <c r="H17" s="1">
        <f t="shared" si="0"/>
        <v>158.71428571428572</v>
      </c>
      <c r="I17" s="1">
        <v>0.16500000000000001</v>
      </c>
      <c r="J17" s="1">
        <v>0.26500000000000001</v>
      </c>
      <c r="K17" s="1">
        <v>0.17699999999999999</v>
      </c>
      <c r="L17" s="1">
        <v>0.442</v>
      </c>
      <c r="M17" s="1" t="s">
        <v>14</v>
      </c>
    </row>
    <row r="18" spans="1:13" ht="15.75" customHeight="1" x14ac:dyDescent="0.15">
      <c r="A18" s="1">
        <v>1</v>
      </c>
      <c r="B18" s="1">
        <v>1</v>
      </c>
      <c r="C18" s="1">
        <v>17</v>
      </c>
      <c r="D18" s="1" t="s">
        <v>24</v>
      </c>
      <c r="E18" s="1">
        <v>15</v>
      </c>
      <c r="F18" s="1">
        <v>0</v>
      </c>
      <c r="G18" s="1">
        <v>2974</v>
      </c>
      <c r="H18" s="1">
        <f t="shared" si="0"/>
        <v>198.26666666666668</v>
      </c>
      <c r="I18" s="1">
        <v>3.2000000000000001E-2</v>
      </c>
      <c r="J18" s="1">
        <v>0.28399999999999997</v>
      </c>
      <c r="K18" s="1">
        <v>4.2999999999999997E-2</v>
      </c>
      <c r="L18" s="1">
        <v>0.32700000000000001</v>
      </c>
      <c r="M18" s="1" t="s">
        <v>14</v>
      </c>
    </row>
    <row r="19" spans="1:13" ht="15.75" customHeight="1" x14ac:dyDescent="0.15">
      <c r="A19" s="1">
        <v>1</v>
      </c>
      <c r="B19" s="1">
        <v>1</v>
      </c>
      <c r="C19" s="1">
        <v>18</v>
      </c>
      <c r="D19" s="1" t="s">
        <v>24</v>
      </c>
      <c r="E19" s="1">
        <v>20</v>
      </c>
      <c r="F19" s="1">
        <v>0</v>
      </c>
      <c r="G19" s="1">
        <v>3602</v>
      </c>
      <c r="H19" s="1">
        <f t="shared" si="0"/>
        <v>180.1</v>
      </c>
      <c r="I19" s="1">
        <v>0.04</v>
      </c>
      <c r="J19" s="1">
        <v>0.48899999999999999</v>
      </c>
      <c r="K19" s="1">
        <v>5.0999999999999997E-2</v>
      </c>
      <c r="L19" s="1">
        <v>0.54</v>
      </c>
      <c r="M19" s="1" t="s">
        <v>14</v>
      </c>
    </row>
    <row r="20" spans="1:13" ht="15.75" customHeight="1" x14ac:dyDescent="0.15">
      <c r="A20" s="1">
        <v>1</v>
      </c>
      <c r="B20" s="1">
        <v>1</v>
      </c>
      <c r="C20" s="1">
        <v>19</v>
      </c>
      <c r="D20" s="1" t="s">
        <v>24</v>
      </c>
      <c r="E20" s="1">
        <v>19</v>
      </c>
      <c r="F20" s="1">
        <v>0</v>
      </c>
      <c r="G20" s="1">
        <v>3088</v>
      </c>
      <c r="H20" s="1">
        <f t="shared" si="0"/>
        <v>162.52631578947367</v>
      </c>
      <c r="I20" s="1">
        <v>3.2000000000000001E-2</v>
      </c>
      <c r="J20" s="1">
        <v>0.36399999999999999</v>
      </c>
      <c r="K20" s="1">
        <v>4.2999999999999997E-2</v>
      </c>
      <c r="L20" s="1">
        <v>0.40699999999999997</v>
      </c>
      <c r="M20" s="1" t="s">
        <v>14</v>
      </c>
    </row>
    <row r="21" spans="1:13" ht="15.75" customHeight="1" x14ac:dyDescent="0.15">
      <c r="A21" s="1">
        <v>1</v>
      </c>
      <c r="B21" s="1">
        <v>1</v>
      </c>
      <c r="C21" s="1">
        <v>20</v>
      </c>
      <c r="D21" s="1" t="s">
        <v>24</v>
      </c>
      <c r="E21" s="1">
        <v>16</v>
      </c>
      <c r="F21" s="1">
        <v>0</v>
      </c>
      <c r="G21" s="1">
        <v>3769</v>
      </c>
      <c r="H21" s="1">
        <f t="shared" si="0"/>
        <v>235.5625</v>
      </c>
      <c r="I21" s="1">
        <v>0.05</v>
      </c>
      <c r="J21" s="1">
        <v>0.42799999999999999</v>
      </c>
      <c r="K21" s="1">
        <v>6.2E-2</v>
      </c>
      <c r="L21" s="1">
        <v>0.49</v>
      </c>
      <c r="M21" s="1" t="s">
        <v>14</v>
      </c>
    </row>
    <row r="22" spans="1:13" ht="15.75" customHeight="1" x14ac:dyDescent="0.15">
      <c r="A22" s="1">
        <v>1</v>
      </c>
      <c r="B22" s="1">
        <v>2</v>
      </c>
      <c r="C22" s="1">
        <v>1</v>
      </c>
      <c r="D22" s="1" t="s">
        <v>24</v>
      </c>
      <c r="E22" s="1">
        <v>84</v>
      </c>
      <c r="F22" s="1">
        <v>2E-3</v>
      </c>
      <c r="G22" s="1">
        <v>127819</v>
      </c>
      <c r="H22" s="1">
        <f t="shared" si="0"/>
        <v>1521.6547619047619</v>
      </c>
      <c r="I22" s="1">
        <v>2.6379999999999999</v>
      </c>
      <c r="J22" s="1">
        <v>2.0579999999999998</v>
      </c>
      <c r="K22" s="1">
        <v>3.2010000000000001</v>
      </c>
      <c r="L22" s="1">
        <v>5.2590000000000003</v>
      </c>
      <c r="M22" s="1" t="s">
        <v>14</v>
      </c>
    </row>
    <row r="23" spans="1:13" ht="15.75" customHeight="1" x14ac:dyDescent="0.15">
      <c r="A23" s="1">
        <v>1</v>
      </c>
      <c r="B23" s="1">
        <v>2</v>
      </c>
      <c r="C23" s="1">
        <v>2</v>
      </c>
      <c r="D23" s="1" t="s">
        <v>24</v>
      </c>
      <c r="E23" s="1">
        <v>93</v>
      </c>
      <c r="F23" s="1">
        <v>3.0000000000000001E-3</v>
      </c>
      <c r="G23" s="1">
        <v>49155</v>
      </c>
      <c r="H23" s="1">
        <f t="shared" si="0"/>
        <v>528.54838709677415</v>
      </c>
      <c r="I23" s="1">
        <v>1.1020000000000001</v>
      </c>
      <c r="J23" s="1">
        <v>1.8140000000000001</v>
      </c>
      <c r="K23" s="1">
        <v>1.2649999999999999</v>
      </c>
      <c r="L23" s="1">
        <v>3.0790000000000002</v>
      </c>
      <c r="M23" s="1" t="s">
        <v>14</v>
      </c>
    </row>
    <row r="24" spans="1:13" ht="15.75" customHeight="1" x14ac:dyDescent="0.15">
      <c r="A24" s="1">
        <v>1</v>
      </c>
      <c r="B24" s="1">
        <v>2</v>
      </c>
      <c r="C24" s="1">
        <v>3</v>
      </c>
      <c r="D24" s="1" t="s">
        <v>24</v>
      </c>
      <c r="E24" s="1">
        <v>130</v>
      </c>
      <c r="F24" s="1">
        <v>8.9999999999999993E-3</v>
      </c>
      <c r="G24" s="1">
        <v>224142</v>
      </c>
      <c r="H24" s="1">
        <f t="shared" si="0"/>
        <v>1724.1692307692308</v>
      </c>
      <c r="I24" s="1">
        <v>17.927</v>
      </c>
      <c r="J24" s="1">
        <v>1.9670000000000001</v>
      </c>
      <c r="K24" s="1">
        <v>19.027000000000001</v>
      </c>
      <c r="L24" s="1">
        <v>20.994</v>
      </c>
      <c r="M24" s="1" t="s">
        <v>14</v>
      </c>
    </row>
    <row r="25" spans="1:13" ht="15.75" customHeight="1" x14ac:dyDescent="0.15">
      <c r="A25" s="1">
        <v>1</v>
      </c>
      <c r="B25" s="1">
        <v>2</v>
      </c>
      <c r="C25" s="1">
        <v>4</v>
      </c>
      <c r="D25" s="1" t="s">
        <v>24</v>
      </c>
      <c r="E25" s="1">
        <v>102</v>
      </c>
      <c r="F25" s="1">
        <v>4.0000000000000001E-3</v>
      </c>
      <c r="G25" s="1">
        <v>163010</v>
      </c>
      <c r="H25" s="1">
        <f t="shared" si="0"/>
        <v>1598.1372549019609</v>
      </c>
      <c r="I25" s="1">
        <v>5.0629999999999997</v>
      </c>
      <c r="J25" s="1">
        <v>2.1760000000000002</v>
      </c>
      <c r="K25" s="1">
        <v>5.8730000000000002</v>
      </c>
      <c r="L25" s="1">
        <v>8.0489999999999995</v>
      </c>
      <c r="M25" s="1" t="s">
        <v>14</v>
      </c>
    </row>
    <row r="26" spans="1:13" ht="15.75" customHeight="1" x14ac:dyDescent="0.15">
      <c r="A26" s="1">
        <v>1</v>
      </c>
      <c r="B26" s="1">
        <v>2</v>
      </c>
      <c r="C26" s="1">
        <v>5</v>
      </c>
      <c r="D26" s="1" t="s">
        <v>24</v>
      </c>
      <c r="E26" s="1">
        <v>63</v>
      </c>
      <c r="F26" s="1">
        <v>2E-3</v>
      </c>
      <c r="G26" s="1">
        <v>87056</v>
      </c>
      <c r="H26" s="1">
        <f t="shared" si="0"/>
        <v>1381.8412698412699</v>
      </c>
      <c r="I26" s="1">
        <v>1.609</v>
      </c>
      <c r="J26" s="1">
        <v>2.7170000000000001</v>
      </c>
      <c r="K26" s="1">
        <v>1.9139999999999999</v>
      </c>
      <c r="L26" s="1">
        <v>4.63</v>
      </c>
      <c r="M26" s="1" t="s">
        <v>14</v>
      </c>
    </row>
    <row r="27" spans="1:13" ht="15.75" customHeight="1" x14ac:dyDescent="0.15">
      <c r="A27" s="1">
        <v>1</v>
      </c>
      <c r="B27" s="1">
        <v>2</v>
      </c>
      <c r="C27" s="1">
        <v>6</v>
      </c>
      <c r="D27" s="1" t="s">
        <v>24</v>
      </c>
      <c r="E27" s="1">
        <v>74</v>
      </c>
      <c r="F27" s="1">
        <v>2E-3</v>
      </c>
      <c r="G27" s="1">
        <v>168266</v>
      </c>
      <c r="H27" s="1">
        <f t="shared" si="0"/>
        <v>2273.864864864865</v>
      </c>
      <c r="I27" s="1">
        <v>2.7709999999999999</v>
      </c>
      <c r="J27" s="1">
        <v>3.0150000000000001</v>
      </c>
      <c r="K27" s="1">
        <v>3.5259999999999998</v>
      </c>
      <c r="L27" s="1">
        <v>6.5410000000000004</v>
      </c>
      <c r="M27" s="1" t="s">
        <v>14</v>
      </c>
    </row>
    <row r="28" spans="1:13" ht="15.75" customHeight="1" x14ac:dyDescent="0.15">
      <c r="A28" s="1">
        <v>1</v>
      </c>
      <c r="B28" s="1">
        <v>2</v>
      </c>
      <c r="C28" s="1">
        <v>7</v>
      </c>
      <c r="D28" s="1" t="s">
        <v>24</v>
      </c>
      <c r="E28" s="1">
        <v>92</v>
      </c>
      <c r="F28" s="1">
        <v>3.0000000000000001E-3</v>
      </c>
      <c r="G28" s="1">
        <v>84922</v>
      </c>
      <c r="H28" s="1">
        <f t="shared" si="0"/>
        <v>923.06521739130437</v>
      </c>
      <c r="I28" s="1">
        <v>1.7729999999999999</v>
      </c>
      <c r="J28" s="1">
        <v>1.639</v>
      </c>
      <c r="K28" s="1">
        <v>2.1459999999999999</v>
      </c>
      <c r="L28" s="1">
        <v>3.7850000000000001</v>
      </c>
      <c r="M28" s="1" t="s">
        <v>14</v>
      </c>
    </row>
    <row r="29" spans="1:13" ht="15.75" customHeight="1" x14ac:dyDescent="0.15">
      <c r="A29" s="1">
        <v>1</v>
      </c>
      <c r="B29" s="1">
        <v>2</v>
      </c>
      <c r="C29" s="1">
        <v>8</v>
      </c>
      <c r="D29" s="1" t="s">
        <v>24</v>
      </c>
      <c r="E29" s="1">
        <v>115</v>
      </c>
      <c r="F29" s="1">
        <v>5.0000000000000001E-3</v>
      </c>
      <c r="G29" s="1">
        <v>124719</v>
      </c>
      <c r="H29" s="1">
        <f t="shared" si="0"/>
        <v>1084.5130434782609</v>
      </c>
      <c r="I29" s="1">
        <v>4.95</v>
      </c>
      <c r="J29" s="1">
        <v>1.73</v>
      </c>
      <c r="K29" s="1">
        <v>5.5369999999999999</v>
      </c>
      <c r="L29" s="1">
        <v>7.266</v>
      </c>
      <c r="M29" s="1" t="s">
        <v>14</v>
      </c>
    </row>
    <row r="30" spans="1:13" ht="15.75" customHeight="1" x14ac:dyDescent="0.15">
      <c r="A30" s="1">
        <v>1</v>
      </c>
      <c r="B30" s="1">
        <v>2</v>
      </c>
      <c r="C30" s="1">
        <v>9</v>
      </c>
      <c r="D30" s="1" t="s">
        <v>16</v>
      </c>
      <c r="E30" s="1">
        <v>119</v>
      </c>
      <c r="F30" s="1">
        <v>8.0000000000000002E-3</v>
      </c>
      <c r="G30" s="1">
        <v>174394</v>
      </c>
      <c r="H30" s="1">
        <f t="shared" si="0"/>
        <v>1465.4957983193278</v>
      </c>
      <c r="I30" s="1">
        <v>10.917</v>
      </c>
      <c r="J30" s="1">
        <v>1.5960000000000001</v>
      </c>
      <c r="K30" s="1">
        <v>11.781000000000001</v>
      </c>
      <c r="L30" s="1">
        <v>13.377000000000001</v>
      </c>
      <c r="M30" s="1" t="s">
        <v>14</v>
      </c>
    </row>
    <row r="31" spans="1:13" ht="15.75" customHeight="1" x14ac:dyDescent="0.15">
      <c r="A31" s="1">
        <v>1</v>
      </c>
      <c r="B31" s="1">
        <v>2</v>
      </c>
      <c r="C31" s="1">
        <v>10</v>
      </c>
      <c r="D31" s="1" t="s">
        <v>17</v>
      </c>
      <c r="E31" s="1">
        <v>131</v>
      </c>
      <c r="F31" s="1">
        <v>5.0000000000000001E-3</v>
      </c>
      <c r="G31" s="1">
        <v>326908</v>
      </c>
      <c r="H31" s="1">
        <f t="shared" si="0"/>
        <v>2495.4809160305344</v>
      </c>
      <c r="I31" s="1">
        <v>11.478</v>
      </c>
      <c r="J31" s="1">
        <v>2.7440000000000002</v>
      </c>
      <c r="K31" s="1">
        <v>13.112</v>
      </c>
      <c r="L31" s="1">
        <v>15.856</v>
      </c>
      <c r="M31" s="1" t="s">
        <v>14</v>
      </c>
    </row>
    <row r="32" spans="1:13" ht="15.75" customHeight="1" x14ac:dyDescent="0.15">
      <c r="A32" s="1">
        <v>1</v>
      </c>
      <c r="B32" s="1">
        <v>2</v>
      </c>
      <c r="C32" s="1">
        <v>11</v>
      </c>
      <c r="D32" s="1" t="s">
        <v>18</v>
      </c>
      <c r="E32" s="1">
        <v>101</v>
      </c>
      <c r="F32" s="1">
        <v>8.9999999999999993E-3</v>
      </c>
      <c r="G32" s="1">
        <v>191677</v>
      </c>
      <c r="H32" s="1">
        <f t="shared" si="0"/>
        <v>1897.7920792079208</v>
      </c>
      <c r="I32" s="1">
        <v>14.561999999999999</v>
      </c>
      <c r="J32" s="1">
        <v>1.6240000000000001</v>
      </c>
      <c r="K32" s="1">
        <v>15.596</v>
      </c>
      <c r="L32" s="1">
        <v>17.22</v>
      </c>
      <c r="M32" s="1" t="s">
        <v>14</v>
      </c>
    </row>
    <row r="33" spans="1:13" ht="15.75" customHeight="1" x14ac:dyDescent="0.15">
      <c r="A33" s="1">
        <v>1</v>
      </c>
      <c r="B33" s="1">
        <v>2</v>
      </c>
      <c r="C33" s="1">
        <v>12</v>
      </c>
      <c r="D33" s="1" t="s">
        <v>24</v>
      </c>
      <c r="E33" s="1">
        <v>107</v>
      </c>
      <c r="F33" s="1">
        <v>3.0000000000000001E-3</v>
      </c>
      <c r="G33" s="1">
        <v>210972</v>
      </c>
      <c r="H33" s="1">
        <f t="shared" si="0"/>
        <v>1971.7009345794393</v>
      </c>
      <c r="I33" s="1">
        <v>4.4790000000000001</v>
      </c>
      <c r="J33" s="1">
        <v>2.2269999999999999</v>
      </c>
      <c r="K33" s="1">
        <v>5.524</v>
      </c>
      <c r="L33" s="1">
        <v>7.7510000000000003</v>
      </c>
      <c r="M33" s="1" t="s">
        <v>14</v>
      </c>
    </row>
    <row r="34" spans="1:13" ht="15.75" customHeight="1" x14ac:dyDescent="0.15">
      <c r="A34" s="1">
        <v>1</v>
      </c>
      <c r="B34" s="1">
        <v>2</v>
      </c>
      <c r="C34" s="1">
        <v>13</v>
      </c>
      <c r="D34" s="1" t="s">
        <v>24</v>
      </c>
      <c r="E34" s="1">
        <v>64</v>
      </c>
      <c r="F34" s="1">
        <v>2E-3</v>
      </c>
      <c r="G34" s="1">
        <v>175170</v>
      </c>
      <c r="H34" s="1">
        <f t="shared" si="0"/>
        <v>2737.03125</v>
      </c>
      <c r="I34" s="1">
        <v>3.7450000000000001</v>
      </c>
      <c r="J34" s="1">
        <v>2.46</v>
      </c>
      <c r="K34" s="1">
        <v>4.633</v>
      </c>
      <c r="L34" s="1">
        <v>7.0940000000000003</v>
      </c>
      <c r="M34" s="1" t="s">
        <v>14</v>
      </c>
    </row>
    <row r="35" spans="1:13" ht="15.75" customHeight="1" x14ac:dyDescent="0.15">
      <c r="A35" s="1">
        <v>1</v>
      </c>
      <c r="B35" s="1">
        <v>2</v>
      </c>
      <c r="C35" s="1">
        <v>14</v>
      </c>
      <c r="D35" s="1" t="s">
        <v>24</v>
      </c>
      <c r="E35" s="1">
        <v>81</v>
      </c>
      <c r="F35" s="1">
        <v>2E-3</v>
      </c>
      <c r="G35" s="1">
        <v>93972</v>
      </c>
      <c r="H35" s="1">
        <f t="shared" si="0"/>
        <v>1160.148148148148</v>
      </c>
      <c r="I35" s="1">
        <v>2.177</v>
      </c>
      <c r="J35" s="1">
        <v>1.5149999999999999</v>
      </c>
      <c r="K35" s="1">
        <v>2.6190000000000002</v>
      </c>
      <c r="L35" s="1">
        <v>4.1349999999999998</v>
      </c>
      <c r="M35" s="1" t="s">
        <v>14</v>
      </c>
    </row>
    <row r="36" spans="1:13" ht="15.75" customHeight="1" x14ac:dyDescent="0.15">
      <c r="A36" s="1">
        <v>1</v>
      </c>
      <c r="B36" s="1">
        <v>2</v>
      </c>
      <c r="C36" s="1">
        <v>15</v>
      </c>
      <c r="D36" s="1" t="s">
        <v>24</v>
      </c>
      <c r="E36" s="1">
        <v>83</v>
      </c>
      <c r="F36" s="1">
        <v>2E-3</v>
      </c>
      <c r="G36" s="1">
        <v>161279</v>
      </c>
      <c r="H36" s="1">
        <f t="shared" si="0"/>
        <v>1943.1204819277109</v>
      </c>
      <c r="I36" s="1">
        <v>3.246</v>
      </c>
      <c r="J36" s="1">
        <v>2.581</v>
      </c>
      <c r="K36" s="1">
        <v>4.085</v>
      </c>
      <c r="L36" s="1">
        <v>6.6660000000000004</v>
      </c>
      <c r="M36" s="1" t="s">
        <v>14</v>
      </c>
    </row>
    <row r="37" spans="1:13" ht="15.75" customHeight="1" x14ac:dyDescent="0.15">
      <c r="A37" s="1">
        <v>1</v>
      </c>
      <c r="B37" s="1">
        <v>2</v>
      </c>
      <c r="C37" s="1">
        <v>16</v>
      </c>
      <c r="D37" s="1" t="s">
        <v>24</v>
      </c>
      <c r="E37" s="1">
        <v>95</v>
      </c>
      <c r="F37" s="1">
        <v>3.0000000000000001E-3</v>
      </c>
      <c r="G37" s="1">
        <v>65103</v>
      </c>
      <c r="H37" s="1">
        <f t="shared" si="0"/>
        <v>685.29473684210529</v>
      </c>
      <c r="I37" s="1">
        <v>2.9809999999999999</v>
      </c>
      <c r="J37" s="1">
        <v>1.2</v>
      </c>
      <c r="K37" s="1">
        <v>3.2789999999999999</v>
      </c>
      <c r="L37" s="1">
        <v>4.4800000000000004</v>
      </c>
      <c r="M37" s="1" t="s">
        <v>14</v>
      </c>
    </row>
    <row r="38" spans="1:13" ht="15.75" customHeight="1" x14ac:dyDescent="0.15">
      <c r="A38" s="1">
        <v>1</v>
      </c>
      <c r="B38" s="1">
        <v>2</v>
      </c>
      <c r="C38" s="1">
        <v>17</v>
      </c>
      <c r="D38" s="1" t="s">
        <v>24</v>
      </c>
      <c r="E38" s="1">
        <v>84</v>
      </c>
      <c r="F38" s="1">
        <v>3.0000000000000001E-3</v>
      </c>
      <c r="G38" s="1">
        <v>137367</v>
      </c>
      <c r="H38" s="1">
        <f t="shared" si="0"/>
        <v>1635.3214285714287</v>
      </c>
      <c r="I38" s="1">
        <v>3.6560000000000001</v>
      </c>
      <c r="J38" s="1">
        <v>1.986</v>
      </c>
      <c r="K38" s="1">
        <v>4.2789999999999999</v>
      </c>
      <c r="L38" s="1">
        <v>6.2649999999999997</v>
      </c>
      <c r="M38" s="1" t="s">
        <v>14</v>
      </c>
    </row>
    <row r="39" spans="1:13" ht="15.75" customHeight="1" x14ac:dyDescent="0.15">
      <c r="A39" s="1">
        <v>1</v>
      </c>
      <c r="B39" s="1">
        <v>2</v>
      </c>
      <c r="C39" s="1">
        <v>18</v>
      </c>
      <c r="D39" s="1" t="s">
        <v>24</v>
      </c>
      <c r="E39" s="1">
        <v>84</v>
      </c>
      <c r="F39" s="1">
        <v>3.0000000000000001E-3</v>
      </c>
      <c r="G39" s="1">
        <v>117606</v>
      </c>
      <c r="H39" s="1">
        <f t="shared" si="0"/>
        <v>1400.0714285714287</v>
      </c>
      <c r="I39" s="1">
        <v>2.99</v>
      </c>
      <c r="J39" s="1">
        <v>2.472</v>
      </c>
      <c r="K39" s="1">
        <v>3.4940000000000002</v>
      </c>
      <c r="L39" s="1">
        <v>5.9660000000000002</v>
      </c>
      <c r="M39" s="1" t="s">
        <v>14</v>
      </c>
    </row>
    <row r="40" spans="1:13" ht="15.75" customHeight="1" x14ac:dyDescent="0.15">
      <c r="A40" s="1">
        <v>1</v>
      </c>
      <c r="B40" s="1">
        <v>2</v>
      </c>
      <c r="C40" s="1">
        <v>19</v>
      </c>
      <c r="D40" s="1" t="s">
        <v>24</v>
      </c>
      <c r="E40" s="1">
        <v>95</v>
      </c>
      <c r="F40" s="1">
        <v>3.0000000000000001E-3</v>
      </c>
      <c r="G40" s="1">
        <v>138701</v>
      </c>
      <c r="H40" s="1">
        <f t="shared" si="0"/>
        <v>1460.0105263157895</v>
      </c>
      <c r="I40" s="1">
        <v>2.9129999999999998</v>
      </c>
      <c r="J40" s="1">
        <v>2.133</v>
      </c>
      <c r="K40" s="1">
        <v>3.56</v>
      </c>
      <c r="L40" s="1">
        <v>5.6929999999999996</v>
      </c>
      <c r="M40" s="1" t="s">
        <v>14</v>
      </c>
    </row>
    <row r="41" spans="1:13" ht="15.75" customHeight="1" x14ac:dyDescent="0.15">
      <c r="A41" s="1">
        <v>1</v>
      </c>
      <c r="B41" s="1">
        <v>2</v>
      </c>
      <c r="C41" s="1">
        <v>20</v>
      </c>
      <c r="D41" s="1" t="s">
        <v>24</v>
      </c>
      <c r="E41" s="1">
        <v>97</v>
      </c>
      <c r="F41" s="1">
        <v>3.0000000000000001E-3</v>
      </c>
      <c r="G41" s="1">
        <v>147637</v>
      </c>
      <c r="H41" s="1">
        <f t="shared" si="0"/>
        <v>1522.0309278350514</v>
      </c>
      <c r="I41" s="1">
        <v>3.677</v>
      </c>
      <c r="J41" s="1">
        <v>2.177</v>
      </c>
      <c r="K41" s="1">
        <v>4.3680000000000003</v>
      </c>
      <c r="L41" s="1">
        <v>6.5460000000000003</v>
      </c>
      <c r="M41" s="1" t="s">
        <v>14</v>
      </c>
    </row>
    <row r="42" spans="1:13" ht="15.75" customHeight="1" x14ac:dyDescent="0.15">
      <c r="A42" s="1">
        <v>2</v>
      </c>
      <c r="B42" s="1">
        <v>1</v>
      </c>
      <c r="C42" s="1">
        <v>1</v>
      </c>
      <c r="D42" s="1" t="s">
        <v>24</v>
      </c>
      <c r="E42" s="1">
        <v>84</v>
      </c>
      <c r="F42" s="1">
        <v>4.0000000000000001E-3</v>
      </c>
      <c r="G42" s="1">
        <v>159536</v>
      </c>
      <c r="H42" s="1">
        <f t="shared" si="0"/>
        <v>1899.2380952380952</v>
      </c>
      <c r="I42" s="1">
        <v>8.8550000000000004</v>
      </c>
      <c r="J42" s="1">
        <v>2.0950000000000002</v>
      </c>
      <c r="K42" s="1">
        <v>9.5389999999999997</v>
      </c>
      <c r="L42" s="1">
        <v>11.634</v>
      </c>
      <c r="M42" s="1" t="s">
        <v>14</v>
      </c>
    </row>
    <row r="43" spans="1:13" ht="15.75" customHeight="1" x14ac:dyDescent="0.15">
      <c r="A43" s="1">
        <v>2</v>
      </c>
      <c r="B43" s="1">
        <v>1</v>
      </c>
      <c r="C43" s="1">
        <v>2</v>
      </c>
      <c r="D43" s="1" t="s">
        <v>24</v>
      </c>
      <c r="E43" s="1">
        <v>93</v>
      </c>
      <c r="F43" s="1">
        <v>3.0000000000000001E-3</v>
      </c>
      <c r="G43" s="1">
        <v>133523</v>
      </c>
      <c r="H43" s="1">
        <f t="shared" si="0"/>
        <v>1435.7311827956989</v>
      </c>
      <c r="I43" s="1">
        <v>2.87</v>
      </c>
      <c r="J43" s="1">
        <v>2.5129999999999999</v>
      </c>
      <c r="K43" s="1">
        <v>3.4169999999999998</v>
      </c>
      <c r="L43" s="1">
        <v>5.93</v>
      </c>
      <c r="M43" s="1" t="s">
        <v>14</v>
      </c>
    </row>
    <row r="44" spans="1:13" ht="15.75" customHeight="1" x14ac:dyDescent="0.15">
      <c r="A44" s="1">
        <v>2</v>
      </c>
      <c r="B44" s="1">
        <v>1</v>
      </c>
      <c r="C44" s="1">
        <v>3</v>
      </c>
      <c r="D44" s="1" t="s">
        <v>24</v>
      </c>
      <c r="E44" s="1">
        <v>130</v>
      </c>
      <c r="F44" s="1">
        <v>8.0000000000000002E-3</v>
      </c>
      <c r="G44" s="1">
        <v>181471</v>
      </c>
      <c r="H44" s="1">
        <f t="shared" si="0"/>
        <v>1395.9307692307693</v>
      </c>
      <c r="I44" s="1">
        <v>11.898</v>
      </c>
      <c r="J44" s="1">
        <v>1.8180000000000001</v>
      </c>
      <c r="K44" s="1">
        <v>12.76</v>
      </c>
      <c r="L44" s="1">
        <v>14.577999999999999</v>
      </c>
      <c r="M44" s="1" t="s">
        <v>14</v>
      </c>
    </row>
    <row r="45" spans="1:13" ht="15.75" customHeight="1" x14ac:dyDescent="0.15">
      <c r="A45" s="1">
        <v>2</v>
      </c>
      <c r="B45" s="1">
        <v>1</v>
      </c>
      <c r="C45" s="1">
        <v>4</v>
      </c>
      <c r="D45" s="1" t="s">
        <v>24</v>
      </c>
      <c r="E45" s="1">
        <v>102</v>
      </c>
      <c r="F45" s="1">
        <v>2E-3</v>
      </c>
      <c r="G45" s="1">
        <v>153442</v>
      </c>
      <c r="H45" s="1">
        <f t="shared" si="0"/>
        <v>1504.3333333333333</v>
      </c>
      <c r="I45" s="1">
        <v>2.504</v>
      </c>
      <c r="J45" s="1">
        <v>2.044</v>
      </c>
      <c r="K45" s="1">
        <v>3.218</v>
      </c>
      <c r="L45" s="1">
        <v>5.2619999999999996</v>
      </c>
      <c r="M45" s="1" t="s">
        <v>14</v>
      </c>
    </row>
    <row r="46" spans="1:13" ht="15.75" customHeight="1" x14ac:dyDescent="0.15">
      <c r="A46" s="1">
        <v>2</v>
      </c>
      <c r="B46" s="1">
        <v>1</v>
      </c>
      <c r="C46" s="1">
        <v>5</v>
      </c>
      <c r="D46" s="1" t="s">
        <v>24</v>
      </c>
      <c r="E46" s="1">
        <v>63</v>
      </c>
      <c r="F46" s="1">
        <v>1E-3</v>
      </c>
      <c r="G46" s="1">
        <v>106415</v>
      </c>
      <c r="H46" s="1">
        <f t="shared" si="0"/>
        <v>1689.1269841269841</v>
      </c>
      <c r="I46" s="1">
        <v>1.7150000000000001</v>
      </c>
      <c r="J46" s="1">
        <v>2.8679999999999999</v>
      </c>
      <c r="K46" s="1">
        <v>2.1869999999999998</v>
      </c>
      <c r="L46" s="1">
        <v>5.0549999999999997</v>
      </c>
      <c r="M46" s="1" t="s">
        <v>14</v>
      </c>
    </row>
    <row r="47" spans="1:13" ht="15.75" customHeight="1" x14ac:dyDescent="0.15">
      <c r="A47" s="1">
        <v>2</v>
      </c>
      <c r="B47" s="1">
        <v>1</v>
      </c>
      <c r="C47" s="1">
        <v>6</v>
      </c>
      <c r="D47" s="1" t="s">
        <v>24</v>
      </c>
      <c r="E47" s="1">
        <v>74</v>
      </c>
      <c r="F47" s="1">
        <v>2E-3</v>
      </c>
      <c r="G47" s="1">
        <v>117205</v>
      </c>
      <c r="H47" s="1">
        <f t="shared" si="0"/>
        <v>1583.8513513513512</v>
      </c>
      <c r="I47" s="1">
        <v>2.069</v>
      </c>
      <c r="J47" s="1">
        <v>3.0409999999999999</v>
      </c>
      <c r="K47" s="1">
        <v>2.5569999999999999</v>
      </c>
      <c r="L47" s="1">
        <v>5.5970000000000004</v>
      </c>
      <c r="M47" s="1" t="s">
        <v>14</v>
      </c>
    </row>
    <row r="48" spans="1:13" ht="15.75" customHeight="1" x14ac:dyDescent="0.15">
      <c r="A48" s="1">
        <v>2</v>
      </c>
      <c r="B48" s="1">
        <v>1</v>
      </c>
      <c r="C48" s="1">
        <v>7</v>
      </c>
      <c r="D48" s="1" t="s">
        <v>24</v>
      </c>
      <c r="E48" s="1">
        <v>92</v>
      </c>
      <c r="F48" s="1">
        <v>3.0000000000000001E-3</v>
      </c>
      <c r="G48" s="1">
        <v>139215</v>
      </c>
      <c r="H48" s="1">
        <f t="shared" si="0"/>
        <v>1513.2065217391305</v>
      </c>
      <c r="I48" s="1">
        <v>3.5419999999999998</v>
      </c>
      <c r="J48" s="1">
        <v>1.9319999999999999</v>
      </c>
      <c r="K48" s="1">
        <v>4.2</v>
      </c>
      <c r="L48" s="1">
        <v>6.1319999999999997</v>
      </c>
      <c r="M48" s="1" t="s">
        <v>14</v>
      </c>
    </row>
    <row r="49" spans="1:13" ht="15.75" customHeight="1" x14ac:dyDescent="0.15">
      <c r="A49" s="1">
        <v>2</v>
      </c>
      <c r="B49" s="1">
        <v>1</v>
      </c>
      <c r="C49" s="1">
        <v>8</v>
      </c>
      <c r="D49" s="1" t="s">
        <v>24</v>
      </c>
      <c r="E49" s="1">
        <v>115</v>
      </c>
      <c r="F49" s="1">
        <v>3.0000000000000001E-3</v>
      </c>
      <c r="G49" s="1">
        <v>151822</v>
      </c>
      <c r="H49" s="1">
        <f t="shared" si="0"/>
        <v>1320.1913043478262</v>
      </c>
      <c r="I49" s="1">
        <v>3.0369999999999999</v>
      </c>
      <c r="J49" s="1">
        <v>2.024</v>
      </c>
      <c r="K49" s="1">
        <v>3.722</v>
      </c>
      <c r="L49" s="1">
        <v>5.7460000000000004</v>
      </c>
      <c r="M49" s="1" t="s">
        <v>14</v>
      </c>
    </row>
    <row r="50" spans="1:13" ht="15.75" customHeight="1" x14ac:dyDescent="0.15">
      <c r="A50" s="1">
        <v>2</v>
      </c>
      <c r="B50" s="1">
        <v>1</v>
      </c>
      <c r="C50" s="1">
        <v>9</v>
      </c>
      <c r="D50" s="1" t="s">
        <v>25</v>
      </c>
      <c r="E50" s="1">
        <v>119</v>
      </c>
      <c r="F50" s="1">
        <v>8.0000000000000002E-3</v>
      </c>
      <c r="G50" s="1">
        <v>268630</v>
      </c>
      <c r="H50" s="1">
        <f t="shared" si="0"/>
        <v>2257.3949579831933</v>
      </c>
      <c r="I50" s="1">
        <v>20.027000000000001</v>
      </c>
      <c r="J50" s="1">
        <v>2.1789999999999998</v>
      </c>
      <c r="K50" s="1">
        <v>21.347000000000001</v>
      </c>
      <c r="L50" s="1">
        <v>23.527000000000001</v>
      </c>
      <c r="M50" s="1" t="s">
        <v>14</v>
      </c>
    </row>
    <row r="51" spans="1:13" ht="15.75" customHeight="1" x14ac:dyDescent="0.15">
      <c r="A51" s="1">
        <v>2</v>
      </c>
      <c r="B51" s="1">
        <v>1</v>
      </c>
      <c r="C51" s="1">
        <v>10</v>
      </c>
      <c r="D51" s="1" t="s">
        <v>17</v>
      </c>
      <c r="E51" s="1">
        <v>131</v>
      </c>
      <c r="F51" s="1">
        <v>7.0000000000000001E-3</v>
      </c>
      <c r="G51" s="1">
        <v>311688</v>
      </c>
      <c r="H51" s="1">
        <f t="shared" si="0"/>
        <v>2379.2977099236641</v>
      </c>
      <c r="I51" s="1">
        <v>14.923999999999999</v>
      </c>
      <c r="J51" s="1">
        <v>2.77</v>
      </c>
      <c r="K51" s="1">
        <v>16.431000000000001</v>
      </c>
      <c r="L51" s="1">
        <v>19.202000000000002</v>
      </c>
      <c r="M51" s="1" t="s">
        <v>14</v>
      </c>
    </row>
    <row r="52" spans="1:13" ht="15.75" customHeight="1" x14ac:dyDescent="0.15">
      <c r="A52" s="1">
        <v>2</v>
      </c>
      <c r="B52" s="1">
        <v>1</v>
      </c>
      <c r="C52" s="1">
        <v>11</v>
      </c>
      <c r="D52" s="1" t="s">
        <v>24</v>
      </c>
      <c r="E52" s="1">
        <v>101</v>
      </c>
      <c r="F52" s="1">
        <v>5.0000000000000001E-3</v>
      </c>
      <c r="G52" s="1">
        <v>133264</v>
      </c>
      <c r="H52" s="1">
        <f t="shared" si="0"/>
        <v>1319.4455445544554</v>
      </c>
      <c r="I52" s="1">
        <v>5.2510000000000003</v>
      </c>
      <c r="J52" s="1">
        <v>1.375</v>
      </c>
      <c r="K52" s="1">
        <v>5.9340000000000002</v>
      </c>
      <c r="L52" s="1">
        <v>7.3090000000000002</v>
      </c>
      <c r="M52" s="1" t="s">
        <v>14</v>
      </c>
    </row>
    <row r="53" spans="1:13" ht="15.75" customHeight="1" x14ac:dyDescent="0.15">
      <c r="A53" s="1">
        <v>2</v>
      </c>
      <c r="B53" s="1">
        <v>1</v>
      </c>
      <c r="C53" s="1">
        <v>12</v>
      </c>
      <c r="D53" s="1" t="s">
        <v>24</v>
      </c>
      <c r="E53" s="1">
        <v>107</v>
      </c>
      <c r="F53" s="1">
        <v>4.0000000000000001E-3</v>
      </c>
      <c r="G53" s="1">
        <v>219178</v>
      </c>
      <c r="H53" s="1">
        <f t="shared" si="0"/>
        <v>2048.3925233644859</v>
      </c>
      <c r="I53" s="1">
        <v>5.7439999999999998</v>
      </c>
      <c r="J53" s="1">
        <v>2.3839999999999999</v>
      </c>
      <c r="K53" s="1">
        <v>6.8719999999999999</v>
      </c>
      <c r="L53" s="1">
        <v>9.2560000000000002</v>
      </c>
      <c r="M53" s="1" t="s">
        <v>14</v>
      </c>
    </row>
    <row r="54" spans="1:13" ht="15.75" customHeight="1" x14ac:dyDescent="0.15">
      <c r="A54" s="1">
        <v>2</v>
      </c>
      <c r="B54" s="1">
        <v>1</v>
      </c>
      <c r="C54" s="1">
        <v>13</v>
      </c>
      <c r="D54" s="1" t="s">
        <v>24</v>
      </c>
      <c r="E54" s="1">
        <v>64</v>
      </c>
      <c r="F54" s="1">
        <v>2E-3</v>
      </c>
      <c r="G54" s="1">
        <v>185312</v>
      </c>
      <c r="H54" s="1">
        <f t="shared" si="0"/>
        <v>2895.5</v>
      </c>
      <c r="I54" s="1">
        <v>3.7469999999999999</v>
      </c>
      <c r="J54" s="1">
        <v>2.62</v>
      </c>
      <c r="K54" s="1">
        <v>4.6470000000000002</v>
      </c>
      <c r="L54" s="1">
        <v>7.2670000000000003</v>
      </c>
      <c r="M54" s="1" t="s">
        <v>14</v>
      </c>
    </row>
    <row r="55" spans="1:13" ht="15.75" customHeight="1" x14ac:dyDescent="0.15">
      <c r="A55" s="1">
        <v>2</v>
      </c>
      <c r="B55" s="1">
        <v>1</v>
      </c>
      <c r="C55" s="1">
        <v>14</v>
      </c>
      <c r="D55" s="1" t="s">
        <v>24</v>
      </c>
      <c r="E55" s="1">
        <v>81</v>
      </c>
      <c r="F55" s="1">
        <v>2E-3</v>
      </c>
      <c r="G55" s="1">
        <v>81340</v>
      </c>
      <c r="H55" s="1">
        <f t="shared" si="0"/>
        <v>1004.1975308641976</v>
      </c>
      <c r="I55" s="1">
        <v>1.6419999999999999</v>
      </c>
      <c r="J55" s="1">
        <v>1.3069999999999999</v>
      </c>
      <c r="K55" s="1">
        <v>2.0179999999999998</v>
      </c>
      <c r="L55" s="1">
        <v>3.3250000000000002</v>
      </c>
      <c r="M55" s="1" t="s">
        <v>14</v>
      </c>
    </row>
    <row r="56" spans="1:13" ht="15.75" customHeight="1" x14ac:dyDescent="0.15">
      <c r="A56" s="1">
        <v>2</v>
      </c>
      <c r="B56" s="1">
        <v>1</v>
      </c>
      <c r="C56" s="1">
        <v>15</v>
      </c>
      <c r="D56" s="1" t="s">
        <v>24</v>
      </c>
      <c r="E56" s="1">
        <v>83</v>
      </c>
      <c r="F56" s="1">
        <v>2E-3</v>
      </c>
      <c r="G56" s="1">
        <v>140468</v>
      </c>
      <c r="H56" s="1">
        <f t="shared" si="0"/>
        <v>1692.3855421686746</v>
      </c>
      <c r="I56" s="1">
        <v>2.9769999999999999</v>
      </c>
      <c r="J56" s="1">
        <v>2.5739999999999998</v>
      </c>
      <c r="K56" s="1">
        <v>3.7160000000000002</v>
      </c>
      <c r="L56" s="1">
        <v>6.2889999999999997</v>
      </c>
      <c r="M56" s="1" t="s">
        <v>14</v>
      </c>
    </row>
    <row r="57" spans="1:13" ht="15.75" customHeight="1" x14ac:dyDescent="0.15">
      <c r="A57" s="1">
        <v>2</v>
      </c>
      <c r="B57" s="1">
        <v>1</v>
      </c>
      <c r="C57" s="1">
        <v>16</v>
      </c>
      <c r="D57" s="1" t="s">
        <v>24</v>
      </c>
      <c r="E57" s="1">
        <v>95</v>
      </c>
      <c r="F57" s="1">
        <v>3.0000000000000001E-3</v>
      </c>
      <c r="G57" s="1">
        <v>59996</v>
      </c>
      <c r="H57" s="1">
        <f t="shared" si="0"/>
        <v>631.53684210526319</v>
      </c>
      <c r="I57" s="1">
        <v>2.0790000000000002</v>
      </c>
      <c r="J57" s="1">
        <v>1.214</v>
      </c>
      <c r="K57" s="1">
        <v>2.3660000000000001</v>
      </c>
      <c r="L57" s="1">
        <v>3.58</v>
      </c>
      <c r="M57" s="1" t="s">
        <v>14</v>
      </c>
    </row>
    <row r="58" spans="1:13" ht="15.75" customHeight="1" x14ac:dyDescent="0.15">
      <c r="A58" s="1">
        <v>2</v>
      </c>
      <c r="B58" s="1">
        <v>1</v>
      </c>
      <c r="C58" s="1">
        <v>17</v>
      </c>
      <c r="D58" s="1" t="s">
        <v>24</v>
      </c>
      <c r="E58" s="1">
        <v>84</v>
      </c>
      <c r="F58" s="1">
        <v>2E-3</v>
      </c>
      <c r="G58" s="1">
        <v>141324</v>
      </c>
      <c r="H58" s="1">
        <f t="shared" si="0"/>
        <v>1682.4285714285713</v>
      </c>
      <c r="I58" s="1">
        <v>3.641</v>
      </c>
      <c r="J58" s="1">
        <v>2.161</v>
      </c>
      <c r="K58" s="1">
        <v>4.2770000000000001</v>
      </c>
      <c r="L58" s="1">
        <v>6.4379999999999997</v>
      </c>
      <c r="M58" s="1" t="s">
        <v>14</v>
      </c>
    </row>
    <row r="59" spans="1:13" ht="15.75" customHeight="1" x14ac:dyDescent="0.15">
      <c r="A59" s="1">
        <v>2</v>
      </c>
      <c r="B59" s="1">
        <v>1</v>
      </c>
      <c r="C59" s="1">
        <v>18</v>
      </c>
      <c r="D59" s="1" t="s">
        <v>24</v>
      </c>
      <c r="E59" s="1">
        <v>84</v>
      </c>
      <c r="F59" s="1">
        <v>3.0000000000000001E-3</v>
      </c>
      <c r="G59" s="1">
        <v>122991</v>
      </c>
      <c r="H59" s="1">
        <f t="shared" si="0"/>
        <v>1464.1785714285713</v>
      </c>
      <c r="I59" s="1">
        <v>3.29</v>
      </c>
      <c r="J59" s="1">
        <v>2.52</v>
      </c>
      <c r="K59" s="1">
        <v>3.8119999999999998</v>
      </c>
      <c r="L59" s="1">
        <v>6.3310000000000004</v>
      </c>
      <c r="M59" s="1" t="s">
        <v>14</v>
      </c>
    </row>
    <row r="60" spans="1:13" ht="15.75" customHeight="1" x14ac:dyDescent="0.15">
      <c r="A60" s="1">
        <v>2</v>
      </c>
      <c r="B60" s="1">
        <v>1</v>
      </c>
      <c r="C60" s="1">
        <v>19</v>
      </c>
      <c r="D60" s="1" t="s">
        <v>26</v>
      </c>
      <c r="E60" s="1">
        <v>95</v>
      </c>
      <c r="F60" s="1">
        <v>7.0000000000000001E-3</v>
      </c>
      <c r="G60" s="1">
        <v>160615</v>
      </c>
      <c r="H60" s="1">
        <f t="shared" si="0"/>
        <v>1690.6842105263158</v>
      </c>
      <c r="I60" s="1">
        <v>11.49</v>
      </c>
      <c r="J60" s="1">
        <v>2.3860000000000001</v>
      </c>
      <c r="K60" s="1">
        <v>12.265000000000001</v>
      </c>
      <c r="L60" s="1">
        <v>14.651</v>
      </c>
      <c r="M60" s="1" t="s">
        <v>14</v>
      </c>
    </row>
    <row r="61" spans="1:13" ht="15.75" customHeight="1" x14ac:dyDescent="0.15">
      <c r="A61" s="1">
        <v>2</v>
      </c>
      <c r="B61" s="1">
        <v>1</v>
      </c>
      <c r="C61" s="1">
        <v>20</v>
      </c>
      <c r="D61" s="1" t="s">
        <v>24</v>
      </c>
      <c r="E61" s="1">
        <v>97</v>
      </c>
      <c r="F61" s="1">
        <v>4.0000000000000001E-3</v>
      </c>
      <c r="G61" s="1">
        <v>217156</v>
      </c>
      <c r="H61" s="1">
        <f t="shared" si="0"/>
        <v>2238.7216494845361</v>
      </c>
      <c r="I61" s="1">
        <v>7.4610000000000003</v>
      </c>
      <c r="J61" s="1">
        <v>2.6179999999999999</v>
      </c>
      <c r="K61" s="1">
        <v>8.452</v>
      </c>
      <c r="L61" s="1">
        <v>11.07</v>
      </c>
      <c r="M61" s="1" t="s">
        <v>14</v>
      </c>
    </row>
    <row r="62" spans="1:13" ht="15.75" customHeight="1" x14ac:dyDescent="0.15">
      <c r="A62" s="1">
        <v>2</v>
      </c>
      <c r="B62" s="1">
        <v>2</v>
      </c>
      <c r="C62" s="1">
        <v>1</v>
      </c>
      <c r="D62" s="1" t="s">
        <v>24</v>
      </c>
      <c r="E62" s="1">
        <v>231</v>
      </c>
      <c r="F62" s="1">
        <v>1.2999999999999999E-2</v>
      </c>
      <c r="G62" s="1">
        <v>2072176</v>
      </c>
      <c r="H62" s="1">
        <f t="shared" si="0"/>
        <v>8970.4588744588746</v>
      </c>
      <c r="I62" s="1">
        <v>119.55500000000001</v>
      </c>
      <c r="J62" s="1">
        <v>7.8170000000000002</v>
      </c>
      <c r="K62" s="1">
        <v>129.84399999999999</v>
      </c>
      <c r="L62" s="1">
        <v>137.66200000000001</v>
      </c>
      <c r="M62" s="1" t="s">
        <v>14</v>
      </c>
    </row>
    <row r="63" spans="1:13" ht="15.75" customHeight="1" x14ac:dyDescent="0.15">
      <c r="A63" s="1">
        <v>2</v>
      </c>
      <c r="B63" s="1">
        <v>2</v>
      </c>
      <c r="C63" s="1">
        <v>2</v>
      </c>
      <c r="D63" s="1" t="s">
        <v>24</v>
      </c>
      <c r="E63" s="1">
        <v>221</v>
      </c>
      <c r="F63" s="1">
        <v>8.0000000000000002E-3</v>
      </c>
      <c r="G63" s="1">
        <v>1303341</v>
      </c>
      <c r="H63" s="1">
        <f t="shared" si="0"/>
        <v>5897.4705882352937</v>
      </c>
      <c r="I63" s="1">
        <v>33.601999999999997</v>
      </c>
      <c r="J63" s="1">
        <v>9.3369999999999997</v>
      </c>
      <c r="K63" s="1">
        <v>39.442</v>
      </c>
      <c r="L63" s="1">
        <v>48.78</v>
      </c>
      <c r="M63" s="1" t="s">
        <v>14</v>
      </c>
    </row>
    <row r="64" spans="1:13" ht="15.75" customHeight="1" x14ac:dyDescent="0.15">
      <c r="A64" s="1">
        <v>2</v>
      </c>
      <c r="B64" s="1">
        <v>2</v>
      </c>
      <c r="C64" s="1">
        <v>3</v>
      </c>
      <c r="D64" s="1" t="s">
        <v>24</v>
      </c>
      <c r="E64" s="1">
        <v>381</v>
      </c>
      <c r="F64" s="1">
        <v>2.7E-2</v>
      </c>
      <c r="G64" s="1">
        <v>2066777</v>
      </c>
      <c r="H64" s="1">
        <f t="shared" si="0"/>
        <v>5424.6115485564305</v>
      </c>
      <c r="I64" s="1">
        <v>138.191</v>
      </c>
      <c r="J64" s="1">
        <v>6.2160000000000002</v>
      </c>
      <c r="K64" s="1">
        <v>147.61699999999999</v>
      </c>
      <c r="L64" s="1">
        <v>153.834</v>
      </c>
      <c r="M64" s="1" t="s">
        <v>14</v>
      </c>
    </row>
    <row r="65" spans="1:13" ht="15.75" customHeight="1" x14ac:dyDescent="0.15">
      <c r="A65" s="1">
        <v>2</v>
      </c>
      <c r="B65" s="1">
        <v>2</v>
      </c>
      <c r="C65" s="1">
        <v>4</v>
      </c>
      <c r="D65" s="1" t="s">
        <v>19</v>
      </c>
      <c r="E65" s="1">
        <v>314</v>
      </c>
      <c r="F65" s="1">
        <v>2.5999999999999999E-2</v>
      </c>
      <c r="G65" s="1">
        <v>2869177</v>
      </c>
      <c r="H65" s="1">
        <f t="shared" si="0"/>
        <v>9137.5063694267519</v>
      </c>
      <c r="I65" s="1">
        <v>221.72900000000001</v>
      </c>
      <c r="J65" s="1">
        <v>9.2720000000000002</v>
      </c>
      <c r="K65" s="1">
        <v>235.994</v>
      </c>
      <c r="L65" s="1">
        <v>245.26599999999999</v>
      </c>
      <c r="M65" s="1" t="s">
        <v>14</v>
      </c>
    </row>
    <row r="66" spans="1:13" ht="15.75" customHeight="1" x14ac:dyDescent="0.15">
      <c r="A66" s="1">
        <v>2</v>
      </c>
      <c r="B66" s="1">
        <v>2</v>
      </c>
      <c r="C66" s="1">
        <v>5</v>
      </c>
      <c r="D66" s="1" t="s">
        <v>24</v>
      </c>
      <c r="E66" s="1">
        <v>216</v>
      </c>
      <c r="F66" s="1">
        <v>8.9999999999999993E-3</v>
      </c>
      <c r="G66" s="1">
        <v>1250226</v>
      </c>
      <c r="H66" s="1">
        <f t="shared" si="0"/>
        <v>5788.083333333333</v>
      </c>
      <c r="I66" s="1">
        <v>40.284999999999997</v>
      </c>
      <c r="J66" s="1">
        <v>6.4020000000000001</v>
      </c>
      <c r="K66" s="1">
        <v>46.11</v>
      </c>
      <c r="L66" s="1">
        <v>52.512</v>
      </c>
      <c r="M66" s="1" t="s">
        <v>14</v>
      </c>
    </row>
    <row r="67" spans="1:13" ht="13" x14ac:dyDescent="0.15">
      <c r="A67" s="1">
        <v>2</v>
      </c>
      <c r="B67" s="1">
        <v>2</v>
      </c>
      <c r="C67" s="1">
        <v>6</v>
      </c>
      <c r="D67" s="1" t="s">
        <v>24</v>
      </c>
      <c r="E67" s="1">
        <v>213</v>
      </c>
      <c r="F67" s="1">
        <v>6.0000000000000001E-3</v>
      </c>
      <c r="G67" s="1">
        <v>1615933</v>
      </c>
      <c r="H67" s="1">
        <f t="shared" si="0"/>
        <v>7586.5399061032867</v>
      </c>
      <c r="I67" s="1">
        <v>36.359000000000002</v>
      </c>
      <c r="J67" s="1">
        <v>9.5129999999999999</v>
      </c>
      <c r="K67" s="1">
        <v>43.423999999999999</v>
      </c>
      <c r="L67" s="1">
        <v>52.936999999999998</v>
      </c>
      <c r="M67" s="1" t="s">
        <v>14</v>
      </c>
    </row>
    <row r="68" spans="1:13" ht="13" x14ac:dyDescent="0.15">
      <c r="A68" s="1">
        <v>2</v>
      </c>
      <c r="B68" s="1">
        <v>2</v>
      </c>
      <c r="C68" s="1">
        <v>7</v>
      </c>
      <c r="D68" s="1" t="s">
        <v>27</v>
      </c>
      <c r="E68" s="1">
        <v>272</v>
      </c>
      <c r="F68" s="1">
        <v>1.2999999999999999E-2</v>
      </c>
      <c r="G68" s="1">
        <v>2185889</v>
      </c>
      <c r="H68" s="1">
        <f t="shared" si="0"/>
        <v>8036.3566176470586</v>
      </c>
      <c r="I68" s="1">
        <v>102.379</v>
      </c>
      <c r="J68" s="1">
        <v>8.5719999999999992</v>
      </c>
      <c r="K68" s="1">
        <v>112.562</v>
      </c>
      <c r="L68" s="1">
        <v>121.134</v>
      </c>
      <c r="M68" s="1" t="s">
        <v>14</v>
      </c>
    </row>
    <row r="69" spans="1:13" ht="13" x14ac:dyDescent="0.15">
      <c r="A69" s="1">
        <v>2</v>
      </c>
      <c r="B69" s="1">
        <v>2</v>
      </c>
      <c r="C69" s="1">
        <v>8</v>
      </c>
      <c r="D69" s="1" t="s">
        <v>24</v>
      </c>
      <c r="E69" s="1">
        <v>364</v>
      </c>
      <c r="F69" s="1">
        <v>1.7999999999999999E-2</v>
      </c>
      <c r="G69" s="1">
        <v>2317679</v>
      </c>
      <c r="H69" s="1">
        <f t="shared" si="0"/>
        <v>6367.25</v>
      </c>
      <c r="I69" s="1">
        <v>109.19499999999999</v>
      </c>
      <c r="J69" s="1">
        <v>7.8289999999999997</v>
      </c>
      <c r="K69" s="1">
        <v>119.392</v>
      </c>
      <c r="L69" s="1">
        <v>127.221</v>
      </c>
      <c r="M69" s="1" t="s">
        <v>14</v>
      </c>
    </row>
    <row r="70" spans="1:13" ht="13" x14ac:dyDescent="0.15">
      <c r="A70" s="1">
        <v>2</v>
      </c>
      <c r="B70" s="1">
        <v>2</v>
      </c>
      <c r="C70" s="1">
        <v>9</v>
      </c>
      <c r="D70" s="1" t="s">
        <v>25</v>
      </c>
      <c r="E70" s="1">
        <v>379</v>
      </c>
      <c r="F70" s="1">
        <v>3.4000000000000002E-2</v>
      </c>
      <c r="G70" s="1">
        <v>3418497</v>
      </c>
      <c r="H70" s="1">
        <f t="shared" si="0"/>
        <v>9019.7810026385232</v>
      </c>
      <c r="I70" s="1">
        <v>294.69900000000001</v>
      </c>
      <c r="J70" s="1">
        <v>7.4470000000000001</v>
      </c>
      <c r="K70" s="1">
        <v>310.97500000000002</v>
      </c>
      <c r="L70" s="1">
        <v>318.42099999999999</v>
      </c>
      <c r="M70" s="1" t="s">
        <v>14</v>
      </c>
    </row>
    <row r="71" spans="1:13" ht="13" x14ac:dyDescent="0.15">
      <c r="A71" s="1">
        <v>2</v>
      </c>
      <c r="B71" s="1">
        <v>2</v>
      </c>
      <c r="C71" s="1">
        <v>10</v>
      </c>
      <c r="D71" s="1" t="s">
        <v>20</v>
      </c>
      <c r="E71" s="1">
        <v>358</v>
      </c>
      <c r="F71" s="1">
        <v>1.7000000000000001E-2</v>
      </c>
      <c r="G71" s="1">
        <v>3474506</v>
      </c>
      <c r="H71" s="1">
        <f t="shared" si="0"/>
        <v>9705.324022346369</v>
      </c>
      <c r="I71" s="1">
        <v>156.09700000000001</v>
      </c>
      <c r="J71" s="1">
        <v>10.019</v>
      </c>
      <c r="K71" s="1">
        <v>172.72200000000001</v>
      </c>
      <c r="L71" s="1">
        <v>182.74100000000001</v>
      </c>
      <c r="M71" s="1" t="s">
        <v>14</v>
      </c>
    </row>
    <row r="72" spans="1:13" ht="13" x14ac:dyDescent="0.15">
      <c r="A72" s="1">
        <v>2</v>
      </c>
      <c r="B72" s="1">
        <v>2</v>
      </c>
      <c r="C72" s="1">
        <v>11</v>
      </c>
      <c r="D72" s="1" t="s">
        <v>24</v>
      </c>
      <c r="E72" s="1">
        <v>290</v>
      </c>
      <c r="F72" s="1">
        <v>1.7999999999999999E-2</v>
      </c>
      <c r="G72" s="1">
        <v>1887680</v>
      </c>
      <c r="H72" s="1">
        <f t="shared" si="0"/>
        <v>6509.2413793103451</v>
      </c>
      <c r="I72" s="1">
        <v>102.85899999999999</v>
      </c>
      <c r="J72" s="1">
        <v>6.14</v>
      </c>
      <c r="K72" s="1">
        <v>111.807</v>
      </c>
      <c r="L72" s="1">
        <v>117.947</v>
      </c>
      <c r="M72" s="1" t="s">
        <v>14</v>
      </c>
    </row>
    <row r="73" spans="1:13" ht="13" x14ac:dyDescent="0.15">
      <c r="A73" s="1">
        <v>2</v>
      </c>
      <c r="B73" s="1">
        <v>2</v>
      </c>
      <c r="C73" s="1">
        <v>12</v>
      </c>
      <c r="D73" s="1" t="s">
        <v>24</v>
      </c>
      <c r="E73" s="1">
        <v>296</v>
      </c>
      <c r="F73" s="1">
        <v>1.4E-2</v>
      </c>
      <c r="G73" s="1">
        <v>1445997</v>
      </c>
      <c r="H73" s="1">
        <f t="shared" si="0"/>
        <v>4885.125</v>
      </c>
      <c r="I73" s="1">
        <v>52.247</v>
      </c>
      <c r="J73" s="1">
        <v>6.5449999999999999</v>
      </c>
      <c r="K73" s="1">
        <v>58.838000000000001</v>
      </c>
      <c r="L73" s="1">
        <v>65.382999999999996</v>
      </c>
      <c r="M73" s="1" t="s">
        <v>14</v>
      </c>
    </row>
    <row r="74" spans="1:13" ht="13" x14ac:dyDescent="0.15">
      <c r="A74" s="1">
        <v>2</v>
      </c>
      <c r="B74" s="1">
        <v>2</v>
      </c>
      <c r="C74" s="1">
        <v>13</v>
      </c>
      <c r="D74" s="1" t="s">
        <v>28</v>
      </c>
      <c r="E74" s="1">
        <v>242</v>
      </c>
      <c r="F74" s="1">
        <v>1.7999999999999999E-2</v>
      </c>
      <c r="G74" s="1">
        <v>943620</v>
      </c>
      <c r="H74" s="1">
        <f t="shared" si="0"/>
        <v>3899.2561983471073</v>
      </c>
      <c r="I74" s="1">
        <v>69.212000000000003</v>
      </c>
      <c r="J74" s="1">
        <v>4.5510000000000002</v>
      </c>
      <c r="K74" s="1">
        <v>73.45</v>
      </c>
      <c r="L74" s="1">
        <v>78.001000000000005</v>
      </c>
      <c r="M74" s="1" t="s">
        <v>14</v>
      </c>
    </row>
    <row r="75" spans="1:13" ht="13" x14ac:dyDescent="0.15">
      <c r="A75" s="1">
        <v>2</v>
      </c>
      <c r="B75" s="1">
        <v>2</v>
      </c>
      <c r="C75" s="1">
        <v>14</v>
      </c>
      <c r="D75" s="1" t="s">
        <v>24</v>
      </c>
      <c r="E75" s="1">
        <v>219</v>
      </c>
      <c r="F75" s="1">
        <v>8.0000000000000002E-3</v>
      </c>
      <c r="G75" s="1">
        <v>1207615</v>
      </c>
      <c r="H75" s="1">
        <f t="shared" si="0"/>
        <v>5514.2237442922378</v>
      </c>
      <c r="I75" s="1">
        <v>37.212000000000003</v>
      </c>
      <c r="J75" s="1">
        <v>6.3280000000000003</v>
      </c>
      <c r="K75" s="1">
        <v>42.802999999999997</v>
      </c>
      <c r="L75" s="1">
        <v>49.131</v>
      </c>
      <c r="M75" s="1" t="s">
        <v>14</v>
      </c>
    </row>
    <row r="76" spans="1:13" ht="13" x14ac:dyDescent="0.15">
      <c r="A76" s="1">
        <v>2</v>
      </c>
      <c r="B76" s="1">
        <v>2</v>
      </c>
      <c r="C76" s="1">
        <v>15</v>
      </c>
      <c r="D76" s="1" t="s">
        <v>24</v>
      </c>
      <c r="E76" s="1">
        <v>219</v>
      </c>
      <c r="F76" s="1">
        <v>6.0000000000000001E-3</v>
      </c>
      <c r="G76" s="1">
        <v>1232706</v>
      </c>
      <c r="H76" s="1">
        <f t="shared" si="0"/>
        <v>5628.7945205479455</v>
      </c>
      <c r="I76" s="1">
        <v>26.728000000000002</v>
      </c>
      <c r="J76" s="1">
        <v>7.1</v>
      </c>
      <c r="K76" s="1">
        <v>31.744</v>
      </c>
      <c r="L76" s="1">
        <v>38.844000000000001</v>
      </c>
      <c r="M76" s="1" t="s">
        <v>14</v>
      </c>
    </row>
    <row r="77" spans="1:13" ht="13" x14ac:dyDescent="0.15">
      <c r="A77" s="1">
        <v>2</v>
      </c>
      <c r="B77" s="1">
        <v>2</v>
      </c>
      <c r="C77" s="1">
        <v>16</v>
      </c>
      <c r="D77" s="1" t="s">
        <v>24</v>
      </c>
      <c r="E77" s="1">
        <v>302</v>
      </c>
      <c r="F77" s="1">
        <v>1.2E-2</v>
      </c>
      <c r="G77" s="1">
        <v>545612</v>
      </c>
      <c r="H77" s="1">
        <f t="shared" si="0"/>
        <v>1806.6622516556292</v>
      </c>
      <c r="I77" s="1">
        <v>17.327000000000002</v>
      </c>
      <c r="J77" s="1">
        <v>3.6739999999999999</v>
      </c>
      <c r="K77" s="1">
        <v>20.047999999999998</v>
      </c>
      <c r="L77" s="1">
        <v>23.722999999999999</v>
      </c>
      <c r="M77" s="1" t="s">
        <v>14</v>
      </c>
    </row>
    <row r="78" spans="1:13" ht="13" x14ac:dyDescent="0.15">
      <c r="A78" s="1">
        <v>2</v>
      </c>
      <c r="B78" s="1">
        <v>2</v>
      </c>
      <c r="C78" s="1">
        <v>17</v>
      </c>
      <c r="D78" s="1" t="s">
        <v>24</v>
      </c>
      <c r="E78" s="1">
        <v>259</v>
      </c>
      <c r="F78" s="1">
        <v>0.01</v>
      </c>
      <c r="G78" s="1">
        <v>1740619</v>
      </c>
      <c r="H78" s="1">
        <f t="shared" si="0"/>
        <v>6720.5366795366799</v>
      </c>
      <c r="I78" s="1">
        <v>53.896000000000001</v>
      </c>
      <c r="J78" s="1">
        <v>7.6520000000000001</v>
      </c>
      <c r="K78" s="1">
        <v>62.737000000000002</v>
      </c>
      <c r="L78" s="1">
        <v>70.388999999999996</v>
      </c>
      <c r="M78" s="1" t="s">
        <v>14</v>
      </c>
    </row>
    <row r="79" spans="1:13" ht="13" x14ac:dyDescent="0.15">
      <c r="A79" s="1">
        <v>2</v>
      </c>
      <c r="B79" s="1">
        <v>2</v>
      </c>
      <c r="C79" s="1">
        <v>18</v>
      </c>
      <c r="D79" s="1" t="s">
        <v>24</v>
      </c>
      <c r="E79" s="1">
        <v>281</v>
      </c>
      <c r="F79" s="1">
        <v>8.9999999999999993E-3</v>
      </c>
      <c r="G79" s="1">
        <v>2091798</v>
      </c>
      <c r="H79" s="1">
        <f t="shared" si="0"/>
        <v>7444.120996441281</v>
      </c>
      <c r="I79" s="1">
        <v>51.506999999999998</v>
      </c>
      <c r="J79" s="1">
        <v>9.06</v>
      </c>
      <c r="K79" s="1">
        <v>61.029000000000003</v>
      </c>
      <c r="L79" s="1">
        <v>70.088999999999999</v>
      </c>
      <c r="M79" s="1" t="s">
        <v>14</v>
      </c>
    </row>
    <row r="80" spans="1:13" ht="13" x14ac:dyDescent="0.15">
      <c r="A80" s="1">
        <v>2</v>
      </c>
      <c r="B80" s="1">
        <v>2</v>
      </c>
      <c r="C80" s="1">
        <v>19</v>
      </c>
      <c r="D80" s="1" t="s">
        <v>29</v>
      </c>
      <c r="E80" s="1">
        <v>282</v>
      </c>
      <c r="F80" s="1">
        <v>1.6E-2</v>
      </c>
      <c r="G80" s="1">
        <v>2275708</v>
      </c>
      <c r="H80" s="1">
        <f t="shared" si="0"/>
        <v>8069.8865248226948</v>
      </c>
      <c r="I80" s="1">
        <v>128.584</v>
      </c>
      <c r="J80" s="1">
        <v>8.51</v>
      </c>
      <c r="K80" s="1">
        <v>138.99100000000001</v>
      </c>
      <c r="L80" s="1">
        <v>147.501</v>
      </c>
      <c r="M80" s="1" t="s">
        <v>14</v>
      </c>
    </row>
    <row r="81" spans="1:13" ht="13" x14ac:dyDescent="0.15">
      <c r="A81" s="1">
        <v>2</v>
      </c>
      <c r="B81" s="1">
        <v>2</v>
      </c>
      <c r="C81" s="1">
        <v>20</v>
      </c>
      <c r="D81" s="1" t="s">
        <v>24</v>
      </c>
      <c r="E81" s="1">
        <v>296</v>
      </c>
      <c r="F81" s="1">
        <v>1.2999999999999999E-2</v>
      </c>
      <c r="G81" s="1">
        <v>2224076</v>
      </c>
      <c r="H81" s="1">
        <f t="shared" si="0"/>
        <v>7513.77027027027</v>
      </c>
      <c r="I81" s="1">
        <v>83.909000000000006</v>
      </c>
      <c r="J81" s="1">
        <v>9.1590000000000007</v>
      </c>
      <c r="K81" s="1">
        <v>94.403000000000006</v>
      </c>
      <c r="L81" s="1">
        <v>103.562</v>
      </c>
      <c r="M81" s="1" t="s">
        <v>14</v>
      </c>
    </row>
    <row r="82" spans="1:13" ht="13" x14ac:dyDescent="0.15">
      <c r="A82" s="1">
        <v>1</v>
      </c>
      <c r="B82" s="1">
        <v>3</v>
      </c>
      <c r="C82" s="1">
        <v>1</v>
      </c>
      <c r="D82" s="1" t="s">
        <v>24</v>
      </c>
      <c r="E82" s="1">
        <v>231</v>
      </c>
      <c r="F82" s="1">
        <v>8.0000000000000002E-3</v>
      </c>
      <c r="G82" s="1">
        <v>2006466</v>
      </c>
      <c r="H82" s="1">
        <f t="shared" si="0"/>
        <v>8686</v>
      </c>
      <c r="I82" s="1">
        <v>57.036999999999999</v>
      </c>
      <c r="J82" s="1">
        <v>7.4560000000000004</v>
      </c>
      <c r="K82" s="1">
        <v>66.486000000000004</v>
      </c>
      <c r="L82" s="1">
        <v>73.942999999999998</v>
      </c>
      <c r="M82" s="1" t="s">
        <v>14</v>
      </c>
    </row>
    <row r="83" spans="1:13" ht="13" x14ac:dyDescent="0.15">
      <c r="A83" s="1">
        <v>1</v>
      </c>
      <c r="B83" s="1">
        <v>3</v>
      </c>
      <c r="C83" s="1">
        <v>2</v>
      </c>
      <c r="D83" s="1" t="s">
        <v>24</v>
      </c>
      <c r="E83" s="1">
        <v>221</v>
      </c>
      <c r="F83" s="1">
        <v>6.0000000000000001E-3</v>
      </c>
      <c r="G83" s="1">
        <v>819400</v>
      </c>
      <c r="H83" s="1">
        <f t="shared" si="0"/>
        <v>3707.6923076923076</v>
      </c>
      <c r="I83" s="1">
        <v>17.539000000000001</v>
      </c>
      <c r="J83" s="1">
        <v>7.4189999999999996</v>
      </c>
      <c r="K83" s="1">
        <v>20.094000000000001</v>
      </c>
      <c r="L83" s="1">
        <v>27.513000000000002</v>
      </c>
      <c r="M83" s="1" t="s">
        <v>14</v>
      </c>
    </row>
    <row r="84" spans="1:13" ht="13" x14ac:dyDescent="0.15">
      <c r="A84" s="1">
        <v>1</v>
      </c>
      <c r="B84" s="1">
        <v>3</v>
      </c>
      <c r="C84" s="1">
        <v>3</v>
      </c>
      <c r="D84" s="1" t="s">
        <v>24</v>
      </c>
      <c r="E84" s="1">
        <v>381</v>
      </c>
      <c r="F84" s="1">
        <v>2.5000000000000001E-2</v>
      </c>
      <c r="G84" s="1">
        <v>2129959</v>
      </c>
      <c r="H84" s="1">
        <f t="shared" si="0"/>
        <v>5590.4435695538059</v>
      </c>
      <c r="I84" s="1">
        <v>131.36699999999999</v>
      </c>
      <c r="J84" s="1">
        <v>6.01</v>
      </c>
      <c r="K84" s="1">
        <v>141.642</v>
      </c>
      <c r="L84" s="1">
        <v>147.65199999999999</v>
      </c>
      <c r="M84" s="1" t="s">
        <v>14</v>
      </c>
    </row>
    <row r="85" spans="1:13" ht="13" x14ac:dyDescent="0.15">
      <c r="A85" s="1">
        <v>1</v>
      </c>
      <c r="B85" s="1">
        <v>3</v>
      </c>
      <c r="C85" s="1">
        <v>4</v>
      </c>
      <c r="D85" s="1" t="s">
        <v>19</v>
      </c>
      <c r="E85" s="1">
        <v>314</v>
      </c>
      <c r="F85" s="1">
        <v>3.1E-2</v>
      </c>
      <c r="G85" s="1">
        <v>2972808</v>
      </c>
      <c r="H85" s="1">
        <f t="shared" si="0"/>
        <v>9467.5414012738856</v>
      </c>
      <c r="I85" s="1">
        <v>274.16699999999997</v>
      </c>
      <c r="J85" s="1">
        <v>9.4990000000000006</v>
      </c>
      <c r="K85" s="1">
        <v>288.654</v>
      </c>
      <c r="L85" s="1">
        <v>298.154</v>
      </c>
      <c r="M85" s="1" t="s">
        <v>14</v>
      </c>
    </row>
    <row r="86" spans="1:13" ht="13" x14ac:dyDescent="0.15">
      <c r="A86" s="1">
        <v>1</v>
      </c>
      <c r="B86" s="1">
        <v>3</v>
      </c>
      <c r="C86" s="1">
        <v>5</v>
      </c>
      <c r="D86" s="1" t="s">
        <v>24</v>
      </c>
      <c r="E86" s="1">
        <v>216</v>
      </c>
      <c r="F86" s="1">
        <v>7.0000000000000001E-3</v>
      </c>
      <c r="G86" s="1">
        <v>675802</v>
      </c>
      <c r="H86" s="1">
        <f t="shared" si="0"/>
        <v>3128.712962962963</v>
      </c>
      <c r="I86" s="1">
        <v>16.937000000000001</v>
      </c>
      <c r="J86" s="1">
        <v>4.8550000000000004</v>
      </c>
      <c r="K86" s="1">
        <v>19.786000000000001</v>
      </c>
      <c r="L86" s="1">
        <v>24.640999999999998</v>
      </c>
      <c r="M86" s="1" t="s">
        <v>14</v>
      </c>
    </row>
    <row r="87" spans="1:13" ht="13" x14ac:dyDescent="0.15">
      <c r="A87" s="1">
        <v>1</v>
      </c>
      <c r="B87" s="1">
        <v>3</v>
      </c>
      <c r="C87" s="1">
        <v>6</v>
      </c>
      <c r="D87" s="1" t="s">
        <v>24</v>
      </c>
      <c r="E87" s="1">
        <v>213</v>
      </c>
      <c r="F87" s="1">
        <v>5.0000000000000001E-3</v>
      </c>
      <c r="G87" s="1">
        <v>1918641</v>
      </c>
      <c r="H87" s="1">
        <f t="shared" si="0"/>
        <v>9007.7042253521122</v>
      </c>
      <c r="I87" s="1">
        <v>36.027999999999999</v>
      </c>
      <c r="J87" s="1">
        <v>9.2650000000000006</v>
      </c>
      <c r="K87" s="1">
        <v>45.03</v>
      </c>
      <c r="L87" s="1">
        <v>54.295999999999999</v>
      </c>
      <c r="M87" s="1" t="s">
        <v>14</v>
      </c>
    </row>
    <row r="88" spans="1:13" ht="13" x14ac:dyDescent="0.15">
      <c r="A88" s="1">
        <v>1</v>
      </c>
      <c r="B88" s="1">
        <v>3</v>
      </c>
      <c r="C88" s="1">
        <v>7</v>
      </c>
      <c r="D88" s="1" t="s">
        <v>24</v>
      </c>
      <c r="E88" s="1">
        <v>272</v>
      </c>
      <c r="F88" s="1">
        <v>8.9999999999999993E-3</v>
      </c>
      <c r="G88" s="1">
        <v>1389688</v>
      </c>
      <c r="H88" s="1">
        <f t="shared" si="0"/>
        <v>5109.1470588235297</v>
      </c>
      <c r="I88" s="1">
        <v>33.573999999999998</v>
      </c>
      <c r="J88" s="1">
        <v>6.3970000000000002</v>
      </c>
      <c r="K88" s="1">
        <v>40.023000000000003</v>
      </c>
      <c r="L88" s="1">
        <v>46.42</v>
      </c>
      <c r="M88" s="1" t="s">
        <v>14</v>
      </c>
    </row>
    <row r="89" spans="1:13" ht="13" x14ac:dyDescent="0.15">
      <c r="A89" s="1">
        <v>1</v>
      </c>
      <c r="B89" s="1">
        <v>3</v>
      </c>
      <c r="C89" s="1">
        <v>8</v>
      </c>
      <c r="D89" s="1" t="s">
        <v>24</v>
      </c>
      <c r="E89" s="1">
        <v>364</v>
      </c>
      <c r="F89" s="1">
        <v>1.7000000000000001E-2</v>
      </c>
      <c r="G89" s="1">
        <v>1923579</v>
      </c>
      <c r="H89" s="1">
        <f t="shared" si="0"/>
        <v>5284.5576923076924</v>
      </c>
      <c r="I89" s="1">
        <v>79.884</v>
      </c>
      <c r="J89" s="1">
        <v>6.5670000000000002</v>
      </c>
      <c r="K89" s="1">
        <v>88.662999999999997</v>
      </c>
      <c r="L89" s="1">
        <v>95.23</v>
      </c>
      <c r="M89" s="1" t="s">
        <v>14</v>
      </c>
    </row>
    <row r="90" spans="1:13" ht="13" x14ac:dyDescent="0.15">
      <c r="A90" s="1">
        <v>1</v>
      </c>
      <c r="B90" s="1">
        <v>3</v>
      </c>
      <c r="C90" s="1">
        <v>9</v>
      </c>
      <c r="D90" s="1" t="s">
        <v>16</v>
      </c>
      <c r="E90" s="1">
        <v>379</v>
      </c>
      <c r="F90" s="1">
        <v>2.7E-2</v>
      </c>
      <c r="G90" s="1">
        <v>2355503</v>
      </c>
      <c r="H90" s="1">
        <f t="shared" si="0"/>
        <v>6215.0474934036938</v>
      </c>
      <c r="I90" s="1">
        <v>161.11199999999999</v>
      </c>
      <c r="J90" s="1">
        <v>6.117</v>
      </c>
      <c r="K90" s="1">
        <v>171.76499999999999</v>
      </c>
      <c r="L90" s="1">
        <v>177.88200000000001</v>
      </c>
      <c r="M90" s="1" t="s">
        <v>14</v>
      </c>
    </row>
    <row r="91" spans="1:13" ht="13" x14ac:dyDescent="0.15">
      <c r="A91" s="1">
        <v>1</v>
      </c>
      <c r="B91" s="1">
        <v>3</v>
      </c>
      <c r="C91" s="1">
        <v>10</v>
      </c>
      <c r="D91" s="1" t="s">
        <v>20</v>
      </c>
      <c r="E91" s="1">
        <v>358</v>
      </c>
      <c r="F91" s="1">
        <v>1.2999999999999999E-2</v>
      </c>
      <c r="G91" s="1">
        <v>3874986</v>
      </c>
      <c r="H91" s="1">
        <f t="shared" si="0"/>
        <v>10823.983240223464</v>
      </c>
      <c r="I91" s="1">
        <v>128.25299999999999</v>
      </c>
      <c r="J91" s="1">
        <v>9.7680000000000007</v>
      </c>
      <c r="K91" s="1">
        <v>146.11600000000001</v>
      </c>
      <c r="L91" s="1">
        <v>155.88399999999999</v>
      </c>
      <c r="M91" s="1" t="s">
        <v>14</v>
      </c>
    </row>
    <row r="92" spans="1:13" ht="13" x14ac:dyDescent="0.15">
      <c r="A92" s="1">
        <v>1</v>
      </c>
      <c r="B92" s="1">
        <v>3</v>
      </c>
      <c r="C92" s="1">
        <v>11</v>
      </c>
      <c r="D92" s="1" t="s">
        <v>18</v>
      </c>
      <c r="E92" s="1">
        <v>290</v>
      </c>
      <c r="F92" s="1">
        <v>2.3E-2</v>
      </c>
      <c r="G92" s="1">
        <v>2268949</v>
      </c>
      <c r="H92" s="1">
        <f t="shared" si="0"/>
        <v>7823.9620689655176</v>
      </c>
      <c r="I92" s="1">
        <v>153.459</v>
      </c>
      <c r="J92" s="1">
        <v>6.3040000000000003</v>
      </c>
      <c r="K92" s="1">
        <v>164.85</v>
      </c>
      <c r="L92" s="1">
        <v>171.154</v>
      </c>
      <c r="M92" s="1" t="s">
        <v>14</v>
      </c>
    </row>
    <row r="93" spans="1:13" ht="13" x14ac:dyDescent="0.15">
      <c r="A93" s="1">
        <v>1</v>
      </c>
      <c r="B93" s="1">
        <v>3</v>
      </c>
      <c r="C93" s="1">
        <v>12</v>
      </c>
      <c r="D93" s="1" t="s">
        <v>24</v>
      </c>
      <c r="E93" s="1">
        <v>296</v>
      </c>
      <c r="F93" s="1">
        <v>1.2E-2</v>
      </c>
      <c r="G93" s="1">
        <v>1467402</v>
      </c>
      <c r="H93" s="1">
        <f t="shared" si="0"/>
        <v>4957.4391891891892</v>
      </c>
      <c r="I93" s="1">
        <v>48.030999999999999</v>
      </c>
      <c r="J93" s="1">
        <v>6.0250000000000004</v>
      </c>
      <c r="K93" s="1">
        <v>55.026000000000003</v>
      </c>
      <c r="L93" s="1">
        <v>61.05</v>
      </c>
      <c r="M93" s="1" t="s">
        <v>14</v>
      </c>
    </row>
    <row r="94" spans="1:13" ht="13" x14ac:dyDescent="0.15">
      <c r="A94" s="1">
        <v>1</v>
      </c>
      <c r="B94" s="1">
        <v>3</v>
      </c>
      <c r="C94" s="1">
        <v>13</v>
      </c>
      <c r="D94" s="1" t="s">
        <v>24</v>
      </c>
      <c r="E94" s="1">
        <v>242</v>
      </c>
      <c r="F94" s="1">
        <v>1.0999999999999999E-2</v>
      </c>
      <c r="G94" s="1">
        <v>616612</v>
      </c>
      <c r="H94" s="1">
        <f t="shared" si="0"/>
        <v>2547.9834710743803</v>
      </c>
      <c r="I94" s="1">
        <v>25.727</v>
      </c>
      <c r="J94" s="1">
        <v>3.2490000000000001</v>
      </c>
      <c r="K94" s="1">
        <v>28.195</v>
      </c>
      <c r="L94" s="1">
        <v>31.443999999999999</v>
      </c>
      <c r="M94" s="1" t="s">
        <v>14</v>
      </c>
    </row>
    <row r="95" spans="1:13" ht="13" x14ac:dyDescent="0.15">
      <c r="A95" s="1">
        <v>1</v>
      </c>
      <c r="B95" s="1">
        <v>3</v>
      </c>
      <c r="C95" s="1">
        <v>14</v>
      </c>
      <c r="D95" s="1" t="s">
        <v>24</v>
      </c>
      <c r="E95" s="1">
        <v>219</v>
      </c>
      <c r="F95" s="1">
        <v>7.0000000000000001E-3</v>
      </c>
      <c r="G95" s="1">
        <v>1371465</v>
      </c>
      <c r="H95" s="1">
        <f t="shared" si="0"/>
        <v>6262.3972602739723</v>
      </c>
      <c r="I95" s="1">
        <v>35.43</v>
      </c>
      <c r="J95" s="1">
        <v>6.5629999999999997</v>
      </c>
      <c r="K95" s="1">
        <v>42.537999999999997</v>
      </c>
      <c r="L95" s="1">
        <v>49.100999999999999</v>
      </c>
      <c r="M95" s="1" t="s">
        <v>14</v>
      </c>
    </row>
    <row r="96" spans="1:13" ht="13" x14ac:dyDescent="0.15">
      <c r="A96" s="1">
        <v>1</v>
      </c>
      <c r="B96" s="1">
        <v>3</v>
      </c>
      <c r="C96" s="1">
        <v>15</v>
      </c>
      <c r="D96" s="1" t="s">
        <v>24</v>
      </c>
      <c r="E96" s="1">
        <v>219</v>
      </c>
      <c r="F96" s="1">
        <v>6.0000000000000001E-3</v>
      </c>
      <c r="G96" s="1">
        <v>1493304</v>
      </c>
      <c r="H96" s="1">
        <f t="shared" si="0"/>
        <v>6818.7397260273974</v>
      </c>
      <c r="I96" s="1">
        <v>30.835999999999999</v>
      </c>
      <c r="J96" s="1">
        <v>6.7069999999999999</v>
      </c>
      <c r="K96" s="1">
        <v>38.255000000000003</v>
      </c>
      <c r="L96" s="1">
        <v>44.962000000000003</v>
      </c>
      <c r="M96" s="1" t="s">
        <v>14</v>
      </c>
    </row>
    <row r="97" spans="1:13" ht="13" x14ac:dyDescent="0.15">
      <c r="A97" s="1">
        <v>1</v>
      </c>
      <c r="B97" s="1">
        <v>3</v>
      </c>
      <c r="C97" s="1">
        <v>16</v>
      </c>
      <c r="D97" s="1" t="s">
        <v>24</v>
      </c>
      <c r="E97" s="1">
        <v>302</v>
      </c>
      <c r="F97" s="1">
        <v>1.4999999999999999E-2</v>
      </c>
      <c r="G97" s="1">
        <v>407825</v>
      </c>
      <c r="H97" s="1">
        <f t="shared" si="0"/>
        <v>1350.4139072847681</v>
      </c>
      <c r="I97" s="1">
        <v>21.763000000000002</v>
      </c>
      <c r="J97" s="1">
        <v>2.9260000000000002</v>
      </c>
      <c r="K97" s="1">
        <v>23.352</v>
      </c>
      <c r="L97" s="1">
        <v>26.277999999999999</v>
      </c>
      <c r="M97" s="1" t="s">
        <v>14</v>
      </c>
    </row>
    <row r="98" spans="1:13" ht="13" x14ac:dyDescent="0.15">
      <c r="A98" s="1">
        <v>1</v>
      </c>
      <c r="B98" s="1">
        <v>3</v>
      </c>
      <c r="C98" s="1">
        <v>17</v>
      </c>
      <c r="D98" s="1" t="s">
        <v>24</v>
      </c>
      <c r="E98" s="1">
        <v>259</v>
      </c>
      <c r="F98" s="1">
        <v>0.01</v>
      </c>
      <c r="G98" s="1">
        <v>1692525</v>
      </c>
      <c r="H98" s="1">
        <f t="shared" si="0"/>
        <v>6534.8455598455603</v>
      </c>
      <c r="I98" s="1">
        <v>55.252000000000002</v>
      </c>
      <c r="J98" s="1">
        <v>6.8879999999999999</v>
      </c>
      <c r="K98" s="1">
        <v>63.765999999999998</v>
      </c>
      <c r="L98" s="1">
        <v>70.653999999999996</v>
      </c>
      <c r="M98" s="1" t="s">
        <v>14</v>
      </c>
    </row>
    <row r="99" spans="1:13" ht="13" x14ac:dyDescent="0.15">
      <c r="A99" s="1">
        <v>1</v>
      </c>
      <c r="B99" s="1">
        <v>3</v>
      </c>
      <c r="C99" s="1">
        <v>18</v>
      </c>
      <c r="D99" s="1" t="s">
        <v>24</v>
      </c>
      <c r="E99" s="1">
        <v>281</v>
      </c>
      <c r="F99" s="1">
        <v>8.0000000000000002E-3</v>
      </c>
      <c r="G99" s="1">
        <v>1735401</v>
      </c>
      <c r="H99" s="1">
        <f t="shared" si="0"/>
        <v>6175.8042704626332</v>
      </c>
      <c r="I99" s="1">
        <v>40.317999999999998</v>
      </c>
      <c r="J99" s="1">
        <v>8.4280000000000008</v>
      </c>
      <c r="K99" s="1">
        <v>48.058999999999997</v>
      </c>
      <c r="L99" s="1">
        <v>56.487000000000002</v>
      </c>
      <c r="M99" s="1" t="s">
        <v>14</v>
      </c>
    </row>
    <row r="100" spans="1:13" ht="13" x14ac:dyDescent="0.15">
      <c r="A100" s="1">
        <v>1</v>
      </c>
      <c r="B100" s="1">
        <v>3</v>
      </c>
      <c r="C100" s="1">
        <v>19</v>
      </c>
      <c r="D100" s="1" t="s">
        <v>24</v>
      </c>
      <c r="E100" s="1">
        <v>282</v>
      </c>
      <c r="F100" s="1">
        <v>8.0000000000000002E-3</v>
      </c>
      <c r="G100" s="1">
        <v>1889718</v>
      </c>
      <c r="H100" s="1">
        <f t="shared" si="0"/>
        <v>6701.1276595744685</v>
      </c>
      <c r="I100" s="1">
        <v>41.698</v>
      </c>
      <c r="J100" s="1">
        <v>7.1369999999999996</v>
      </c>
      <c r="K100" s="1">
        <v>50.347000000000001</v>
      </c>
      <c r="L100" s="1">
        <v>57.484000000000002</v>
      </c>
      <c r="M100" s="1" t="s">
        <v>14</v>
      </c>
    </row>
    <row r="101" spans="1:13" ht="13" x14ac:dyDescent="0.15">
      <c r="A101" s="1">
        <v>1</v>
      </c>
      <c r="B101" s="1">
        <v>3</v>
      </c>
      <c r="C101" s="1">
        <v>20</v>
      </c>
      <c r="D101" s="1" t="s">
        <v>24</v>
      </c>
      <c r="E101" s="1">
        <v>296</v>
      </c>
      <c r="F101" s="1">
        <v>0.01</v>
      </c>
      <c r="G101" s="1">
        <v>1669294</v>
      </c>
      <c r="H101" s="1">
        <f t="shared" si="0"/>
        <v>5639.5067567567567</v>
      </c>
      <c r="I101" s="1">
        <v>46.337000000000003</v>
      </c>
      <c r="J101" s="1">
        <v>7.8090000000000002</v>
      </c>
      <c r="K101" s="1">
        <v>54.2</v>
      </c>
      <c r="L101" s="1">
        <v>62.01</v>
      </c>
      <c r="M101" s="1" t="s">
        <v>14</v>
      </c>
    </row>
    <row r="102" spans="1:13" ht="13" x14ac:dyDescent="0.15">
      <c r="A102" s="1">
        <v>3</v>
      </c>
      <c r="B102" s="1">
        <v>1</v>
      </c>
      <c r="C102" s="1">
        <v>1</v>
      </c>
      <c r="D102" s="1" t="s">
        <v>24</v>
      </c>
      <c r="E102" s="1">
        <v>231</v>
      </c>
      <c r="F102" s="1">
        <v>8.0000000000000002E-3</v>
      </c>
      <c r="G102" s="1">
        <v>1941007</v>
      </c>
      <c r="H102" s="1">
        <f t="shared" si="0"/>
        <v>8402.6277056277049</v>
      </c>
      <c r="I102" s="1">
        <v>55.387</v>
      </c>
      <c r="J102" s="1">
        <v>7.569</v>
      </c>
      <c r="K102" s="1">
        <v>64.117000000000004</v>
      </c>
      <c r="L102" s="1">
        <v>71.686000000000007</v>
      </c>
      <c r="M102" s="1" t="s">
        <v>14</v>
      </c>
    </row>
    <row r="103" spans="1:13" ht="13" x14ac:dyDescent="0.15">
      <c r="A103" s="1">
        <v>3</v>
      </c>
      <c r="B103" s="1">
        <v>1</v>
      </c>
      <c r="C103" s="1">
        <v>2</v>
      </c>
      <c r="D103" s="1" t="s">
        <v>24</v>
      </c>
      <c r="E103" s="1">
        <v>221</v>
      </c>
      <c r="F103" s="1">
        <v>5.0000000000000001E-3</v>
      </c>
      <c r="G103" s="1">
        <v>969108</v>
      </c>
      <c r="H103" s="1">
        <f t="shared" si="0"/>
        <v>4385.1040723981896</v>
      </c>
      <c r="I103" s="1">
        <v>16.716000000000001</v>
      </c>
      <c r="J103" s="1">
        <v>7.7539999999999996</v>
      </c>
      <c r="K103" s="1">
        <v>20.988</v>
      </c>
      <c r="L103" s="1">
        <v>28.742000000000001</v>
      </c>
      <c r="M103" s="1" t="s">
        <v>14</v>
      </c>
    </row>
    <row r="104" spans="1:13" ht="13" x14ac:dyDescent="0.15">
      <c r="A104" s="1">
        <v>3</v>
      </c>
      <c r="B104" s="1">
        <v>1</v>
      </c>
      <c r="C104" s="1">
        <v>3</v>
      </c>
      <c r="D104" s="1" t="s">
        <v>24</v>
      </c>
      <c r="E104" s="1">
        <v>381</v>
      </c>
      <c r="F104" s="1">
        <v>1.7000000000000001E-2</v>
      </c>
      <c r="G104" s="1">
        <v>1253826</v>
      </c>
      <c r="H104" s="1">
        <f t="shared" si="0"/>
        <v>3290.8818897637793</v>
      </c>
      <c r="I104" s="1">
        <v>44.509</v>
      </c>
      <c r="J104" s="1">
        <v>4.4630000000000001</v>
      </c>
      <c r="K104" s="1">
        <v>49.845999999999997</v>
      </c>
      <c r="L104" s="1">
        <v>54.308999999999997</v>
      </c>
      <c r="M104" s="1" t="s">
        <v>14</v>
      </c>
    </row>
    <row r="105" spans="1:13" ht="13" x14ac:dyDescent="0.15">
      <c r="A105" s="1">
        <v>3</v>
      </c>
      <c r="B105" s="1">
        <v>1</v>
      </c>
      <c r="C105" s="1">
        <v>4</v>
      </c>
      <c r="D105" s="1" t="s">
        <v>19</v>
      </c>
      <c r="E105" s="1">
        <v>314</v>
      </c>
      <c r="F105" s="1">
        <v>2.1999999999999999E-2</v>
      </c>
      <c r="G105" s="1">
        <v>2756494</v>
      </c>
      <c r="H105" s="1">
        <f t="shared" si="0"/>
        <v>8778.6433121019109</v>
      </c>
      <c r="I105" s="1">
        <v>186.63800000000001</v>
      </c>
      <c r="J105" s="1">
        <v>9.4329999999999998</v>
      </c>
      <c r="K105" s="1">
        <v>200.006</v>
      </c>
      <c r="L105" s="1">
        <v>209.43899999999999</v>
      </c>
      <c r="M105" s="1" t="s">
        <v>14</v>
      </c>
    </row>
    <row r="106" spans="1:13" ht="13" x14ac:dyDescent="0.15">
      <c r="A106" s="1">
        <v>3</v>
      </c>
      <c r="B106" s="1">
        <v>1</v>
      </c>
      <c r="C106" s="1">
        <v>5</v>
      </c>
      <c r="D106" s="1" t="s">
        <v>24</v>
      </c>
      <c r="E106" s="1">
        <v>216</v>
      </c>
      <c r="F106" s="1">
        <v>0.01</v>
      </c>
      <c r="G106" s="1">
        <v>826761</v>
      </c>
      <c r="H106" s="1">
        <f t="shared" si="0"/>
        <v>3827.5972222222222</v>
      </c>
      <c r="I106" s="1">
        <v>27.925000000000001</v>
      </c>
      <c r="J106" s="1">
        <v>4.6790000000000003</v>
      </c>
      <c r="K106" s="1">
        <v>31.817</v>
      </c>
      <c r="L106" s="1">
        <v>36.497</v>
      </c>
      <c r="M106" s="1" t="s">
        <v>14</v>
      </c>
    </row>
    <row r="107" spans="1:13" ht="13" x14ac:dyDescent="0.15">
      <c r="A107" s="1">
        <v>3</v>
      </c>
      <c r="B107" s="1">
        <v>1</v>
      </c>
      <c r="C107" s="1">
        <v>6</v>
      </c>
      <c r="D107" s="1" t="s">
        <v>24</v>
      </c>
      <c r="E107" s="1">
        <v>213</v>
      </c>
      <c r="F107" s="1">
        <v>6.0000000000000001E-3</v>
      </c>
      <c r="G107" s="1">
        <v>1891421</v>
      </c>
      <c r="H107" s="1">
        <f t="shared" si="0"/>
        <v>8879.9107981220659</v>
      </c>
      <c r="I107" s="1">
        <v>38.936</v>
      </c>
      <c r="J107" s="1">
        <v>9.7289999999999992</v>
      </c>
      <c r="K107" s="1">
        <v>47.776000000000003</v>
      </c>
      <c r="L107" s="1">
        <v>57.505000000000003</v>
      </c>
      <c r="M107" s="1" t="s">
        <v>14</v>
      </c>
    </row>
    <row r="108" spans="1:13" ht="13" x14ac:dyDescent="0.15">
      <c r="A108" s="1">
        <v>3</v>
      </c>
      <c r="B108" s="1">
        <v>1</v>
      </c>
      <c r="C108" s="1">
        <v>7</v>
      </c>
      <c r="D108" s="1" t="s">
        <v>27</v>
      </c>
      <c r="E108" s="1">
        <v>272</v>
      </c>
      <c r="F108" s="1">
        <v>1.2999999999999999E-2</v>
      </c>
      <c r="G108" s="1">
        <v>1645686</v>
      </c>
      <c r="H108" s="1">
        <f t="shared" si="0"/>
        <v>6050.3161764705883</v>
      </c>
      <c r="I108" s="1">
        <v>81.209999999999994</v>
      </c>
      <c r="J108" s="1">
        <v>7.01</v>
      </c>
      <c r="K108" s="1">
        <v>88.807000000000002</v>
      </c>
      <c r="L108" s="1">
        <v>95.816999999999993</v>
      </c>
      <c r="M108" s="1" t="s">
        <v>14</v>
      </c>
    </row>
    <row r="109" spans="1:13" ht="13" x14ac:dyDescent="0.15">
      <c r="A109" s="1">
        <v>3</v>
      </c>
      <c r="B109" s="1">
        <v>1</v>
      </c>
      <c r="C109" s="1">
        <v>8</v>
      </c>
      <c r="D109" s="1" t="s">
        <v>24</v>
      </c>
      <c r="E109" s="1">
        <v>364</v>
      </c>
      <c r="F109" s="1">
        <v>1.4E-2</v>
      </c>
      <c r="G109" s="1">
        <v>2154702</v>
      </c>
      <c r="H109" s="1">
        <f t="shared" si="0"/>
        <v>5919.5109890109889</v>
      </c>
      <c r="I109" s="1">
        <v>85.323999999999998</v>
      </c>
      <c r="J109" s="1">
        <v>7.4169999999999998</v>
      </c>
      <c r="K109" s="1">
        <v>95.375</v>
      </c>
      <c r="L109" s="1">
        <v>102.792</v>
      </c>
      <c r="M109" s="1" t="s">
        <v>14</v>
      </c>
    </row>
    <row r="110" spans="1:13" ht="13" x14ac:dyDescent="0.15">
      <c r="A110" s="1">
        <v>3</v>
      </c>
      <c r="B110" s="1">
        <v>1</v>
      </c>
      <c r="C110" s="1">
        <v>9</v>
      </c>
      <c r="D110" s="1" t="s">
        <v>24</v>
      </c>
      <c r="E110" s="1">
        <v>379</v>
      </c>
      <c r="F110" s="1">
        <v>2.5000000000000001E-2</v>
      </c>
      <c r="G110" s="1">
        <v>2363494</v>
      </c>
      <c r="H110" s="1">
        <f t="shared" si="0"/>
        <v>6236.1319261213721</v>
      </c>
      <c r="I110" s="1">
        <v>133.703</v>
      </c>
      <c r="J110" s="1">
        <v>6.29</v>
      </c>
      <c r="K110" s="1">
        <v>145.078</v>
      </c>
      <c r="L110" s="1">
        <v>151.369</v>
      </c>
      <c r="M110" s="1" t="s">
        <v>14</v>
      </c>
    </row>
    <row r="111" spans="1:13" ht="13" x14ac:dyDescent="0.15">
      <c r="A111" s="1">
        <v>3</v>
      </c>
      <c r="B111" s="1">
        <v>1</v>
      </c>
      <c r="C111" s="1">
        <v>10</v>
      </c>
      <c r="D111" s="1" t="s">
        <v>20</v>
      </c>
      <c r="E111" s="1">
        <v>358</v>
      </c>
      <c r="F111" s="1">
        <v>1.2999999999999999E-2</v>
      </c>
      <c r="G111" s="1">
        <v>2870553</v>
      </c>
      <c r="H111" s="1">
        <f t="shared" si="0"/>
        <v>8018.3044692737431</v>
      </c>
      <c r="I111" s="1">
        <v>83.540999999999997</v>
      </c>
      <c r="J111" s="1">
        <v>9.1649999999999991</v>
      </c>
      <c r="K111" s="1">
        <v>96.905000000000001</v>
      </c>
      <c r="L111" s="1">
        <v>106.07</v>
      </c>
      <c r="M111" s="1" t="s">
        <v>14</v>
      </c>
    </row>
    <row r="112" spans="1:13" ht="13" x14ac:dyDescent="0.15">
      <c r="A112" s="1">
        <v>3</v>
      </c>
      <c r="B112" s="1">
        <v>1</v>
      </c>
      <c r="C112" s="1">
        <v>11</v>
      </c>
      <c r="D112" s="1" t="s">
        <v>24</v>
      </c>
      <c r="E112" s="1">
        <v>290</v>
      </c>
      <c r="F112" s="1">
        <v>1.4E-2</v>
      </c>
      <c r="G112" s="1">
        <v>2252718</v>
      </c>
      <c r="H112" s="1">
        <f t="shared" si="0"/>
        <v>7767.9931034482761</v>
      </c>
      <c r="I112" s="1">
        <v>97.593000000000004</v>
      </c>
      <c r="J112" s="1">
        <v>6.9729999999999999</v>
      </c>
      <c r="K112" s="1">
        <v>108.672</v>
      </c>
      <c r="L112" s="1">
        <v>115.645</v>
      </c>
      <c r="M112" s="1" t="s">
        <v>14</v>
      </c>
    </row>
    <row r="113" spans="1:13" ht="13" x14ac:dyDescent="0.15">
      <c r="A113" s="1">
        <v>3</v>
      </c>
      <c r="B113" s="1">
        <v>1</v>
      </c>
      <c r="C113" s="1">
        <v>12</v>
      </c>
      <c r="D113" s="1" t="s">
        <v>24</v>
      </c>
      <c r="E113" s="1">
        <v>296</v>
      </c>
      <c r="F113" s="1">
        <v>0.01</v>
      </c>
      <c r="G113" s="1">
        <v>2027887</v>
      </c>
      <c r="H113" s="1">
        <f t="shared" si="0"/>
        <v>6850.969594594595</v>
      </c>
      <c r="I113" s="1">
        <v>50.305</v>
      </c>
      <c r="J113" s="1">
        <v>7.3959999999999999</v>
      </c>
      <c r="K113" s="1">
        <v>60.441000000000003</v>
      </c>
      <c r="L113" s="1">
        <v>67.837999999999994</v>
      </c>
      <c r="M113" s="1" t="s">
        <v>14</v>
      </c>
    </row>
    <row r="114" spans="1:13" ht="13" x14ac:dyDescent="0.15">
      <c r="A114" s="1">
        <v>3</v>
      </c>
      <c r="B114" s="1">
        <v>1</v>
      </c>
      <c r="C114" s="1">
        <v>13</v>
      </c>
      <c r="D114" s="1" t="s">
        <v>31</v>
      </c>
      <c r="E114" s="1">
        <v>242</v>
      </c>
      <c r="F114" s="1">
        <v>1.7000000000000001E-2</v>
      </c>
      <c r="G114" s="1">
        <v>625637</v>
      </c>
      <c r="H114" s="1">
        <f t="shared" si="0"/>
        <v>2585.2768595041321</v>
      </c>
      <c r="I114" s="1">
        <v>39.188000000000002</v>
      </c>
      <c r="J114" s="1">
        <v>3.5979999999999999</v>
      </c>
      <c r="K114" s="1">
        <v>42.143000000000001</v>
      </c>
      <c r="L114" s="1">
        <v>45.741</v>
      </c>
      <c r="M114" s="1" t="s">
        <v>14</v>
      </c>
    </row>
    <row r="115" spans="1:13" ht="13" x14ac:dyDescent="0.15">
      <c r="A115" s="1">
        <v>3</v>
      </c>
      <c r="B115" s="1">
        <v>1</v>
      </c>
      <c r="C115" s="1">
        <v>14</v>
      </c>
      <c r="D115" s="1" t="s">
        <v>24</v>
      </c>
      <c r="E115" s="1">
        <v>219</v>
      </c>
      <c r="F115" s="1">
        <v>7.0000000000000001E-3</v>
      </c>
      <c r="G115" s="1">
        <v>765205</v>
      </c>
      <c r="H115" s="1">
        <f t="shared" si="0"/>
        <v>3494.0867579908677</v>
      </c>
      <c r="I115" s="1">
        <v>20.39</v>
      </c>
      <c r="J115" s="1">
        <v>5.6509999999999998</v>
      </c>
      <c r="K115" s="1">
        <v>23.297000000000001</v>
      </c>
      <c r="L115" s="1">
        <v>28.948</v>
      </c>
      <c r="M115" s="1" t="s">
        <v>14</v>
      </c>
    </row>
    <row r="116" spans="1:13" ht="13" x14ac:dyDescent="0.15">
      <c r="A116" s="1">
        <v>3</v>
      </c>
      <c r="B116" s="1">
        <v>1</v>
      </c>
      <c r="C116" s="1">
        <v>15</v>
      </c>
      <c r="D116" s="1" t="s">
        <v>24</v>
      </c>
      <c r="E116" s="1">
        <v>219</v>
      </c>
      <c r="F116" s="1">
        <v>7.0000000000000001E-3</v>
      </c>
      <c r="G116" s="1">
        <v>1212131</v>
      </c>
      <c r="H116" s="1">
        <f t="shared" si="0"/>
        <v>5534.8447488584479</v>
      </c>
      <c r="I116" s="1">
        <v>30.643999999999998</v>
      </c>
      <c r="J116" s="1">
        <v>6.8869999999999996</v>
      </c>
      <c r="K116" s="1">
        <v>36.531999999999996</v>
      </c>
      <c r="L116" s="1">
        <v>43.418999999999997</v>
      </c>
      <c r="M116" s="1" t="s">
        <v>14</v>
      </c>
    </row>
    <row r="117" spans="1:13" ht="13" x14ac:dyDescent="0.15">
      <c r="A117" s="1">
        <v>3</v>
      </c>
      <c r="B117" s="1">
        <v>1</v>
      </c>
      <c r="C117" s="1">
        <v>16</v>
      </c>
      <c r="D117" s="1" t="s">
        <v>24</v>
      </c>
      <c r="E117" s="1">
        <v>302</v>
      </c>
      <c r="F117" s="1">
        <v>0.01</v>
      </c>
      <c r="G117" s="1">
        <v>458495</v>
      </c>
      <c r="H117" s="1">
        <f t="shared" si="0"/>
        <v>1518.1953642384105</v>
      </c>
      <c r="I117" s="1">
        <v>9.74</v>
      </c>
      <c r="J117" s="1">
        <v>3.512</v>
      </c>
      <c r="K117" s="1">
        <v>11.919</v>
      </c>
      <c r="L117" s="1">
        <v>15.430999999999999</v>
      </c>
      <c r="M117" s="1" t="s">
        <v>14</v>
      </c>
    </row>
    <row r="118" spans="1:13" ht="13" x14ac:dyDescent="0.15">
      <c r="A118" s="1">
        <v>3</v>
      </c>
      <c r="B118" s="1">
        <v>1</v>
      </c>
      <c r="C118" s="1">
        <v>17</v>
      </c>
      <c r="D118" s="1" t="s">
        <v>24</v>
      </c>
      <c r="E118" s="1">
        <v>259</v>
      </c>
      <c r="F118" s="1">
        <v>1.0999999999999999E-2</v>
      </c>
      <c r="G118" s="1">
        <v>1806525</v>
      </c>
      <c r="H118" s="1">
        <f t="shared" si="0"/>
        <v>6975</v>
      </c>
      <c r="I118" s="1">
        <v>81.5</v>
      </c>
      <c r="J118" s="1">
        <v>7.319</v>
      </c>
      <c r="K118" s="1">
        <v>90.480999999999995</v>
      </c>
      <c r="L118" s="1">
        <v>97.8</v>
      </c>
      <c r="M118" s="1" t="s">
        <v>14</v>
      </c>
    </row>
    <row r="119" spans="1:13" ht="13" x14ac:dyDescent="0.15">
      <c r="A119" s="1">
        <v>3</v>
      </c>
      <c r="B119" s="1">
        <v>1</v>
      </c>
      <c r="C119" s="1">
        <v>18</v>
      </c>
      <c r="D119" s="1" t="s">
        <v>24</v>
      </c>
      <c r="E119" s="1">
        <v>281</v>
      </c>
      <c r="F119" s="1">
        <v>8.9999999999999993E-3</v>
      </c>
      <c r="G119" s="1">
        <v>2077059</v>
      </c>
      <c r="H119" s="1">
        <f t="shared" si="0"/>
        <v>7391.6690391459078</v>
      </c>
      <c r="I119" s="1">
        <v>54.445999999999998</v>
      </c>
      <c r="J119" s="1">
        <v>8.891</v>
      </c>
      <c r="K119" s="1">
        <v>64.004999999999995</v>
      </c>
      <c r="L119" s="1">
        <v>72.896000000000001</v>
      </c>
      <c r="M119" s="1" t="s">
        <v>14</v>
      </c>
    </row>
    <row r="120" spans="1:13" ht="13" x14ac:dyDescent="0.15">
      <c r="A120" s="1">
        <v>3</v>
      </c>
      <c r="B120" s="1">
        <v>1</v>
      </c>
      <c r="C120" s="1">
        <v>19</v>
      </c>
      <c r="D120" s="1" t="s">
        <v>24</v>
      </c>
      <c r="E120" s="1">
        <v>282</v>
      </c>
      <c r="F120" s="1">
        <v>1.2E-2</v>
      </c>
      <c r="G120" s="1">
        <v>1968161</v>
      </c>
      <c r="H120" s="1">
        <f t="shared" si="0"/>
        <v>6979.2943262411345</v>
      </c>
      <c r="I120" s="1">
        <v>81.778000000000006</v>
      </c>
      <c r="J120" s="1">
        <v>7.165</v>
      </c>
      <c r="K120" s="1">
        <v>91.088999999999999</v>
      </c>
      <c r="L120" s="1">
        <v>98.254000000000005</v>
      </c>
      <c r="M120" s="1" t="s">
        <v>14</v>
      </c>
    </row>
    <row r="121" spans="1:13" ht="13" x14ac:dyDescent="0.15">
      <c r="A121" s="1">
        <v>3</v>
      </c>
      <c r="B121" s="1">
        <v>1</v>
      </c>
      <c r="C121" s="1">
        <v>20</v>
      </c>
      <c r="D121" s="1" t="s">
        <v>24</v>
      </c>
      <c r="E121" s="1">
        <v>296</v>
      </c>
      <c r="F121" s="1">
        <v>1.2E-2</v>
      </c>
      <c r="G121" s="1">
        <v>2313657</v>
      </c>
      <c r="H121" s="1">
        <f t="shared" si="0"/>
        <v>7816.4087837837842</v>
      </c>
      <c r="I121" s="1">
        <v>78.513999999999996</v>
      </c>
      <c r="J121" s="1">
        <v>9.0109999999999992</v>
      </c>
      <c r="K121" s="1">
        <v>89.35</v>
      </c>
      <c r="L121" s="1">
        <v>98.361000000000004</v>
      </c>
      <c r="M121" s="1" t="s">
        <v>14</v>
      </c>
    </row>
    <row r="122" spans="1:13" ht="13" x14ac:dyDescent="0.15">
      <c r="A122" s="1">
        <v>1</v>
      </c>
      <c r="B122" s="1">
        <v>4</v>
      </c>
      <c r="C122" s="1">
        <v>1</v>
      </c>
      <c r="D122" s="1" t="s">
        <v>24</v>
      </c>
      <c r="E122" s="1">
        <v>534</v>
      </c>
      <c r="F122" s="1">
        <v>0.02</v>
      </c>
      <c r="G122" s="1">
        <v>9871278</v>
      </c>
      <c r="H122" s="1">
        <f t="shared" si="0"/>
        <v>18485.539325842696</v>
      </c>
      <c r="I122" s="1">
        <v>313.27699999999999</v>
      </c>
      <c r="J122" s="1">
        <v>15.423</v>
      </c>
      <c r="K122" s="1">
        <v>356.904</v>
      </c>
      <c r="L122" s="1">
        <v>372.327</v>
      </c>
      <c r="M122" s="1" t="s">
        <v>14</v>
      </c>
    </row>
    <row r="123" spans="1:13" ht="13" x14ac:dyDescent="0.15">
      <c r="A123" s="1">
        <v>1</v>
      </c>
      <c r="B123" s="1">
        <v>4</v>
      </c>
      <c r="C123" s="1">
        <v>2</v>
      </c>
      <c r="D123" s="1" t="s">
        <v>24</v>
      </c>
      <c r="E123" s="1">
        <v>449</v>
      </c>
      <c r="F123" s="1">
        <v>1.6E-2</v>
      </c>
      <c r="G123" s="1">
        <v>7523695</v>
      </c>
      <c r="H123" s="1">
        <f t="shared" si="0"/>
        <v>16756.559020044544</v>
      </c>
      <c r="I123" s="1">
        <v>251.94800000000001</v>
      </c>
      <c r="J123" s="1">
        <v>20.789000000000001</v>
      </c>
      <c r="K123" s="1">
        <v>284.67500000000001</v>
      </c>
      <c r="L123" s="1">
        <v>305.464</v>
      </c>
      <c r="M123" s="1" t="s">
        <v>14</v>
      </c>
    </row>
    <row r="124" spans="1:13" ht="13" x14ac:dyDescent="0.15">
      <c r="A124" s="1">
        <v>1</v>
      </c>
      <c r="B124" s="1">
        <v>4</v>
      </c>
      <c r="C124" s="1">
        <v>3</v>
      </c>
      <c r="D124" s="1" t="s">
        <v>24</v>
      </c>
      <c r="E124" s="1">
        <v>878</v>
      </c>
      <c r="F124" s="1">
        <v>0.06</v>
      </c>
      <c r="G124" s="1">
        <v>3104314</v>
      </c>
      <c r="H124" s="1">
        <f t="shared" si="0"/>
        <v>3535.6651480637815</v>
      </c>
      <c r="I124" s="1">
        <v>168.917</v>
      </c>
      <c r="J124" s="1">
        <v>6.8789999999999996</v>
      </c>
      <c r="K124" s="1">
        <v>183.88300000000001</v>
      </c>
      <c r="L124" s="1">
        <v>190.761</v>
      </c>
      <c r="M124" s="1" t="s">
        <v>14</v>
      </c>
    </row>
    <row r="125" spans="1:13" ht="13" x14ac:dyDescent="0.15">
      <c r="A125" s="1">
        <v>1</v>
      </c>
      <c r="B125" s="1">
        <v>4</v>
      </c>
      <c r="C125" s="1">
        <v>4</v>
      </c>
      <c r="D125" s="1" t="s">
        <v>19</v>
      </c>
      <c r="E125" s="1">
        <v>678</v>
      </c>
      <c r="F125" s="1">
        <v>5.0999999999999997E-2</v>
      </c>
      <c r="G125" s="1">
        <v>17396810</v>
      </c>
      <c r="H125" s="1">
        <f t="shared" si="0"/>
        <v>25659.011799410029</v>
      </c>
      <c r="I125" s="1">
        <v>1373.328</v>
      </c>
      <c r="J125" s="1">
        <v>25.016999999999999</v>
      </c>
      <c r="K125" s="1">
        <v>1461.461</v>
      </c>
      <c r="L125" s="1">
        <v>1486.4780000000001</v>
      </c>
      <c r="M125" s="1" t="s">
        <v>14</v>
      </c>
    </row>
    <row r="126" spans="1:13" ht="13" x14ac:dyDescent="0.15">
      <c r="A126" s="1">
        <v>1</v>
      </c>
      <c r="B126" s="1">
        <v>4</v>
      </c>
      <c r="C126" s="1">
        <v>5</v>
      </c>
      <c r="D126" s="1" t="s">
        <v>24</v>
      </c>
      <c r="E126" s="1">
        <v>524</v>
      </c>
      <c r="F126" s="1">
        <v>1.7000000000000001E-2</v>
      </c>
      <c r="G126" s="1">
        <v>2989539</v>
      </c>
      <c r="H126" s="1">
        <f t="shared" si="0"/>
        <v>5705.2270992366412</v>
      </c>
      <c r="I126" s="1">
        <v>79.656000000000006</v>
      </c>
      <c r="J126" s="1">
        <v>11.151999999999999</v>
      </c>
      <c r="K126" s="1">
        <v>88.665000000000006</v>
      </c>
      <c r="L126" s="1">
        <v>99.816999999999993</v>
      </c>
      <c r="M126" s="1" t="s">
        <v>14</v>
      </c>
    </row>
    <row r="127" spans="1:13" ht="13" x14ac:dyDescent="0.15">
      <c r="A127" s="1">
        <v>1</v>
      </c>
      <c r="B127" s="1">
        <v>4</v>
      </c>
      <c r="C127" s="1">
        <v>6</v>
      </c>
      <c r="D127" s="1" t="s">
        <v>24</v>
      </c>
      <c r="E127" s="1">
        <v>555</v>
      </c>
      <c r="F127" s="1">
        <v>1.6E-2</v>
      </c>
      <c r="G127" s="1">
        <v>12402094</v>
      </c>
      <c r="H127" s="1">
        <f t="shared" si="0"/>
        <v>22346.115315315314</v>
      </c>
      <c r="I127" s="1">
        <v>268.23099999999999</v>
      </c>
      <c r="J127" s="1">
        <v>22.721</v>
      </c>
      <c r="K127" s="1">
        <v>327.61099999999999</v>
      </c>
      <c r="L127" s="1">
        <v>350.33199999999999</v>
      </c>
      <c r="M127" s="1" t="s">
        <v>14</v>
      </c>
    </row>
    <row r="128" spans="1:13" ht="13" x14ac:dyDescent="0.15">
      <c r="A128" s="1">
        <v>1</v>
      </c>
      <c r="B128" s="1">
        <v>4</v>
      </c>
      <c r="C128" s="1">
        <v>7</v>
      </c>
      <c r="D128" s="1" t="s">
        <v>24</v>
      </c>
      <c r="E128" s="1">
        <v>643</v>
      </c>
      <c r="F128" s="1">
        <v>3.4000000000000002E-2</v>
      </c>
      <c r="G128" s="1">
        <v>10852770</v>
      </c>
      <c r="H128" s="1">
        <f t="shared" si="0"/>
        <v>16878.335925349922</v>
      </c>
      <c r="I128" s="1">
        <v>496.416</v>
      </c>
      <c r="J128" s="1">
        <v>17.071000000000002</v>
      </c>
      <c r="K128" s="1">
        <v>544.56799999999998</v>
      </c>
      <c r="L128" s="1">
        <v>561.63900000000001</v>
      </c>
      <c r="M128" s="1" t="s">
        <v>14</v>
      </c>
    </row>
    <row r="129" spans="1:13" ht="13" x14ac:dyDescent="0.15">
      <c r="A129" s="1">
        <v>1</v>
      </c>
      <c r="B129" s="1">
        <v>4</v>
      </c>
      <c r="C129" s="1">
        <v>8</v>
      </c>
      <c r="D129" s="1" t="s">
        <v>24</v>
      </c>
      <c r="E129" s="1">
        <v>771</v>
      </c>
      <c r="F129" s="1">
        <v>5.3999999999999999E-2</v>
      </c>
      <c r="G129" s="1">
        <v>10144731</v>
      </c>
      <c r="H129" s="1">
        <f t="shared" si="0"/>
        <v>13157.887159533075</v>
      </c>
      <c r="I129" s="1">
        <v>657.98900000000003</v>
      </c>
      <c r="J129" s="1">
        <v>14.279</v>
      </c>
      <c r="K129" s="1">
        <v>707.54700000000003</v>
      </c>
      <c r="L129" s="1">
        <v>721.82500000000005</v>
      </c>
      <c r="M129" s="1" t="s">
        <v>14</v>
      </c>
    </row>
    <row r="130" spans="1:13" ht="13" x14ac:dyDescent="0.15">
      <c r="A130" s="1">
        <v>1</v>
      </c>
      <c r="B130" s="1">
        <v>4</v>
      </c>
      <c r="C130" s="1">
        <v>9</v>
      </c>
      <c r="D130" s="1" t="s">
        <v>16</v>
      </c>
      <c r="E130" s="1">
        <v>761</v>
      </c>
      <c r="F130" s="1">
        <v>5.0999999999999997E-2</v>
      </c>
      <c r="G130" s="1">
        <v>11152198</v>
      </c>
      <c r="H130" s="1">
        <f t="shared" si="0"/>
        <v>14654.662286465178</v>
      </c>
      <c r="I130" s="1">
        <v>692.27</v>
      </c>
      <c r="J130" s="1">
        <v>14.754</v>
      </c>
      <c r="K130" s="1">
        <v>748.899</v>
      </c>
      <c r="L130" s="1">
        <v>763.654</v>
      </c>
      <c r="M130" s="1" t="s">
        <v>14</v>
      </c>
    </row>
    <row r="131" spans="1:13" ht="13" x14ac:dyDescent="0.15">
      <c r="A131" s="1">
        <v>1</v>
      </c>
      <c r="B131" s="1">
        <v>4</v>
      </c>
      <c r="C131" s="1">
        <v>10</v>
      </c>
      <c r="D131" s="1" t="s">
        <v>20</v>
      </c>
      <c r="E131" s="1">
        <v>814</v>
      </c>
      <c r="F131" s="1">
        <v>3.5000000000000003E-2</v>
      </c>
      <c r="G131" s="1">
        <v>19787552</v>
      </c>
      <c r="H131" s="1">
        <f t="shared" si="0"/>
        <v>24309.031941031943</v>
      </c>
      <c r="I131" s="1">
        <v>730.55499999999995</v>
      </c>
      <c r="J131" s="1">
        <v>22.161999999999999</v>
      </c>
      <c r="K131" s="1">
        <v>819.80100000000004</v>
      </c>
      <c r="L131" s="1">
        <v>841.96299999999997</v>
      </c>
      <c r="M131" s="1" t="s">
        <v>14</v>
      </c>
    </row>
    <row r="132" spans="1:13" ht="13" x14ac:dyDescent="0.15">
      <c r="A132" s="1">
        <v>1</v>
      </c>
      <c r="B132" s="1">
        <v>4</v>
      </c>
      <c r="C132" s="1">
        <v>11</v>
      </c>
      <c r="D132" s="1" t="s">
        <v>18</v>
      </c>
      <c r="E132" s="1">
        <v>746</v>
      </c>
      <c r="F132" s="1">
        <v>0.05</v>
      </c>
      <c r="G132" s="1">
        <v>13823866</v>
      </c>
      <c r="H132" s="1">
        <f t="shared" si="0"/>
        <v>18530.65147453083</v>
      </c>
      <c r="I132" s="1">
        <v>917.11</v>
      </c>
      <c r="J132" s="1">
        <v>14.782999999999999</v>
      </c>
      <c r="K132" s="1">
        <v>980.45699999999999</v>
      </c>
      <c r="L132" s="1">
        <v>995.24099999999999</v>
      </c>
      <c r="M132" s="1" t="s">
        <v>14</v>
      </c>
    </row>
    <row r="133" spans="1:13" ht="13" x14ac:dyDescent="0.15">
      <c r="A133" s="1">
        <v>1</v>
      </c>
      <c r="B133" s="1">
        <v>4</v>
      </c>
      <c r="C133" s="1">
        <v>12</v>
      </c>
      <c r="D133" s="1" t="s">
        <v>24</v>
      </c>
      <c r="E133" s="1">
        <v>729</v>
      </c>
      <c r="F133" s="1">
        <v>0.04</v>
      </c>
      <c r="G133" s="1">
        <v>9958313</v>
      </c>
      <c r="H133" s="1">
        <f t="shared" si="0"/>
        <v>13660.237311385459</v>
      </c>
      <c r="I133" s="1">
        <v>472.95100000000002</v>
      </c>
      <c r="J133" s="1">
        <v>14.901</v>
      </c>
      <c r="K133" s="1">
        <v>519.60400000000004</v>
      </c>
      <c r="L133" s="1">
        <v>534.505</v>
      </c>
      <c r="M133" s="1" t="s">
        <v>14</v>
      </c>
    </row>
    <row r="134" spans="1:13" ht="13" x14ac:dyDescent="0.15">
      <c r="A134" s="1">
        <v>1</v>
      </c>
      <c r="B134" s="1">
        <v>4</v>
      </c>
      <c r="C134" s="1">
        <v>13</v>
      </c>
      <c r="D134" s="1" t="s">
        <v>24</v>
      </c>
      <c r="E134" s="1">
        <v>550</v>
      </c>
      <c r="F134" s="1">
        <v>2.5000000000000001E-2</v>
      </c>
      <c r="G134" s="1">
        <v>2330484</v>
      </c>
      <c r="H134" s="1">
        <f t="shared" si="0"/>
        <v>4237.2436363636361</v>
      </c>
      <c r="I134" s="1">
        <v>97.87</v>
      </c>
      <c r="J134" s="1">
        <v>7.4059999999999997</v>
      </c>
      <c r="K134" s="1">
        <v>107.89400000000001</v>
      </c>
      <c r="L134" s="1">
        <v>115.3</v>
      </c>
      <c r="M134" s="1" t="s">
        <v>14</v>
      </c>
    </row>
    <row r="135" spans="1:13" ht="13" x14ac:dyDescent="0.15">
      <c r="A135" s="1">
        <v>1</v>
      </c>
      <c r="B135" s="1">
        <v>4</v>
      </c>
      <c r="C135" s="1">
        <v>14</v>
      </c>
      <c r="D135" s="1" t="s">
        <v>24</v>
      </c>
      <c r="E135" s="1">
        <v>599</v>
      </c>
      <c r="F135" s="1">
        <v>2.5000000000000001E-2</v>
      </c>
      <c r="G135" s="1">
        <v>11919880</v>
      </c>
      <c r="H135" s="1">
        <f t="shared" si="0"/>
        <v>19899.632721202004</v>
      </c>
      <c r="I135" s="1">
        <v>428.68</v>
      </c>
      <c r="J135" s="1">
        <v>17.917000000000002</v>
      </c>
      <c r="K135" s="1">
        <v>488.06</v>
      </c>
      <c r="L135" s="1">
        <v>505.97800000000001</v>
      </c>
      <c r="M135" s="1" t="s">
        <v>14</v>
      </c>
    </row>
    <row r="136" spans="1:13" ht="13" x14ac:dyDescent="0.15">
      <c r="A136" s="1">
        <v>1</v>
      </c>
      <c r="B136" s="1">
        <v>4</v>
      </c>
      <c r="C136" s="1">
        <v>15</v>
      </c>
      <c r="D136" s="1" t="s">
        <v>24</v>
      </c>
      <c r="E136" s="1">
        <v>454</v>
      </c>
      <c r="F136" s="1">
        <v>1.4999999999999999E-2</v>
      </c>
      <c r="G136" s="1">
        <v>7598429</v>
      </c>
      <c r="H136" s="1">
        <f t="shared" si="0"/>
        <v>16736.627753303965</v>
      </c>
      <c r="I136" s="1">
        <v>188.99100000000001</v>
      </c>
      <c r="J136" s="1">
        <v>16.277999999999999</v>
      </c>
      <c r="K136" s="1">
        <v>225.017</v>
      </c>
      <c r="L136" s="1">
        <v>241.29499999999999</v>
      </c>
      <c r="M136" s="1" t="s">
        <v>14</v>
      </c>
    </row>
    <row r="137" spans="1:13" ht="13" x14ac:dyDescent="0.15">
      <c r="A137" s="1">
        <v>1</v>
      </c>
      <c r="B137" s="1">
        <v>4</v>
      </c>
      <c r="C137" s="1">
        <v>16</v>
      </c>
      <c r="D137" s="1" t="s">
        <v>24</v>
      </c>
      <c r="E137" s="1">
        <v>761</v>
      </c>
      <c r="F137" s="1">
        <v>4.8000000000000001E-2</v>
      </c>
      <c r="G137" s="1">
        <v>2624173</v>
      </c>
      <c r="H137" s="1">
        <f t="shared" si="0"/>
        <v>3448.3219448094615</v>
      </c>
      <c r="I137" s="1">
        <v>163.43700000000001</v>
      </c>
      <c r="J137" s="1">
        <v>6.9619999999999997</v>
      </c>
      <c r="K137" s="1">
        <v>176.50200000000001</v>
      </c>
      <c r="L137" s="1">
        <v>183.46299999999999</v>
      </c>
      <c r="M137" s="1" t="s">
        <v>14</v>
      </c>
    </row>
    <row r="138" spans="1:13" ht="13" x14ac:dyDescent="0.15">
      <c r="A138" s="1">
        <v>1</v>
      </c>
      <c r="B138" s="1">
        <v>4</v>
      </c>
      <c r="C138" s="1">
        <v>17</v>
      </c>
      <c r="D138" s="1" t="s">
        <v>21</v>
      </c>
      <c r="E138" s="1">
        <v>661</v>
      </c>
      <c r="F138" s="1">
        <v>4.1000000000000002E-2</v>
      </c>
      <c r="G138" s="1">
        <v>15289054</v>
      </c>
      <c r="H138" s="1">
        <f t="shared" si="0"/>
        <v>23130.187594553707</v>
      </c>
      <c r="I138" s="1">
        <v>876.13499999999999</v>
      </c>
      <c r="J138" s="1">
        <v>19.972999999999999</v>
      </c>
      <c r="K138" s="1">
        <v>952.37400000000002</v>
      </c>
      <c r="L138" s="1">
        <v>972.34799999999996</v>
      </c>
      <c r="M138" s="1" t="s">
        <v>14</v>
      </c>
    </row>
    <row r="139" spans="1:13" ht="13" x14ac:dyDescent="0.15">
      <c r="A139" s="1">
        <v>1</v>
      </c>
      <c r="B139" s="1">
        <v>4</v>
      </c>
      <c r="C139" s="1">
        <v>18</v>
      </c>
      <c r="D139" s="1" t="s">
        <v>24</v>
      </c>
      <c r="E139" s="1">
        <v>737</v>
      </c>
      <c r="F139" s="1">
        <v>2.5999999999999999E-2</v>
      </c>
      <c r="G139" s="1">
        <v>14718525</v>
      </c>
      <c r="H139" s="1">
        <f t="shared" si="0"/>
        <v>19970.861601085482</v>
      </c>
      <c r="I139" s="1">
        <v>437.49299999999999</v>
      </c>
      <c r="J139" s="1">
        <v>21.47</v>
      </c>
      <c r="K139" s="1">
        <v>506.22500000000002</v>
      </c>
      <c r="L139" s="1">
        <v>527.69500000000005</v>
      </c>
      <c r="M139" s="1" t="s">
        <v>14</v>
      </c>
    </row>
    <row r="140" spans="1:13" ht="13" x14ac:dyDescent="0.15">
      <c r="A140" s="1">
        <v>1</v>
      </c>
      <c r="B140" s="1">
        <v>4</v>
      </c>
      <c r="C140" s="1">
        <v>19</v>
      </c>
      <c r="D140" s="1" t="s">
        <v>22</v>
      </c>
      <c r="E140" s="1">
        <v>702</v>
      </c>
      <c r="F140" s="1">
        <v>2.3E-2</v>
      </c>
      <c r="G140" s="1">
        <v>6140424</v>
      </c>
      <c r="H140" s="1">
        <f t="shared" si="0"/>
        <v>8747.0427350427344</v>
      </c>
      <c r="I140" s="1">
        <v>159.85499999999999</v>
      </c>
      <c r="J140" s="1">
        <v>11.821999999999999</v>
      </c>
      <c r="K140" s="1">
        <v>189.05</v>
      </c>
      <c r="L140" s="1">
        <v>200.87200000000001</v>
      </c>
      <c r="M140" s="1" t="s">
        <v>14</v>
      </c>
    </row>
    <row r="141" spans="1:13" ht="13" x14ac:dyDescent="0.15">
      <c r="A141" s="1">
        <v>1</v>
      </c>
      <c r="B141" s="1">
        <v>4</v>
      </c>
      <c r="C141" s="1">
        <v>20</v>
      </c>
      <c r="D141" s="1" t="s">
        <v>24</v>
      </c>
      <c r="E141" s="1">
        <v>571</v>
      </c>
      <c r="F141" s="1">
        <v>2.1000000000000001E-2</v>
      </c>
      <c r="G141" s="1">
        <v>11185287</v>
      </c>
      <c r="H141" s="1">
        <f t="shared" si="0"/>
        <v>19588.943957968477</v>
      </c>
      <c r="I141" s="1">
        <v>375.09699999999998</v>
      </c>
      <c r="J141" s="1">
        <v>21.39</v>
      </c>
      <c r="K141" s="1">
        <v>426.14699999999999</v>
      </c>
      <c r="L141" s="1">
        <v>447.53699999999998</v>
      </c>
      <c r="M141" s="1" t="s">
        <v>14</v>
      </c>
    </row>
    <row r="142" spans="1:13" ht="13" x14ac:dyDescent="0.15">
      <c r="A142" s="1">
        <v>4</v>
      </c>
      <c r="B142" s="1">
        <v>1</v>
      </c>
      <c r="C142" s="1">
        <v>1</v>
      </c>
      <c r="D142" s="1" t="s">
        <v>24</v>
      </c>
      <c r="E142" s="1">
        <v>534</v>
      </c>
      <c r="F142" s="1">
        <v>2.1999999999999999E-2</v>
      </c>
      <c r="G142" s="1">
        <v>10889032</v>
      </c>
      <c r="H142" s="1">
        <f t="shared" si="0"/>
        <v>20391.445692883895</v>
      </c>
      <c r="I142" s="1">
        <v>372.78100000000001</v>
      </c>
      <c r="J142" s="1">
        <v>16.119</v>
      </c>
      <c r="K142" s="1">
        <v>422.25400000000002</v>
      </c>
      <c r="L142" s="1">
        <v>438.37299999999999</v>
      </c>
      <c r="M142" s="1" t="s">
        <v>14</v>
      </c>
    </row>
    <row r="143" spans="1:13" ht="13" x14ac:dyDescent="0.15">
      <c r="A143" s="1">
        <v>4</v>
      </c>
      <c r="B143" s="1">
        <v>1</v>
      </c>
      <c r="C143" s="1">
        <v>2</v>
      </c>
      <c r="D143" s="1" t="s">
        <v>24</v>
      </c>
      <c r="E143" s="1">
        <v>449</v>
      </c>
      <c r="F143" s="1">
        <v>1.2999999999999999E-2</v>
      </c>
      <c r="G143" s="1">
        <v>6848493</v>
      </c>
      <c r="H143" s="1">
        <f t="shared" si="0"/>
        <v>15252.768374164811</v>
      </c>
      <c r="I143" s="1">
        <v>182.042</v>
      </c>
      <c r="J143" s="1">
        <v>19.648</v>
      </c>
      <c r="K143" s="1">
        <v>208.08699999999999</v>
      </c>
      <c r="L143" s="1">
        <v>227.73599999999999</v>
      </c>
      <c r="M143" s="1" t="s">
        <v>14</v>
      </c>
    </row>
    <row r="144" spans="1:13" ht="13" x14ac:dyDescent="0.15">
      <c r="A144" s="1">
        <v>4</v>
      </c>
      <c r="B144" s="1">
        <v>1</v>
      </c>
      <c r="C144" s="1">
        <v>3</v>
      </c>
      <c r="D144" s="1" t="s">
        <v>24</v>
      </c>
      <c r="E144" s="1">
        <v>878</v>
      </c>
      <c r="F144" s="1">
        <v>7.0999999999999994E-2</v>
      </c>
      <c r="G144" s="1">
        <v>3152728</v>
      </c>
      <c r="H144" s="1">
        <f t="shared" si="0"/>
        <v>3590.8063781321184</v>
      </c>
      <c r="I144" s="1">
        <v>229.64099999999999</v>
      </c>
      <c r="J144" s="1">
        <v>6.8289999999999997</v>
      </c>
      <c r="K144" s="1">
        <v>244.15700000000001</v>
      </c>
      <c r="L144" s="1">
        <v>250.98599999999999</v>
      </c>
      <c r="M144" s="1" t="s">
        <v>14</v>
      </c>
    </row>
    <row r="145" spans="1:13" ht="13" x14ac:dyDescent="0.15">
      <c r="A145" s="1">
        <v>4</v>
      </c>
      <c r="B145" s="1">
        <v>1</v>
      </c>
      <c r="C145" s="1">
        <v>4</v>
      </c>
      <c r="D145" s="1" t="s">
        <v>24</v>
      </c>
      <c r="E145" s="1">
        <v>678</v>
      </c>
      <c r="F145" s="1">
        <v>2.7E-2</v>
      </c>
      <c r="G145" s="1">
        <v>8040372</v>
      </c>
      <c r="H145" s="1">
        <f t="shared" si="0"/>
        <v>11858.955752212389</v>
      </c>
      <c r="I145" s="1">
        <v>267.30799999999999</v>
      </c>
      <c r="J145" s="1">
        <v>14.025</v>
      </c>
      <c r="K145" s="1">
        <v>304.84899999999999</v>
      </c>
      <c r="L145" s="1">
        <v>318.87400000000002</v>
      </c>
      <c r="M145" s="1" t="s">
        <v>14</v>
      </c>
    </row>
    <row r="146" spans="1:13" ht="13" x14ac:dyDescent="0.15">
      <c r="A146" s="1">
        <v>4</v>
      </c>
      <c r="B146" s="1">
        <v>1</v>
      </c>
      <c r="C146" s="1">
        <v>5</v>
      </c>
      <c r="D146" s="1" t="s">
        <v>24</v>
      </c>
      <c r="E146" s="1">
        <v>524</v>
      </c>
      <c r="F146" s="1">
        <v>0.02</v>
      </c>
      <c r="G146" s="1">
        <v>2748493</v>
      </c>
      <c r="H146" s="1">
        <f t="shared" si="0"/>
        <v>5245.2156488549617</v>
      </c>
      <c r="I146" s="1">
        <v>78.986000000000004</v>
      </c>
      <c r="J146" s="1">
        <v>8.94</v>
      </c>
      <c r="K146" s="1">
        <v>90.706999999999994</v>
      </c>
      <c r="L146" s="1">
        <v>99.647999999999996</v>
      </c>
      <c r="M146" s="1" t="s">
        <v>14</v>
      </c>
    </row>
    <row r="147" spans="1:13" ht="13" x14ac:dyDescent="0.15">
      <c r="A147" s="1">
        <v>4</v>
      </c>
      <c r="B147" s="1">
        <v>1</v>
      </c>
      <c r="C147" s="1">
        <v>6</v>
      </c>
      <c r="D147" s="1" t="s">
        <v>24</v>
      </c>
      <c r="E147" s="1">
        <v>555</v>
      </c>
      <c r="F147" s="1">
        <v>1.7999999999999999E-2</v>
      </c>
      <c r="G147" s="1">
        <v>13624443</v>
      </c>
      <c r="H147" s="1">
        <f t="shared" si="0"/>
        <v>24548.545945945945</v>
      </c>
      <c r="I147" s="1">
        <v>372.18799999999999</v>
      </c>
      <c r="J147" s="1">
        <v>24.867000000000001</v>
      </c>
      <c r="K147" s="1">
        <v>438.00299999999999</v>
      </c>
      <c r="L147" s="1">
        <v>462.87099999999998</v>
      </c>
      <c r="M147" s="1" t="s">
        <v>14</v>
      </c>
    </row>
    <row r="148" spans="1:13" ht="13" x14ac:dyDescent="0.15">
      <c r="A148" s="1">
        <v>4</v>
      </c>
      <c r="B148" s="1">
        <v>1</v>
      </c>
      <c r="C148" s="1">
        <v>7</v>
      </c>
      <c r="D148" s="1" t="s">
        <v>24</v>
      </c>
      <c r="E148" s="1">
        <v>643</v>
      </c>
      <c r="F148" s="1">
        <v>3.7999999999999999E-2</v>
      </c>
      <c r="G148" s="1">
        <v>11943117</v>
      </c>
      <c r="H148" s="1">
        <f t="shared" si="0"/>
        <v>18574.054432348366</v>
      </c>
      <c r="I148" s="1">
        <v>591.22699999999998</v>
      </c>
      <c r="J148" s="1">
        <v>17.957000000000001</v>
      </c>
      <c r="K148" s="1">
        <v>646.64</v>
      </c>
      <c r="L148" s="1">
        <v>664.59699999999998</v>
      </c>
      <c r="M148" s="1" t="s">
        <v>14</v>
      </c>
    </row>
    <row r="149" spans="1:13" ht="13" x14ac:dyDescent="0.15">
      <c r="A149" s="1">
        <v>4</v>
      </c>
      <c r="B149" s="1">
        <v>1</v>
      </c>
      <c r="C149" s="1">
        <v>8</v>
      </c>
      <c r="D149" s="1" t="s">
        <v>24</v>
      </c>
      <c r="E149" s="1">
        <v>771</v>
      </c>
      <c r="F149" s="1">
        <v>3.4000000000000002E-2</v>
      </c>
      <c r="G149" s="1">
        <v>11677182</v>
      </c>
      <c r="H149" s="1">
        <f t="shared" si="0"/>
        <v>15145.501945525291</v>
      </c>
      <c r="I149" s="1">
        <v>476.76</v>
      </c>
      <c r="J149" s="1">
        <v>16.056000000000001</v>
      </c>
      <c r="K149" s="1">
        <v>529.85599999999999</v>
      </c>
      <c r="L149" s="1">
        <v>545.91200000000003</v>
      </c>
      <c r="M149" s="1" t="s">
        <v>14</v>
      </c>
    </row>
    <row r="150" spans="1:13" ht="13" x14ac:dyDescent="0.15">
      <c r="A150" s="1">
        <v>4</v>
      </c>
      <c r="B150" s="1">
        <v>1</v>
      </c>
      <c r="C150" s="1">
        <v>9</v>
      </c>
      <c r="D150" s="1" t="s">
        <v>24</v>
      </c>
      <c r="E150" s="1">
        <v>761</v>
      </c>
      <c r="F150" s="1">
        <v>2.4E-2</v>
      </c>
      <c r="G150" s="1">
        <v>10011255</v>
      </c>
      <c r="H150" s="1">
        <f t="shared" si="0"/>
        <v>13155.394218134034</v>
      </c>
      <c r="I150" s="1">
        <v>247.202</v>
      </c>
      <c r="J150" s="1">
        <v>13.583</v>
      </c>
      <c r="K150" s="1">
        <v>298.38499999999999</v>
      </c>
      <c r="L150" s="1">
        <v>311.96800000000002</v>
      </c>
      <c r="M150" s="1" t="s">
        <v>14</v>
      </c>
    </row>
    <row r="151" spans="1:13" ht="13" x14ac:dyDescent="0.15">
      <c r="A151" s="1">
        <v>4</v>
      </c>
      <c r="B151" s="1">
        <v>1</v>
      </c>
      <c r="C151" s="1">
        <v>10</v>
      </c>
      <c r="D151" s="1" t="s">
        <v>20</v>
      </c>
      <c r="E151" s="1">
        <v>814</v>
      </c>
      <c r="F151" s="1">
        <v>0.03</v>
      </c>
      <c r="G151" s="1">
        <v>18214063</v>
      </c>
      <c r="H151" s="1">
        <f t="shared" si="0"/>
        <v>22375.998771498773</v>
      </c>
      <c r="I151" s="1">
        <v>583.51099999999997</v>
      </c>
      <c r="J151" s="1">
        <v>20.786999999999999</v>
      </c>
      <c r="K151" s="1">
        <v>667.26199999999994</v>
      </c>
      <c r="L151" s="1">
        <v>688.048</v>
      </c>
      <c r="M151" s="1" t="s">
        <v>14</v>
      </c>
    </row>
    <row r="152" spans="1:13" ht="13" x14ac:dyDescent="0.15">
      <c r="A152" s="1">
        <v>4</v>
      </c>
      <c r="B152" s="1">
        <v>1</v>
      </c>
      <c r="C152" s="1">
        <v>11</v>
      </c>
      <c r="D152" s="1" t="s">
        <v>24</v>
      </c>
      <c r="E152" s="1">
        <v>746</v>
      </c>
      <c r="F152" s="1">
        <v>4.3999999999999997E-2</v>
      </c>
      <c r="G152" s="1">
        <v>12350538</v>
      </c>
      <c r="H152" s="1">
        <f t="shared" si="0"/>
        <v>16555.680965147454</v>
      </c>
      <c r="I152" s="1">
        <v>641.04499999999996</v>
      </c>
      <c r="J152" s="1">
        <v>14.285</v>
      </c>
      <c r="K152" s="1">
        <v>702.94</v>
      </c>
      <c r="L152" s="1">
        <v>717.22500000000002</v>
      </c>
      <c r="M152" s="1" t="s">
        <v>14</v>
      </c>
    </row>
    <row r="153" spans="1:13" ht="13" x14ac:dyDescent="0.15">
      <c r="A153" s="1">
        <v>4</v>
      </c>
      <c r="B153" s="1">
        <v>1</v>
      </c>
      <c r="C153" s="1">
        <v>12</v>
      </c>
      <c r="D153" s="1" t="s">
        <v>24</v>
      </c>
      <c r="E153" s="1">
        <v>729</v>
      </c>
      <c r="F153" s="1">
        <v>3.6999999999999998E-2</v>
      </c>
      <c r="G153" s="1">
        <v>8587520</v>
      </c>
      <c r="H153" s="1">
        <f t="shared" si="0"/>
        <v>11779.862825788752</v>
      </c>
      <c r="I153" s="1">
        <v>334.339</v>
      </c>
      <c r="J153" s="1">
        <v>14.183</v>
      </c>
      <c r="K153" s="1">
        <v>372.22500000000002</v>
      </c>
      <c r="L153" s="1">
        <v>386.40800000000002</v>
      </c>
      <c r="M153" s="1" t="s">
        <v>14</v>
      </c>
    </row>
    <row r="154" spans="1:13" ht="13" x14ac:dyDescent="0.15">
      <c r="A154" s="1">
        <v>4</v>
      </c>
      <c r="B154" s="1">
        <v>1</v>
      </c>
      <c r="C154" s="1">
        <v>13</v>
      </c>
      <c r="D154" s="1" t="s">
        <v>24</v>
      </c>
      <c r="E154" s="1">
        <v>550</v>
      </c>
      <c r="F154" s="1">
        <v>2.5999999999999999E-2</v>
      </c>
      <c r="G154" s="1">
        <v>1307621</v>
      </c>
      <c r="H154" s="1">
        <f t="shared" si="0"/>
        <v>2377.4927272727273</v>
      </c>
      <c r="I154" s="1">
        <v>40.643000000000001</v>
      </c>
      <c r="J154" s="1">
        <v>5.9139999999999997</v>
      </c>
      <c r="K154" s="1">
        <v>46.64</v>
      </c>
      <c r="L154" s="1">
        <v>52.554000000000002</v>
      </c>
      <c r="M154" s="1" t="s">
        <v>14</v>
      </c>
    </row>
    <row r="155" spans="1:13" ht="13" x14ac:dyDescent="0.15">
      <c r="A155" s="1">
        <v>4</v>
      </c>
      <c r="B155" s="1">
        <v>1</v>
      </c>
      <c r="C155" s="1">
        <v>14</v>
      </c>
      <c r="D155" s="1" t="s">
        <v>30</v>
      </c>
      <c r="E155" s="1">
        <v>599</v>
      </c>
      <c r="F155" s="1">
        <v>3.4000000000000002E-2</v>
      </c>
      <c r="G155" s="1">
        <v>10784962</v>
      </c>
      <c r="H155" s="1">
        <f t="shared" si="0"/>
        <v>18004.9449081803</v>
      </c>
      <c r="I155" s="1">
        <v>596.18899999999996</v>
      </c>
      <c r="J155" s="1">
        <v>17.585999999999999</v>
      </c>
      <c r="K155" s="1">
        <v>649.99599999999998</v>
      </c>
      <c r="L155" s="1">
        <v>667.58299999999997</v>
      </c>
      <c r="M155" s="1" t="s">
        <v>14</v>
      </c>
    </row>
    <row r="156" spans="1:13" ht="13" x14ac:dyDescent="0.15">
      <c r="A156" s="1">
        <v>4</v>
      </c>
      <c r="B156" s="1">
        <v>1</v>
      </c>
      <c r="C156" s="1">
        <v>15</v>
      </c>
      <c r="D156" s="1" t="s">
        <v>24</v>
      </c>
      <c r="E156" s="1">
        <v>454</v>
      </c>
      <c r="F156" s="1">
        <v>2.1000000000000001E-2</v>
      </c>
      <c r="G156" s="1">
        <v>8420312</v>
      </c>
      <c r="H156" s="1">
        <f t="shared" si="0"/>
        <v>18546.942731277533</v>
      </c>
      <c r="I156" s="1">
        <v>378.40499999999997</v>
      </c>
      <c r="J156" s="1">
        <v>17.396000000000001</v>
      </c>
      <c r="K156" s="1">
        <v>416.40300000000002</v>
      </c>
      <c r="L156" s="1">
        <v>433.79899999999998</v>
      </c>
      <c r="M156" s="1" t="s">
        <v>14</v>
      </c>
    </row>
    <row r="157" spans="1:13" ht="13" x14ac:dyDescent="0.15">
      <c r="A157" s="1">
        <v>4</v>
      </c>
      <c r="B157" s="1">
        <v>1</v>
      </c>
      <c r="C157" s="1">
        <v>16</v>
      </c>
      <c r="D157" s="1" t="s">
        <v>24</v>
      </c>
      <c r="E157" s="1">
        <v>761</v>
      </c>
      <c r="F157" s="1">
        <v>2.8000000000000001E-2</v>
      </c>
      <c r="G157" s="1">
        <v>1959938</v>
      </c>
      <c r="H157" s="1">
        <f t="shared" si="0"/>
        <v>2575.4770039421815</v>
      </c>
      <c r="I157" s="1">
        <v>61.177</v>
      </c>
      <c r="J157" s="1">
        <v>6.0720000000000001</v>
      </c>
      <c r="K157" s="1">
        <v>69.094999999999999</v>
      </c>
      <c r="L157" s="1">
        <v>75.167000000000002</v>
      </c>
      <c r="M157" s="1" t="s">
        <v>14</v>
      </c>
    </row>
    <row r="158" spans="1:13" ht="13" x14ac:dyDescent="0.15">
      <c r="A158" s="1">
        <v>4</v>
      </c>
      <c r="B158" s="1">
        <v>1</v>
      </c>
      <c r="C158" s="1">
        <v>17</v>
      </c>
      <c r="D158" s="1" t="s">
        <v>21</v>
      </c>
      <c r="E158" s="1">
        <v>661</v>
      </c>
      <c r="F158" s="1">
        <v>3.2000000000000001E-2</v>
      </c>
      <c r="G158" s="1">
        <v>13655032</v>
      </c>
      <c r="H158" s="1">
        <f t="shared" si="0"/>
        <v>20658.142208774585</v>
      </c>
      <c r="I158" s="1">
        <v>601.59199999999998</v>
      </c>
      <c r="J158" s="1">
        <v>19.416</v>
      </c>
      <c r="K158" s="1">
        <v>669.9</v>
      </c>
      <c r="L158" s="1">
        <v>689.31600000000003</v>
      </c>
      <c r="M158" s="1" t="s">
        <v>14</v>
      </c>
    </row>
    <row r="159" spans="1:13" ht="13" x14ac:dyDescent="0.15">
      <c r="A159" s="1">
        <v>4</v>
      </c>
      <c r="B159" s="1">
        <v>1</v>
      </c>
      <c r="C159" s="1">
        <v>18</v>
      </c>
      <c r="D159" s="1" t="s">
        <v>24</v>
      </c>
      <c r="E159" s="1">
        <v>737</v>
      </c>
      <c r="F159" s="1">
        <v>5.7000000000000002E-2</v>
      </c>
      <c r="G159" s="1">
        <v>18082971</v>
      </c>
      <c r="H159" s="1">
        <f t="shared" si="0"/>
        <v>24535.917232021711</v>
      </c>
      <c r="I159" s="1">
        <v>1414.2380000000001</v>
      </c>
      <c r="J159" s="1">
        <v>23.925999999999998</v>
      </c>
      <c r="K159" s="1">
        <v>1494.6389999999999</v>
      </c>
      <c r="L159" s="1">
        <v>1518.5650000000001</v>
      </c>
      <c r="M159" s="1" t="s">
        <v>14</v>
      </c>
    </row>
    <row r="160" spans="1:13" ht="13" x14ac:dyDescent="0.15">
      <c r="A160" s="1">
        <v>4</v>
      </c>
      <c r="B160" s="1">
        <v>1</v>
      </c>
      <c r="C160" s="1">
        <v>19</v>
      </c>
      <c r="D160" s="1" t="s">
        <v>22</v>
      </c>
      <c r="E160" s="1">
        <v>702</v>
      </c>
      <c r="F160" s="1">
        <v>3.6999999999999998E-2</v>
      </c>
      <c r="G160" s="1">
        <v>5976894</v>
      </c>
      <c r="H160" s="1">
        <f t="shared" si="0"/>
        <v>8514.0940170940175</v>
      </c>
      <c r="I160" s="1">
        <v>276.899</v>
      </c>
      <c r="J160" s="1">
        <v>11.085000000000001</v>
      </c>
      <c r="K160" s="1">
        <v>302.80399999999997</v>
      </c>
      <c r="L160" s="1">
        <v>313.88900000000001</v>
      </c>
      <c r="M160" s="1" t="s">
        <v>14</v>
      </c>
    </row>
    <row r="161" spans="1:13" ht="13" x14ac:dyDescent="0.15">
      <c r="A161" s="1">
        <v>4</v>
      </c>
      <c r="B161" s="1">
        <v>1</v>
      </c>
      <c r="C161" s="1">
        <v>20</v>
      </c>
      <c r="D161" s="1" t="s">
        <v>24</v>
      </c>
      <c r="E161" s="1">
        <v>571</v>
      </c>
      <c r="F161" s="1">
        <v>0.02</v>
      </c>
      <c r="G161" s="1">
        <v>13673424</v>
      </c>
      <c r="H161" s="1">
        <f t="shared" si="0"/>
        <v>23946.451838879158</v>
      </c>
      <c r="I161" s="1">
        <v>402.94900000000001</v>
      </c>
      <c r="J161" s="1">
        <v>22.355</v>
      </c>
      <c r="K161" s="1">
        <v>467.12700000000001</v>
      </c>
      <c r="L161" s="1">
        <v>489.48200000000003</v>
      </c>
      <c r="M161" s="1" t="s">
        <v>14</v>
      </c>
    </row>
    <row r="162" spans="1:13" ht="13" x14ac:dyDescent="0.15">
      <c r="A162" s="1">
        <v>2</v>
      </c>
      <c r="B162" s="1">
        <v>3</v>
      </c>
      <c r="C162" s="1">
        <v>1</v>
      </c>
      <c r="D162" s="1" t="s">
        <v>24</v>
      </c>
      <c r="E162" s="1">
        <v>534</v>
      </c>
      <c r="F162" s="1">
        <v>3.2000000000000001E-2</v>
      </c>
      <c r="G162" s="1">
        <v>10181723</v>
      </c>
      <c r="H162" s="1">
        <f t="shared" si="0"/>
        <v>19066.897003745318</v>
      </c>
      <c r="I162" s="1">
        <v>608.49699999999996</v>
      </c>
      <c r="J162" s="1">
        <v>16.885999999999999</v>
      </c>
      <c r="K162" s="1">
        <v>653.59400000000005</v>
      </c>
      <c r="L162" s="1">
        <v>670.48</v>
      </c>
      <c r="M162" s="1" t="s">
        <v>14</v>
      </c>
    </row>
    <row r="163" spans="1:13" ht="13" x14ac:dyDescent="0.15">
      <c r="A163" s="1">
        <v>2</v>
      </c>
      <c r="B163" s="1">
        <v>3</v>
      </c>
      <c r="C163" s="1">
        <v>2</v>
      </c>
      <c r="D163" s="1" t="s">
        <v>24</v>
      </c>
      <c r="E163" s="1">
        <v>449</v>
      </c>
      <c r="F163" s="1">
        <v>1.7000000000000001E-2</v>
      </c>
      <c r="G163" s="1">
        <v>9498470</v>
      </c>
      <c r="H163" s="1">
        <f t="shared" si="0"/>
        <v>21154.721603563474</v>
      </c>
      <c r="I163" s="1">
        <v>332.05200000000002</v>
      </c>
      <c r="J163" s="1">
        <v>24.541</v>
      </c>
      <c r="K163" s="1">
        <v>370.93</v>
      </c>
      <c r="L163" s="1">
        <v>395.471</v>
      </c>
      <c r="M163" s="1" t="s">
        <v>14</v>
      </c>
    </row>
    <row r="164" spans="1:13" ht="13" x14ac:dyDescent="0.15">
      <c r="A164" s="1">
        <v>2</v>
      </c>
      <c r="B164" s="1">
        <v>3</v>
      </c>
      <c r="C164" s="1">
        <v>3</v>
      </c>
      <c r="D164" s="1" t="s">
        <v>24</v>
      </c>
      <c r="E164" s="1">
        <v>878</v>
      </c>
      <c r="F164" s="1">
        <v>6.5000000000000002E-2</v>
      </c>
      <c r="G164" s="1">
        <v>4944594</v>
      </c>
      <c r="H164" s="1">
        <f t="shared" si="0"/>
        <v>5631.6560364464694</v>
      </c>
      <c r="I164" s="1">
        <v>303.27300000000002</v>
      </c>
      <c r="J164" s="1">
        <v>9.0190000000000001</v>
      </c>
      <c r="K164" s="1">
        <v>321.68900000000002</v>
      </c>
      <c r="L164" s="1">
        <v>330.70800000000003</v>
      </c>
      <c r="M164" s="1" t="s">
        <v>14</v>
      </c>
    </row>
    <row r="165" spans="1:13" ht="13" x14ac:dyDescent="0.15">
      <c r="A165" s="1">
        <v>2</v>
      </c>
      <c r="B165" s="1">
        <v>3</v>
      </c>
      <c r="C165" s="1">
        <v>4</v>
      </c>
      <c r="D165" s="1" t="s">
        <v>19</v>
      </c>
      <c r="E165" s="1">
        <v>678</v>
      </c>
      <c r="F165" s="1">
        <v>4.9000000000000002E-2</v>
      </c>
      <c r="G165" s="1">
        <v>17029110</v>
      </c>
      <c r="H165" s="1">
        <f t="shared" si="0"/>
        <v>25116.681415929204</v>
      </c>
      <c r="I165" s="1">
        <v>1338.758</v>
      </c>
      <c r="J165" s="1">
        <v>24.123999999999999</v>
      </c>
      <c r="K165" s="1">
        <v>1420.325</v>
      </c>
      <c r="L165" s="1">
        <v>1444.4490000000001</v>
      </c>
      <c r="M165" s="1" t="s">
        <v>14</v>
      </c>
    </row>
    <row r="166" spans="1:13" ht="13" x14ac:dyDescent="0.15">
      <c r="A166" s="1">
        <v>2</v>
      </c>
      <c r="B166" s="1">
        <v>3</v>
      </c>
      <c r="C166" s="1">
        <v>5</v>
      </c>
      <c r="D166" s="1" t="s">
        <v>24</v>
      </c>
      <c r="E166" s="1">
        <v>524</v>
      </c>
      <c r="F166" s="1">
        <v>0.02</v>
      </c>
      <c r="G166" s="1">
        <v>6424806</v>
      </c>
      <c r="H166" s="1">
        <f t="shared" si="0"/>
        <v>12261.080152671755</v>
      </c>
      <c r="I166" s="1">
        <v>205.864</v>
      </c>
      <c r="J166" s="1">
        <v>15.000999999999999</v>
      </c>
      <c r="K166" s="1">
        <v>232.77600000000001</v>
      </c>
      <c r="L166" s="1">
        <v>247.77699999999999</v>
      </c>
      <c r="M166" s="1" t="s">
        <v>14</v>
      </c>
    </row>
    <row r="167" spans="1:13" ht="13" x14ac:dyDescent="0.15">
      <c r="A167" s="1">
        <v>2</v>
      </c>
      <c r="B167" s="1">
        <v>3</v>
      </c>
      <c r="C167" s="1">
        <v>6</v>
      </c>
      <c r="D167" s="1" t="s">
        <v>24</v>
      </c>
      <c r="E167" s="1">
        <v>555</v>
      </c>
      <c r="F167" s="1">
        <v>1.7999999999999999E-2</v>
      </c>
      <c r="G167" s="1">
        <v>12405314</v>
      </c>
      <c r="H167" s="1">
        <f t="shared" si="0"/>
        <v>22351.917117117118</v>
      </c>
      <c r="I167" s="1">
        <v>324.06799999999998</v>
      </c>
      <c r="J167" s="1">
        <v>24.533000000000001</v>
      </c>
      <c r="K167" s="1">
        <v>383.04700000000003</v>
      </c>
      <c r="L167" s="1">
        <v>407.58</v>
      </c>
      <c r="M167" s="1" t="s">
        <v>14</v>
      </c>
    </row>
    <row r="168" spans="1:13" ht="13" x14ac:dyDescent="0.15">
      <c r="A168" s="1">
        <v>2</v>
      </c>
      <c r="B168" s="1">
        <v>3</v>
      </c>
      <c r="C168" s="1">
        <v>7</v>
      </c>
      <c r="D168" s="1" t="s">
        <v>27</v>
      </c>
      <c r="E168" s="1">
        <v>643</v>
      </c>
      <c r="F168" s="1">
        <v>0.04</v>
      </c>
      <c r="G168" s="1">
        <v>16438191</v>
      </c>
      <c r="H168" s="1">
        <f t="shared" si="0"/>
        <v>25564.838258164851</v>
      </c>
      <c r="I168" s="1">
        <v>932.75900000000001</v>
      </c>
      <c r="J168" s="1">
        <v>22.3</v>
      </c>
      <c r="K168" s="1">
        <v>1004.864</v>
      </c>
      <c r="L168" s="1">
        <v>1027.164</v>
      </c>
      <c r="M168" s="1" t="s">
        <v>14</v>
      </c>
    </row>
    <row r="169" spans="1:13" ht="13" x14ac:dyDescent="0.15">
      <c r="A169" s="1">
        <v>2</v>
      </c>
      <c r="B169" s="1">
        <v>3</v>
      </c>
      <c r="C169" s="1">
        <v>8</v>
      </c>
      <c r="D169" s="1" t="s">
        <v>24</v>
      </c>
      <c r="E169" s="1">
        <v>771</v>
      </c>
      <c r="F169" s="1">
        <v>5.8000000000000003E-2</v>
      </c>
      <c r="G169" s="1">
        <v>11914140</v>
      </c>
      <c r="H169" s="1">
        <f t="shared" si="0"/>
        <v>15452.840466926071</v>
      </c>
      <c r="I169" s="1">
        <v>884.601</v>
      </c>
      <c r="J169" s="1">
        <v>16.701000000000001</v>
      </c>
      <c r="K169" s="1">
        <v>938.99400000000003</v>
      </c>
      <c r="L169" s="1">
        <v>955.69500000000005</v>
      </c>
      <c r="M169" s="1" t="s">
        <v>14</v>
      </c>
    </row>
    <row r="170" spans="1:13" ht="13" x14ac:dyDescent="0.15">
      <c r="A170" s="1">
        <v>2</v>
      </c>
      <c r="B170" s="1">
        <v>3</v>
      </c>
      <c r="C170" s="1">
        <v>9</v>
      </c>
      <c r="D170" s="1" t="s">
        <v>25</v>
      </c>
      <c r="E170" s="1">
        <v>761</v>
      </c>
      <c r="F170" s="1">
        <v>6.7000000000000004E-2</v>
      </c>
      <c r="G170" s="1">
        <v>16442791</v>
      </c>
      <c r="H170" s="1">
        <f t="shared" si="0"/>
        <v>21606.821287779239</v>
      </c>
      <c r="I170" s="1">
        <v>1331.7049999999999</v>
      </c>
      <c r="J170" s="1">
        <v>18.338999999999999</v>
      </c>
      <c r="K170" s="1">
        <v>1414.519</v>
      </c>
      <c r="L170" s="1">
        <v>1432.8579999999999</v>
      </c>
      <c r="M170" s="1" t="s">
        <v>14</v>
      </c>
    </row>
    <row r="171" spans="1:13" ht="13" x14ac:dyDescent="0.15">
      <c r="A171" s="1">
        <v>2</v>
      </c>
      <c r="B171" s="1">
        <v>3</v>
      </c>
      <c r="C171" s="1">
        <v>10</v>
      </c>
      <c r="D171" s="1" t="s">
        <v>20</v>
      </c>
      <c r="E171" s="1">
        <v>814</v>
      </c>
      <c r="F171" s="1">
        <v>4.3999999999999997E-2</v>
      </c>
      <c r="G171" s="1">
        <v>18360300</v>
      </c>
      <c r="H171" s="1">
        <f t="shared" si="0"/>
        <v>22555.651105651104</v>
      </c>
      <c r="I171" s="1">
        <v>869.66</v>
      </c>
      <c r="J171" s="1">
        <v>22.123999999999999</v>
      </c>
      <c r="K171" s="1">
        <v>951.15499999999997</v>
      </c>
      <c r="L171" s="1">
        <v>973.279</v>
      </c>
      <c r="M171" s="1" t="s">
        <v>14</v>
      </c>
    </row>
    <row r="172" spans="1:13" ht="13" x14ac:dyDescent="0.15">
      <c r="A172" s="1">
        <v>2</v>
      </c>
      <c r="B172" s="1">
        <v>3</v>
      </c>
      <c r="C172" s="1">
        <v>11</v>
      </c>
      <c r="D172" s="1" t="s">
        <v>24</v>
      </c>
      <c r="E172" s="1">
        <v>746</v>
      </c>
      <c r="F172" s="1">
        <v>4.9000000000000002E-2</v>
      </c>
      <c r="G172" s="1">
        <v>13056887</v>
      </c>
      <c r="H172" s="1">
        <f t="shared" si="0"/>
        <v>17502.529490616624</v>
      </c>
      <c r="I172" s="1">
        <v>834.30499999999995</v>
      </c>
      <c r="J172" s="1">
        <v>15.236000000000001</v>
      </c>
      <c r="K172" s="1">
        <v>899.72900000000004</v>
      </c>
      <c r="L172" s="1">
        <v>914.96500000000003</v>
      </c>
      <c r="M172" s="1" t="s">
        <v>14</v>
      </c>
    </row>
    <row r="173" spans="1:13" ht="13" x14ac:dyDescent="0.15">
      <c r="A173" s="1">
        <v>2</v>
      </c>
      <c r="B173" s="1">
        <v>3</v>
      </c>
      <c r="C173" s="1">
        <v>12</v>
      </c>
      <c r="D173" s="1" t="s">
        <v>24</v>
      </c>
      <c r="E173" s="1">
        <v>729</v>
      </c>
      <c r="F173" s="1">
        <v>0.05</v>
      </c>
      <c r="G173" s="1">
        <v>9148072</v>
      </c>
      <c r="H173" s="1">
        <f t="shared" si="0"/>
        <v>12548.795610425241</v>
      </c>
      <c r="I173" s="1">
        <v>520.26199999999994</v>
      </c>
      <c r="J173" s="1">
        <v>15.789</v>
      </c>
      <c r="K173" s="1">
        <v>564.35400000000004</v>
      </c>
      <c r="L173" s="1">
        <v>580.14300000000003</v>
      </c>
      <c r="M173" s="1" t="s">
        <v>14</v>
      </c>
    </row>
    <row r="174" spans="1:13" ht="13" x14ac:dyDescent="0.15">
      <c r="A174" s="1">
        <v>2</v>
      </c>
      <c r="B174" s="1">
        <v>3</v>
      </c>
      <c r="C174" s="1">
        <v>13</v>
      </c>
      <c r="D174" s="1" t="s">
        <v>28</v>
      </c>
      <c r="E174" s="1">
        <v>550</v>
      </c>
      <c r="F174" s="1">
        <v>3.3000000000000002E-2</v>
      </c>
      <c r="G174" s="1">
        <v>4060618</v>
      </c>
      <c r="H174" s="1">
        <f t="shared" si="0"/>
        <v>7382.9418181818182</v>
      </c>
      <c r="I174" s="1">
        <v>277.45800000000003</v>
      </c>
      <c r="J174" s="1">
        <v>10.465</v>
      </c>
      <c r="K174" s="1">
        <v>295.60300000000001</v>
      </c>
      <c r="L174" s="1">
        <v>306.06900000000002</v>
      </c>
      <c r="M174" s="1" t="s">
        <v>14</v>
      </c>
    </row>
    <row r="175" spans="1:13" ht="13" x14ac:dyDescent="0.15">
      <c r="A175" s="1">
        <v>2</v>
      </c>
      <c r="B175" s="1">
        <v>3</v>
      </c>
      <c r="C175" s="1">
        <v>14</v>
      </c>
      <c r="D175" s="1" t="s">
        <v>30</v>
      </c>
      <c r="E175" s="1">
        <v>599</v>
      </c>
      <c r="F175" s="1">
        <v>0.04</v>
      </c>
      <c r="G175" s="1">
        <v>11932600</v>
      </c>
      <c r="H175" s="1">
        <f t="shared" si="0"/>
        <v>19920.868113522538</v>
      </c>
      <c r="I175" s="1">
        <v>757.00099999999998</v>
      </c>
      <c r="J175" s="1">
        <v>18.766999999999999</v>
      </c>
      <c r="K175" s="1">
        <v>817.90499999999997</v>
      </c>
      <c r="L175" s="1">
        <v>836.67200000000003</v>
      </c>
      <c r="M175" s="1" t="s">
        <v>14</v>
      </c>
    </row>
    <row r="176" spans="1:13" ht="13" x14ac:dyDescent="0.15">
      <c r="A176" s="1">
        <v>2</v>
      </c>
      <c r="B176" s="1">
        <v>3</v>
      </c>
      <c r="C176" s="1">
        <v>15</v>
      </c>
      <c r="D176" s="1" t="s">
        <v>24</v>
      </c>
      <c r="E176" s="1">
        <v>454</v>
      </c>
      <c r="F176" s="1">
        <v>1.4999999999999999E-2</v>
      </c>
      <c r="G176" s="1">
        <v>6501191</v>
      </c>
      <c r="H176" s="1">
        <f t="shared" si="0"/>
        <v>14319.80396475771</v>
      </c>
      <c r="I176" s="1">
        <v>160.99</v>
      </c>
      <c r="J176" s="1">
        <v>17.033000000000001</v>
      </c>
      <c r="K176" s="1">
        <v>191.596</v>
      </c>
      <c r="L176" s="1">
        <v>208.62899999999999</v>
      </c>
      <c r="M176" s="1" t="s">
        <v>14</v>
      </c>
    </row>
    <row r="177" spans="1:13" ht="13" x14ac:dyDescent="0.15">
      <c r="A177" s="1">
        <v>2</v>
      </c>
      <c r="B177" s="1">
        <v>3</v>
      </c>
      <c r="C177" s="1">
        <v>16</v>
      </c>
      <c r="D177" s="1" t="s">
        <v>24</v>
      </c>
      <c r="E177" s="1">
        <v>761</v>
      </c>
      <c r="F177" s="1">
        <v>0.04</v>
      </c>
      <c r="G177" s="1">
        <v>3242371</v>
      </c>
      <c r="H177" s="1">
        <f t="shared" si="0"/>
        <v>4260.6714848883048</v>
      </c>
      <c r="I177" s="1">
        <v>149.76400000000001</v>
      </c>
      <c r="J177" s="1">
        <v>8.6430000000000007</v>
      </c>
      <c r="K177" s="1">
        <v>163.29400000000001</v>
      </c>
      <c r="L177" s="1">
        <v>171.93700000000001</v>
      </c>
      <c r="M177" s="1" t="s">
        <v>14</v>
      </c>
    </row>
    <row r="178" spans="1:13" ht="13" x14ac:dyDescent="0.15">
      <c r="A178" s="1">
        <v>2</v>
      </c>
      <c r="B178" s="1">
        <v>3</v>
      </c>
      <c r="C178" s="1">
        <v>17</v>
      </c>
      <c r="D178" s="1" t="s">
        <v>21</v>
      </c>
      <c r="E178" s="1">
        <v>661</v>
      </c>
      <c r="F178" s="1">
        <v>3.9E-2</v>
      </c>
      <c r="G178" s="1">
        <v>15682833</v>
      </c>
      <c r="H178" s="1">
        <f t="shared" si="0"/>
        <v>23725.919818456885</v>
      </c>
      <c r="I178" s="1">
        <v>869.92600000000004</v>
      </c>
      <c r="J178" s="1">
        <v>22.018000000000001</v>
      </c>
      <c r="K178" s="1">
        <v>948.07600000000002</v>
      </c>
      <c r="L178" s="1">
        <v>970.09500000000003</v>
      </c>
      <c r="M178" s="1" t="s">
        <v>14</v>
      </c>
    </row>
    <row r="179" spans="1:13" ht="13" x14ac:dyDescent="0.15">
      <c r="A179" s="1">
        <v>2</v>
      </c>
      <c r="B179" s="1">
        <v>3</v>
      </c>
      <c r="C179" s="1">
        <v>18</v>
      </c>
      <c r="D179" s="1" t="s">
        <v>24</v>
      </c>
      <c r="E179" s="1">
        <v>737</v>
      </c>
      <c r="F179" s="1">
        <v>2.5999999999999999E-2</v>
      </c>
      <c r="G179" s="1">
        <v>16719533</v>
      </c>
      <c r="H179" s="1">
        <f t="shared" si="0"/>
        <v>22685.933514246946</v>
      </c>
      <c r="I179" s="1">
        <v>508.09300000000002</v>
      </c>
      <c r="J179" s="1">
        <v>23.323</v>
      </c>
      <c r="K179" s="1">
        <v>586.59900000000005</v>
      </c>
      <c r="L179" s="1">
        <v>609.923</v>
      </c>
      <c r="M179" s="1" t="s">
        <v>14</v>
      </c>
    </row>
    <row r="180" spans="1:13" ht="13" x14ac:dyDescent="0.15">
      <c r="A180" s="1">
        <v>2</v>
      </c>
      <c r="B180" s="1">
        <v>3</v>
      </c>
      <c r="C180" s="1">
        <v>19</v>
      </c>
      <c r="D180" s="1" t="s">
        <v>22</v>
      </c>
      <c r="E180" s="1">
        <v>702</v>
      </c>
      <c r="F180" s="1">
        <v>3.6999999999999998E-2</v>
      </c>
      <c r="G180" s="1">
        <v>7526611</v>
      </c>
      <c r="H180" s="1">
        <f t="shared" si="0"/>
        <v>10721.668091168091</v>
      </c>
      <c r="I180" s="1">
        <v>354.24099999999999</v>
      </c>
      <c r="J180" s="1">
        <v>12.672000000000001</v>
      </c>
      <c r="K180" s="1">
        <v>387.07499999999999</v>
      </c>
      <c r="L180" s="1">
        <v>399.74700000000001</v>
      </c>
      <c r="M180" s="1" t="s">
        <v>14</v>
      </c>
    </row>
    <row r="181" spans="1:13" ht="13" x14ac:dyDescent="0.15">
      <c r="A181" s="1">
        <v>2</v>
      </c>
      <c r="B181" s="1">
        <v>3</v>
      </c>
      <c r="C181" s="1">
        <v>20</v>
      </c>
      <c r="D181" s="1" t="s">
        <v>24</v>
      </c>
      <c r="E181" s="1">
        <v>571</v>
      </c>
      <c r="F181" s="1">
        <v>2.8000000000000001E-2</v>
      </c>
      <c r="G181" s="1">
        <v>14737419</v>
      </c>
      <c r="H181" s="1">
        <f t="shared" si="0"/>
        <v>25809.840630472856</v>
      </c>
      <c r="I181" s="1">
        <v>681.64300000000003</v>
      </c>
      <c r="J181" s="1">
        <v>24.843</v>
      </c>
      <c r="K181" s="1">
        <v>751.35</v>
      </c>
      <c r="L181" s="1">
        <v>776.19299999999998</v>
      </c>
      <c r="M181" s="1" t="s">
        <v>14</v>
      </c>
    </row>
    <row r="182" spans="1:13" ht="13" x14ac:dyDescent="0.15">
      <c r="A182" s="1">
        <v>3</v>
      </c>
      <c r="B182" s="1">
        <v>2</v>
      </c>
      <c r="C182" s="1">
        <v>1</v>
      </c>
      <c r="D182" s="1" t="s">
        <v>24</v>
      </c>
      <c r="E182" s="1">
        <v>534</v>
      </c>
      <c r="F182" s="1">
        <v>2.1999999999999999E-2</v>
      </c>
      <c r="G182" s="1">
        <v>10704170</v>
      </c>
      <c r="H182" s="1">
        <f t="shared" si="0"/>
        <v>20045.262172284645</v>
      </c>
      <c r="I182" s="1">
        <v>385.15100000000001</v>
      </c>
      <c r="J182" s="1">
        <v>17.875</v>
      </c>
      <c r="K182" s="1">
        <v>435.62099999999998</v>
      </c>
      <c r="L182" s="1">
        <v>453.49599999999998</v>
      </c>
      <c r="M182" s="1" t="s">
        <v>14</v>
      </c>
    </row>
    <row r="183" spans="1:13" ht="13" x14ac:dyDescent="0.15">
      <c r="A183" s="1">
        <v>3</v>
      </c>
      <c r="B183" s="1">
        <v>2</v>
      </c>
      <c r="C183" s="1">
        <v>2</v>
      </c>
      <c r="D183" s="1" t="s">
        <v>24</v>
      </c>
      <c r="E183" s="1">
        <v>449</v>
      </c>
      <c r="F183" s="1">
        <v>1.2999999999999999E-2</v>
      </c>
      <c r="G183" s="1">
        <v>7045908</v>
      </c>
      <c r="H183" s="1">
        <f t="shared" si="0"/>
        <v>15692.445434298441</v>
      </c>
      <c r="I183" s="1">
        <v>180.80600000000001</v>
      </c>
      <c r="J183" s="1">
        <v>21.492999999999999</v>
      </c>
      <c r="K183" s="1">
        <v>211.71</v>
      </c>
      <c r="L183" s="1">
        <v>233.203</v>
      </c>
      <c r="M183" s="1" t="s">
        <v>14</v>
      </c>
    </row>
    <row r="184" spans="1:13" ht="13" x14ac:dyDescent="0.15">
      <c r="A184" s="1">
        <v>3</v>
      </c>
      <c r="B184" s="1">
        <v>2</v>
      </c>
      <c r="C184" s="1">
        <v>3</v>
      </c>
      <c r="D184" s="1" t="s">
        <v>24</v>
      </c>
      <c r="E184" s="1">
        <v>878</v>
      </c>
      <c r="F184" s="1">
        <v>7.0999999999999994E-2</v>
      </c>
      <c r="G184" s="1">
        <v>5358312</v>
      </c>
      <c r="H184" s="1">
        <f t="shared" si="0"/>
        <v>6102.8610478359906</v>
      </c>
      <c r="I184" s="1">
        <v>388.97</v>
      </c>
      <c r="J184" s="1">
        <v>9.5449999999999999</v>
      </c>
      <c r="K184" s="1">
        <v>411.99299999999999</v>
      </c>
      <c r="L184" s="1">
        <v>421.53800000000001</v>
      </c>
      <c r="M184" s="1" t="s">
        <v>14</v>
      </c>
    </row>
    <row r="185" spans="1:13" ht="13" x14ac:dyDescent="0.15">
      <c r="A185" s="1">
        <v>3</v>
      </c>
      <c r="B185" s="1">
        <v>2</v>
      </c>
      <c r="C185" s="1">
        <v>4</v>
      </c>
      <c r="D185" s="1" t="s">
        <v>19</v>
      </c>
      <c r="E185" s="1">
        <v>678</v>
      </c>
      <c r="F185" s="1">
        <v>5.0999999999999997E-2</v>
      </c>
      <c r="G185" s="1">
        <v>17716087</v>
      </c>
      <c r="H185" s="1">
        <f t="shared" si="0"/>
        <v>26129.921828908555</v>
      </c>
      <c r="I185" s="1">
        <v>1365.8019999999999</v>
      </c>
      <c r="J185" s="1">
        <v>25.010999999999999</v>
      </c>
      <c r="K185" s="1">
        <v>1455.8330000000001</v>
      </c>
      <c r="L185" s="1">
        <v>1480.8440000000001</v>
      </c>
      <c r="M185" s="1" t="s">
        <v>14</v>
      </c>
    </row>
    <row r="186" spans="1:13" ht="13" x14ac:dyDescent="0.15">
      <c r="A186" s="1">
        <v>3</v>
      </c>
      <c r="B186" s="1">
        <v>2</v>
      </c>
      <c r="C186" s="1">
        <v>5</v>
      </c>
      <c r="D186" s="1" t="s">
        <v>24</v>
      </c>
      <c r="E186" s="1">
        <v>524</v>
      </c>
      <c r="F186" s="1">
        <v>2.5000000000000001E-2</v>
      </c>
      <c r="G186" s="1">
        <v>5342573</v>
      </c>
      <c r="H186" s="1">
        <f t="shared" si="0"/>
        <v>10195.75</v>
      </c>
      <c r="I186" s="1">
        <v>195.32499999999999</v>
      </c>
      <c r="J186" s="1">
        <v>12.923</v>
      </c>
      <c r="K186" s="1">
        <v>220.30699999999999</v>
      </c>
      <c r="L186" s="1">
        <v>233.23099999999999</v>
      </c>
      <c r="M186" s="1" t="s">
        <v>14</v>
      </c>
    </row>
    <row r="187" spans="1:13" ht="13" x14ac:dyDescent="0.15">
      <c r="A187" s="1">
        <v>3</v>
      </c>
      <c r="B187" s="1">
        <v>2</v>
      </c>
      <c r="C187" s="1">
        <v>6</v>
      </c>
      <c r="D187" s="1" t="s">
        <v>24</v>
      </c>
      <c r="E187" s="1">
        <v>555</v>
      </c>
      <c r="F187" s="1">
        <v>1.7999999999999999E-2</v>
      </c>
      <c r="G187" s="1">
        <v>12590903</v>
      </c>
      <c r="H187" s="1">
        <f t="shared" si="0"/>
        <v>22686.311711711711</v>
      </c>
      <c r="I187" s="1">
        <v>328.48500000000001</v>
      </c>
      <c r="J187" s="1">
        <v>24.686</v>
      </c>
      <c r="K187" s="1">
        <v>384.20100000000002</v>
      </c>
      <c r="L187" s="1">
        <v>408.88600000000002</v>
      </c>
      <c r="M187" s="1" t="s">
        <v>14</v>
      </c>
    </row>
    <row r="188" spans="1:13" ht="13" x14ac:dyDescent="0.15">
      <c r="A188" s="1">
        <v>3</v>
      </c>
      <c r="B188" s="1">
        <v>2</v>
      </c>
      <c r="C188" s="1">
        <v>7</v>
      </c>
      <c r="D188" s="1" t="s">
        <v>27</v>
      </c>
      <c r="E188" s="1">
        <v>643</v>
      </c>
      <c r="F188" s="1">
        <v>5.0999999999999997E-2</v>
      </c>
      <c r="G188" s="1">
        <v>13651789</v>
      </c>
      <c r="H188" s="1">
        <f t="shared" si="0"/>
        <v>21231.398133748055</v>
      </c>
      <c r="I188" s="1">
        <v>957.43499999999995</v>
      </c>
      <c r="J188" s="1">
        <v>20.286000000000001</v>
      </c>
      <c r="K188" s="1">
        <v>1020.183</v>
      </c>
      <c r="L188" s="1">
        <v>1040.47</v>
      </c>
      <c r="M188" s="1" t="s">
        <v>14</v>
      </c>
    </row>
    <row r="189" spans="1:13" ht="13" x14ac:dyDescent="0.15">
      <c r="A189" s="1">
        <v>3</v>
      </c>
      <c r="B189" s="1">
        <v>2</v>
      </c>
      <c r="C189" s="1">
        <v>8</v>
      </c>
      <c r="D189" s="1" t="s">
        <v>24</v>
      </c>
      <c r="E189" s="1">
        <v>771</v>
      </c>
      <c r="F189" s="1">
        <v>4.8000000000000001E-2</v>
      </c>
      <c r="G189" s="1">
        <v>12673750</v>
      </c>
      <c r="H189" s="1">
        <f t="shared" si="0"/>
        <v>16438.067444876782</v>
      </c>
      <c r="I189" s="1">
        <v>739.95399999999995</v>
      </c>
      <c r="J189" s="1">
        <v>17.452999999999999</v>
      </c>
      <c r="K189" s="1">
        <v>798.77499999999998</v>
      </c>
      <c r="L189" s="1">
        <v>816.22799999999995</v>
      </c>
      <c r="M189" s="1" t="s">
        <v>14</v>
      </c>
    </row>
    <row r="190" spans="1:13" ht="13" x14ac:dyDescent="0.15">
      <c r="A190" s="1">
        <v>3</v>
      </c>
      <c r="B190" s="1">
        <v>2</v>
      </c>
      <c r="C190" s="1">
        <v>9</v>
      </c>
      <c r="D190" s="1" t="s">
        <v>24</v>
      </c>
      <c r="E190" s="1">
        <v>761</v>
      </c>
      <c r="F190" s="1">
        <v>0.05</v>
      </c>
      <c r="G190" s="1">
        <v>12798094</v>
      </c>
      <c r="H190" s="1">
        <f t="shared" si="0"/>
        <v>16817.469119579502</v>
      </c>
      <c r="I190" s="1">
        <v>698.28899999999999</v>
      </c>
      <c r="J190" s="1">
        <v>16.73</v>
      </c>
      <c r="K190" s="1">
        <v>760.58399999999995</v>
      </c>
      <c r="L190" s="1">
        <v>777.31299999999999</v>
      </c>
      <c r="M190" s="1" t="s">
        <v>14</v>
      </c>
    </row>
    <row r="191" spans="1:13" ht="13" x14ac:dyDescent="0.15">
      <c r="A191" s="1">
        <v>3</v>
      </c>
      <c r="B191" s="1">
        <v>2</v>
      </c>
      <c r="C191" s="1">
        <v>10</v>
      </c>
      <c r="D191" s="1" t="s">
        <v>20</v>
      </c>
      <c r="E191" s="1">
        <v>814</v>
      </c>
      <c r="F191" s="1">
        <v>0.04</v>
      </c>
      <c r="G191" s="1">
        <v>16518976</v>
      </c>
      <c r="H191" s="1">
        <f t="shared" si="0"/>
        <v>20293.582309582311</v>
      </c>
      <c r="I191" s="1">
        <v>705.43399999999997</v>
      </c>
      <c r="J191" s="1">
        <v>21.065999999999999</v>
      </c>
      <c r="K191" s="1">
        <v>784.75599999999997</v>
      </c>
      <c r="L191" s="1">
        <v>805.822</v>
      </c>
      <c r="M191" s="1" t="s">
        <v>14</v>
      </c>
    </row>
    <row r="192" spans="1:13" ht="13" x14ac:dyDescent="0.15">
      <c r="A192" s="1">
        <v>3</v>
      </c>
      <c r="B192" s="1">
        <v>2</v>
      </c>
      <c r="C192" s="1">
        <v>11</v>
      </c>
      <c r="D192" s="1" t="s">
        <v>24</v>
      </c>
      <c r="E192" s="1">
        <v>746</v>
      </c>
      <c r="F192" s="1">
        <v>0.05</v>
      </c>
      <c r="G192" s="1">
        <v>15167914</v>
      </c>
      <c r="H192" s="1">
        <f t="shared" si="0"/>
        <v>20332.324396782842</v>
      </c>
      <c r="I192" s="1">
        <v>934.08100000000002</v>
      </c>
      <c r="J192" s="1">
        <v>17.832999999999998</v>
      </c>
      <c r="K192" s="1">
        <v>1008.879</v>
      </c>
      <c r="L192" s="1">
        <v>1026.713</v>
      </c>
      <c r="M192" s="1" t="s">
        <v>14</v>
      </c>
    </row>
    <row r="193" spans="1:13" ht="13" x14ac:dyDescent="0.15">
      <c r="A193" s="1">
        <v>3</v>
      </c>
      <c r="B193" s="1">
        <v>2</v>
      </c>
      <c r="C193" s="1">
        <v>12</v>
      </c>
      <c r="D193" s="1" t="s">
        <v>24</v>
      </c>
      <c r="E193" s="1">
        <v>729</v>
      </c>
      <c r="F193" s="1">
        <v>0.04</v>
      </c>
      <c r="G193" s="1">
        <v>12996363</v>
      </c>
      <c r="H193" s="1">
        <f t="shared" si="0"/>
        <v>17827.658436213991</v>
      </c>
      <c r="I193" s="1">
        <v>566.58699999999999</v>
      </c>
      <c r="J193" s="1">
        <v>18.381</v>
      </c>
      <c r="K193" s="1">
        <v>632.72900000000004</v>
      </c>
      <c r="L193" s="1">
        <v>651.11</v>
      </c>
      <c r="M193" s="1" t="s">
        <v>14</v>
      </c>
    </row>
    <row r="194" spans="1:13" ht="13" x14ac:dyDescent="0.15">
      <c r="A194" s="1">
        <v>3</v>
      </c>
      <c r="B194" s="1">
        <v>2</v>
      </c>
      <c r="C194" s="1">
        <v>13</v>
      </c>
      <c r="D194" s="1" t="s">
        <v>32</v>
      </c>
      <c r="E194" s="1">
        <v>550</v>
      </c>
      <c r="F194" s="1">
        <v>3.5999999999999997E-2</v>
      </c>
      <c r="G194" s="1">
        <v>3812170</v>
      </c>
      <c r="H194" s="1">
        <f t="shared" si="0"/>
        <v>6931.2181818181816</v>
      </c>
      <c r="I194" s="1">
        <v>258.495</v>
      </c>
      <c r="J194" s="1">
        <v>9.8350000000000009</v>
      </c>
      <c r="K194" s="1">
        <v>274.14600000000002</v>
      </c>
      <c r="L194" s="1">
        <v>283.98099999999999</v>
      </c>
      <c r="M194" s="1" t="s">
        <v>14</v>
      </c>
    </row>
    <row r="195" spans="1:13" ht="13" x14ac:dyDescent="0.15">
      <c r="A195" s="1">
        <v>3</v>
      </c>
      <c r="B195" s="1">
        <v>2</v>
      </c>
      <c r="C195" s="1">
        <v>14</v>
      </c>
      <c r="D195" s="1" t="s">
        <v>30</v>
      </c>
      <c r="E195" s="1">
        <v>599</v>
      </c>
      <c r="F195" s="1">
        <v>3.9E-2</v>
      </c>
      <c r="G195" s="1">
        <v>9852331</v>
      </c>
      <c r="H195" s="1">
        <f t="shared" si="0"/>
        <v>16447.964941569284</v>
      </c>
      <c r="I195" s="1">
        <v>617.827</v>
      </c>
      <c r="J195" s="1">
        <v>18.584</v>
      </c>
      <c r="K195" s="1">
        <v>667.39499999999998</v>
      </c>
      <c r="L195" s="1">
        <v>685.97900000000004</v>
      </c>
      <c r="M195" s="1" t="s">
        <v>14</v>
      </c>
    </row>
    <row r="196" spans="1:13" ht="13" x14ac:dyDescent="0.15">
      <c r="A196" s="1">
        <v>3</v>
      </c>
      <c r="B196" s="1">
        <v>2</v>
      </c>
      <c r="C196" s="1">
        <v>15</v>
      </c>
      <c r="D196" s="1" t="s">
        <v>24</v>
      </c>
      <c r="E196" s="1">
        <v>454</v>
      </c>
      <c r="F196" s="1">
        <v>1.4999999999999999E-2</v>
      </c>
      <c r="G196" s="1">
        <v>7628282</v>
      </c>
      <c r="H196" s="1">
        <f t="shared" si="0"/>
        <v>16802.383259911894</v>
      </c>
      <c r="I196" s="1">
        <v>200.94</v>
      </c>
      <c r="J196" s="1">
        <v>18.486999999999998</v>
      </c>
      <c r="K196" s="1">
        <v>235.57599999999999</v>
      </c>
      <c r="L196" s="1">
        <v>254.06200000000001</v>
      </c>
      <c r="M196" s="1" t="s">
        <v>14</v>
      </c>
    </row>
    <row r="197" spans="1:13" ht="13" x14ac:dyDescent="0.15">
      <c r="A197" s="1">
        <v>3</v>
      </c>
      <c r="B197" s="1">
        <v>2</v>
      </c>
      <c r="C197" s="1">
        <v>16</v>
      </c>
      <c r="D197" s="1" t="s">
        <v>24</v>
      </c>
      <c r="E197" s="1">
        <v>761</v>
      </c>
      <c r="F197" s="1">
        <v>3.5000000000000003E-2</v>
      </c>
      <c r="G197" s="1">
        <v>3609130</v>
      </c>
      <c r="H197" s="1">
        <f t="shared" si="0"/>
        <v>4742.6149802890932</v>
      </c>
      <c r="I197" s="1">
        <v>131.14099999999999</v>
      </c>
      <c r="J197" s="1">
        <v>9.4009999999999998</v>
      </c>
      <c r="K197" s="1">
        <v>147.739</v>
      </c>
      <c r="L197" s="1">
        <v>157.13999999999999</v>
      </c>
      <c r="M197" s="1" t="s">
        <v>14</v>
      </c>
    </row>
    <row r="198" spans="1:13" ht="13" x14ac:dyDescent="0.15">
      <c r="A198" s="1">
        <v>3</v>
      </c>
      <c r="B198" s="1">
        <v>2</v>
      </c>
      <c r="C198" s="1">
        <v>17</v>
      </c>
      <c r="D198" s="1" t="s">
        <v>21</v>
      </c>
      <c r="E198" s="1">
        <v>661</v>
      </c>
      <c r="F198" s="1">
        <v>4.3999999999999997E-2</v>
      </c>
      <c r="G198" s="1">
        <v>16012679</v>
      </c>
      <c r="H198" s="1">
        <f t="shared" si="0"/>
        <v>24224.930408472013</v>
      </c>
      <c r="I198" s="1">
        <v>1078.3109999999999</v>
      </c>
      <c r="J198" s="1">
        <v>22.056000000000001</v>
      </c>
      <c r="K198" s="1">
        <v>1155.723</v>
      </c>
      <c r="L198" s="1">
        <v>1177.779</v>
      </c>
      <c r="M198" s="1" t="s">
        <v>14</v>
      </c>
    </row>
    <row r="199" spans="1:13" ht="13" x14ac:dyDescent="0.15">
      <c r="A199" s="1">
        <v>3</v>
      </c>
      <c r="B199" s="1">
        <v>2</v>
      </c>
      <c r="C199" s="1">
        <v>18</v>
      </c>
      <c r="D199" s="1" t="s">
        <v>24</v>
      </c>
      <c r="E199" s="1">
        <v>737</v>
      </c>
      <c r="F199" s="1">
        <v>4.8000000000000001E-2</v>
      </c>
      <c r="G199" s="1">
        <v>18152383</v>
      </c>
      <c r="H199" s="1">
        <f t="shared" si="0"/>
        <v>24630.099050203527</v>
      </c>
      <c r="I199" s="1">
        <v>1221.3240000000001</v>
      </c>
      <c r="J199" s="1">
        <v>24.087</v>
      </c>
      <c r="K199" s="1">
        <v>1306.075</v>
      </c>
      <c r="L199" s="1">
        <v>1330.162</v>
      </c>
      <c r="M199" s="1" t="s">
        <v>14</v>
      </c>
    </row>
    <row r="200" spans="1:13" ht="13" x14ac:dyDescent="0.15">
      <c r="A200" s="1">
        <v>3</v>
      </c>
      <c r="B200" s="1">
        <v>2</v>
      </c>
      <c r="C200" s="1">
        <v>19</v>
      </c>
      <c r="D200" s="1" t="s">
        <v>22</v>
      </c>
      <c r="E200" s="1">
        <v>702</v>
      </c>
      <c r="F200" s="1">
        <v>3.9E-2</v>
      </c>
      <c r="G200" s="1">
        <v>7833493</v>
      </c>
      <c r="H200" s="1">
        <f t="shared" si="0"/>
        <v>11158.821937321938</v>
      </c>
      <c r="I200" s="1">
        <v>378.68799999999999</v>
      </c>
      <c r="J200" s="1">
        <v>12.545999999999999</v>
      </c>
      <c r="K200" s="1">
        <v>417.25700000000001</v>
      </c>
      <c r="L200" s="1">
        <v>429.803</v>
      </c>
      <c r="M200" s="1" t="s">
        <v>14</v>
      </c>
    </row>
    <row r="201" spans="1:13" ht="13" x14ac:dyDescent="0.15">
      <c r="A201" s="1">
        <v>3</v>
      </c>
      <c r="B201" s="1">
        <v>2</v>
      </c>
      <c r="C201" s="1">
        <v>20</v>
      </c>
      <c r="D201" s="1" t="s">
        <v>24</v>
      </c>
      <c r="E201" s="1">
        <v>571</v>
      </c>
      <c r="F201" s="1">
        <v>2.7E-2</v>
      </c>
      <c r="G201" s="1">
        <v>14491820</v>
      </c>
      <c r="H201" s="1">
        <f t="shared" si="0"/>
        <v>25379.71978984238</v>
      </c>
      <c r="I201" s="1">
        <v>605.47500000000002</v>
      </c>
      <c r="J201" s="1">
        <v>23.981000000000002</v>
      </c>
      <c r="K201" s="1">
        <v>673.09699999999998</v>
      </c>
      <c r="L201" s="1">
        <v>697.07799999999997</v>
      </c>
      <c r="M201" s="1" t="s">
        <v>14</v>
      </c>
    </row>
    <row r="202" spans="1:13" ht="13" x14ac:dyDescent="0.15">
      <c r="A202" s="5">
        <v>1</v>
      </c>
      <c r="B202" s="5">
        <v>5</v>
      </c>
      <c r="C202" s="5">
        <v>1</v>
      </c>
      <c r="D202" s="6" t="s">
        <v>24</v>
      </c>
      <c r="E202" s="5">
        <v>1378</v>
      </c>
      <c r="F202" s="5">
        <v>0.14199999999999999</v>
      </c>
      <c r="G202" s="5">
        <v>50110154</v>
      </c>
      <c r="H202" s="1">
        <f t="shared" si="0"/>
        <v>36364.407837445571</v>
      </c>
      <c r="I202" s="5">
        <v>1784.203</v>
      </c>
      <c r="J202" s="5">
        <v>33.5</v>
      </c>
      <c r="K202" s="5">
        <v>2014.1379999999999</v>
      </c>
      <c r="L202" s="5">
        <v>2047.652</v>
      </c>
      <c r="M202" s="6" t="s">
        <v>14</v>
      </c>
    </row>
    <row r="203" spans="1:13" ht="13" x14ac:dyDescent="0.15">
      <c r="A203" s="5">
        <v>5</v>
      </c>
      <c r="B203" s="5">
        <v>1</v>
      </c>
      <c r="C203" s="5">
        <v>1</v>
      </c>
      <c r="D203" s="6" t="s">
        <v>24</v>
      </c>
      <c r="E203" s="5">
        <v>1378</v>
      </c>
      <c r="F203" s="5">
        <v>0.156</v>
      </c>
      <c r="G203" s="5">
        <v>49595108</v>
      </c>
      <c r="H203" s="1">
        <f t="shared" si="0"/>
        <v>35990.644412191585</v>
      </c>
      <c r="I203" s="5">
        <v>2403.0940000000001</v>
      </c>
      <c r="J203" s="5">
        <v>34.633000000000003</v>
      </c>
      <c r="K203" s="5">
        <v>2630.558</v>
      </c>
      <c r="L203" s="5">
        <v>2665.2089999999998</v>
      </c>
      <c r="M203" s="6" t="s">
        <v>14</v>
      </c>
    </row>
    <row r="204" spans="1:13" ht="13" x14ac:dyDescent="0.15">
      <c r="A204" s="5">
        <v>2</v>
      </c>
      <c r="B204" s="5">
        <v>4</v>
      </c>
      <c r="C204" s="5">
        <v>1</v>
      </c>
      <c r="D204" s="6" t="s">
        <v>24</v>
      </c>
      <c r="E204" s="5">
        <v>1378</v>
      </c>
      <c r="F204" s="5">
        <v>0.17399999999999999</v>
      </c>
      <c r="G204" s="5">
        <v>55569316</v>
      </c>
      <c r="H204" s="1">
        <f t="shared" si="0"/>
        <v>40326.063860667637</v>
      </c>
      <c r="I204" s="5">
        <v>3752.6819999999998</v>
      </c>
      <c r="J204" s="5">
        <v>36.74</v>
      </c>
      <c r="K204" s="5">
        <v>4000.4580000000001</v>
      </c>
      <c r="L204" s="5">
        <v>4037.22</v>
      </c>
      <c r="M204" s="6" t="s">
        <v>14</v>
      </c>
    </row>
    <row r="205" spans="1:13" ht="13" x14ac:dyDescent="0.15">
      <c r="A205" s="5">
        <v>4</v>
      </c>
      <c r="B205" s="5">
        <v>2</v>
      </c>
      <c r="C205" s="5">
        <v>1</v>
      </c>
      <c r="D205" s="6" t="s">
        <v>24</v>
      </c>
      <c r="E205" s="5">
        <v>1378</v>
      </c>
      <c r="F205" s="5">
        <v>0.14899999999999999</v>
      </c>
      <c r="G205" s="5">
        <v>68538860</v>
      </c>
      <c r="H205" s="1">
        <f t="shared" si="0"/>
        <v>49737.92452830189</v>
      </c>
      <c r="I205" s="5">
        <v>3582.9810000000002</v>
      </c>
      <c r="J205" s="5">
        <v>41.398000000000003</v>
      </c>
      <c r="K205" s="5">
        <v>3907.6559999999999</v>
      </c>
      <c r="L205" s="5">
        <v>3949.0839999999998</v>
      </c>
      <c r="M205" s="6" t="s">
        <v>14</v>
      </c>
    </row>
    <row r="206" spans="1:13" ht="13" x14ac:dyDescent="0.15">
      <c r="A206" s="5">
        <v>3</v>
      </c>
      <c r="B206" s="5">
        <v>3</v>
      </c>
      <c r="C206" s="5">
        <v>1</v>
      </c>
      <c r="D206" s="6" t="s">
        <v>24</v>
      </c>
      <c r="E206" s="5">
        <v>1378</v>
      </c>
      <c r="F206" s="5">
        <v>0.157</v>
      </c>
      <c r="G206" s="5">
        <v>59832040</v>
      </c>
      <c r="H206" s="1">
        <f t="shared" si="0"/>
        <v>43419.477503628448</v>
      </c>
      <c r="I206" s="5">
        <v>3476.6959999999999</v>
      </c>
      <c r="J206" s="5">
        <v>40.531999999999996</v>
      </c>
      <c r="K206" s="5">
        <v>3746.107</v>
      </c>
      <c r="L206" s="5">
        <v>3786.6579999999999</v>
      </c>
      <c r="M206" s="6" t="s">
        <v>14</v>
      </c>
    </row>
    <row r="207" spans="1:13" ht="13" x14ac:dyDescent="0.15">
      <c r="A207" s="5">
        <v>5</v>
      </c>
      <c r="B207" s="5">
        <v>1</v>
      </c>
      <c r="C207" s="5">
        <v>2</v>
      </c>
      <c r="D207" s="6" t="s">
        <v>24</v>
      </c>
      <c r="E207" s="5">
        <v>1004</v>
      </c>
      <c r="F207" s="5">
        <v>3.9E-2</v>
      </c>
      <c r="G207" s="5">
        <v>40577557</v>
      </c>
      <c r="H207" s="1">
        <f t="shared" si="0"/>
        <v>40415.893426294824</v>
      </c>
      <c r="I207" s="5">
        <v>1321.098</v>
      </c>
      <c r="J207" s="5">
        <v>44.652999999999999</v>
      </c>
      <c r="K207" s="5">
        <v>1499.4659999999999</v>
      </c>
      <c r="L207" s="5">
        <v>1544.1189999999999</v>
      </c>
      <c r="M207" s="6" t="s">
        <v>14</v>
      </c>
    </row>
    <row r="208" spans="1:13" ht="13" x14ac:dyDescent="0.15">
      <c r="A208" s="5">
        <v>1</v>
      </c>
      <c r="B208" s="5">
        <v>5</v>
      </c>
      <c r="C208" s="5">
        <v>2</v>
      </c>
      <c r="D208" s="6" t="s">
        <v>24</v>
      </c>
      <c r="E208" s="5">
        <v>1004</v>
      </c>
      <c r="F208" s="5">
        <v>4.8000000000000001E-2</v>
      </c>
      <c r="G208" s="5">
        <v>38185496</v>
      </c>
      <c r="H208" s="1">
        <f t="shared" si="0"/>
        <v>38033.362549800797</v>
      </c>
      <c r="I208" s="5">
        <v>1670.18</v>
      </c>
      <c r="J208" s="5">
        <v>43.302999999999997</v>
      </c>
      <c r="K208" s="5">
        <v>1844.8610000000001</v>
      </c>
      <c r="L208" s="5">
        <v>1888.165</v>
      </c>
      <c r="M208" s="6" t="s">
        <v>14</v>
      </c>
    </row>
    <row r="209" spans="1:13" ht="13" x14ac:dyDescent="0.15">
      <c r="A209" s="5">
        <v>2</v>
      </c>
      <c r="B209" s="5">
        <v>4</v>
      </c>
      <c r="C209" s="5">
        <v>2</v>
      </c>
      <c r="D209" s="6" t="s">
        <v>24</v>
      </c>
      <c r="E209" s="5">
        <v>1004</v>
      </c>
      <c r="F209" s="5">
        <v>5.2999999999999999E-2</v>
      </c>
      <c r="G209" s="5">
        <v>50902943</v>
      </c>
      <c r="H209" s="1">
        <f t="shared" si="0"/>
        <v>50700.142430278887</v>
      </c>
      <c r="I209" s="5">
        <v>2365.8209999999999</v>
      </c>
      <c r="J209" s="5">
        <v>51.408999999999999</v>
      </c>
      <c r="K209" s="5">
        <v>2587.518</v>
      </c>
      <c r="L209" s="5">
        <v>2638.9279999999999</v>
      </c>
      <c r="M209" s="6" t="s">
        <v>14</v>
      </c>
    </row>
    <row r="210" spans="1:13" ht="13" x14ac:dyDescent="0.15">
      <c r="A210" s="5">
        <v>4</v>
      </c>
      <c r="B210" s="5">
        <v>2</v>
      </c>
      <c r="C210" s="5">
        <v>2</v>
      </c>
      <c r="D210" s="6" t="s">
        <v>24</v>
      </c>
      <c r="E210" s="5">
        <v>1004</v>
      </c>
      <c r="F210" s="5">
        <v>4.5999999999999999E-2</v>
      </c>
      <c r="G210" s="5">
        <v>44254938</v>
      </c>
      <c r="H210" s="1">
        <f t="shared" si="0"/>
        <v>44078.623505976095</v>
      </c>
      <c r="I210" s="5">
        <v>1831.8030000000001</v>
      </c>
      <c r="J210" s="5">
        <v>48.069000000000003</v>
      </c>
      <c r="K210" s="5">
        <v>2031.787</v>
      </c>
      <c r="L210" s="5">
        <v>2079.8560000000002</v>
      </c>
      <c r="M210" s="6" t="s">
        <v>14</v>
      </c>
    </row>
    <row r="211" spans="1:13" ht="13" x14ac:dyDescent="0.15">
      <c r="A211" s="5">
        <v>3</v>
      </c>
      <c r="B211" s="5">
        <v>3</v>
      </c>
      <c r="C211" s="5">
        <v>2</v>
      </c>
      <c r="D211" s="6" t="s">
        <v>24</v>
      </c>
      <c r="E211" s="5">
        <v>1004</v>
      </c>
      <c r="F211" s="5">
        <v>4.4999999999999998E-2</v>
      </c>
      <c r="G211" s="5">
        <v>46123268</v>
      </c>
      <c r="H211" s="1">
        <f t="shared" si="0"/>
        <v>45939.509960159361</v>
      </c>
      <c r="I211" s="5">
        <v>1867.59</v>
      </c>
      <c r="J211" s="5">
        <v>49.667999999999999</v>
      </c>
      <c r="K211" s="5">
        <v>2081.2660000000001</v>
      </c>
      <c r="L211" s="5">
        <v>2130.9340000000002</v>
      </c>
      <c r="M211" s="6" t="s">
        <v>14</v>
      </c>
    </row>
    <row r="212" spans="1:13" ht="13" x14ac:dyDescent="0.15">
      <c r="A212" s="5">
        <v>5</v>
      </c>
      <c r="B212" s="5">
        <v>1</v>
      </c>
      <c r="C212" s="5">
        <v>3</v>
      </c>
      <c r="D212" s="6" t="s">
        <v>24</v>
      </c>
      <c r="E212" s="5">
        <v>1779</v>
      </c>
      <c r="F212" s="5">
        <v>0.125</v>
      </c>
      <c r="G212" s="5">
        <v>10668148</v>
      </c>
      <c r="H212" s="1">
        <f t="shared" si="0"/>
        <v>5996.710511523328</v>
      </c>
      <c r="I212" s="5">
        <v>410.02699999999999</v>
      </c>
      <c r="J212" s="5">
        <v>14.292</v>
      </c>
      <c r="K212" s="5">
        <v>445.32299999999998</v>
      </c>
      <c r="L212" s="5">
        <v>459.67500000000001</v>
      </c>
      <c r="M212" s="6" t="s">
        <v>14</v>
      </c>
    </row>
    <row r="213" spans="1:13" ht="13" x14ac:dyDescent="0.15">
      <c r="A213" s="5">
        <v>1</v>
      </c>
      <c r="B213" s="5">
        <v>5</v>
      </c>
      <c r="C213" s="5">
        <v>3</v>
      </c>
      <c r="D213" s="6" t="s">
        <v>24</v>
      </c>
      <c r="E213" s="5">
        <v>1779</v>
      </c>
      <c r="F213" s="5">
        <v>0.157</v>
      </c>
      <c r="G213" s="5">
        <v>10762090</v>
      </c>
      <c r="H213" s="1">
        <f t="shared" si="0"/>
        <v>6049.5165823496345</v>
      </c>
      <c r="I213" s="5">
        <v>623.45100000000002</v>
      </c>
      <c r="J213" s="5">
        <v>12.927</v>
      </c>
      <c r="K213" s="5">
        <v>661.851</v>
      </c>
      <c r="L213" s="5">
        <v>674.79100000000005</v>
      </c>
      <c r="M213" s="6" t="s">
        <v>14</v>
      </c>
    </row>
    <row r="214" spans="1:13" ht="13" x14ac:dyDescent="0.15">
      <c r="A214" s="5">
        <v>2</v>
      </c>
      <c r="B214" s="5">
        <v>4</v>
      </c>
      <c r="C214" s="5">
        <v>3</v>
      </c>
      <c r="D214" s="6" t="s">
        <v>24</v>
      </c>
      <c r="E214" s="5">
        <v>1779</v>
      </c>
      <c r="F214" s="5">
        <v>0.151</v>
      </c>
      <c r="G214" s="5">
        <v>15858338</v>
      </c>
      <c r="H214" s="1">
        <f t="shared" si="0"/>
        <v>8914.1866216975832</v>
      </c>
      <c r="I214" s="5">
        <v>1071.6569999999999</v>
      </c>
      <c r="J214" s="5">
        <v>16.66</v>
      </c>
      <c r="K214" s="5">
        <v>1144.8869999999999</v>
      </c>
      <c r="L214" s="5">
        <v>1161.55</v>
      </c>
      <c r="M214" s="6" t="s">
        <v>14</v>
      </c>
    </row>
    <row r="215" spans="1:13" ht="13" x14ac:dyDescent="0.15">
      <c r="A215" s="5">
        <v>4</v>
      </c>
      <c r="B215" s="5">
        <v>2</v>
      </c>
      <c r="C215" s="5">
        <v>3</v>
      </c>
      <c r="D215" s="6" t="s">
        <v>24</v>
      </c>
      <c r="E215" s="5">
        <v>1779</v>
      </c>
      <c r="F215" s="5">
        <v>0.23100000000000001</v>
      </c>
      <c r="G215" s="5">
        <v>15463550</v>
      </c>
      <c r="H215" s="1">
        <f t="shared" si="0"/>
        <v>8692.2709387296236</v>
      </c>
      <c r="I215" s="5">
        <v>1297.491</v>
      </c>
      <c r="J215" s="5">
        <v>16.797999999999998</v>
      </c>
      <c r="K215" s="5">
        <v>1348.74</v>
      </c>
      <c r="L215" s="5">
        <v>1365.566</v>
      </c>
      <c r="M215" s="6" t="s">
        <v>14</v>
      </c>
    </row>
    <row r="216" spans="1:13" ht="13" x14ac:dyDescent="0.15">
      <c r="A216" s="5">
        <v>5</v>
      </c>
      <c r="B216" s="5">
        <v>1</v>
      </c>
      <c r="C216" s="5">
        <v>4</v>
      </c>
      <c r="D216" s="6" t="s">
        <v>24</v>
      </c>
      <c r="E216" s="5">
        <v>1380</v>
      </c>
      <c r="F216" s="5">
        <v>0.26100000000000001</v>
      </c>
      <c r="G216" s="5">
        <v>39942162</v>
      </c>
      <c r="H216" s="1">
        <f t="shared" si="0"/>
        <v>28943.595652173914</v>
      </c>
      <c r="I216" s="5">
        <v>1754.2570000000001</v>
      </c>
      <c r="J216" s="5">
        <v>29.324000000000002</v>
      </c>
      <c r="K216" s="5">
        <v>1939.2619999999999</v>
      </c>
      <c r="L216" s="5">
        <v>1968.607</v>
      </c>
      <c r="M216" s="6" t="s">
        <v>14</v>
      </c>
    </row>
    <row r="217" spans="1:13" ht="13" x14ac:dyDescent="0.15">
      <c r="A217" s="5">
        <v>1</v>
      </c>
      <c r="B217" s="5">
        <v>5</v>
      </c>
      <c r="C217" s="5">
        <v>4</v>
      </c>
      <c r="D217" s="6" t="s">
        <v>23</v>
      </c>
      <c r="E217" s="5">
        <v>1380</v>
      </c>
      <c r="F217" s="5">
        <v>0.16800000000000001</v>
      </c>
      <c r="G217" s="5">
        <v>70649819</v>
      </c>
      <c r="H217" s="1">
        <f t="shared" si="0"/>
        <v>51195.521014492755</v>
      </c>
      <c r="I217" s="5">
        <v>5088.0959999999995</v>
      </c>
      <c r="J217" s="5">
        <v>46.58</v>
      </c>
      <c r="K217" s="5">
        <v>5435.2309999999998</v>
      </c>
      <c r="L217" s="5">
        <v>5481.8280000000004</v>
      </c>
      <c r="M217" s="6" t="s">
        <v>14</v>
      </c>
    </row>
    <row r="218" spans="1:13" ht="13" x14ac:dyDescent="0.15">
      <c r="A218" s="5">
        <v>2</v>
      </c>
      <c r="B218" s="5">
        <v>4</v>
      </c>
      <c r="C218" s="5">
        <v>4</v>
      </c>
      <c r="D218" s="6" t="s">
        <v>23</v>
      </c>
      <c r="E218" s="5">
        <v>1380</v>
      </c>
      <c r="F218" s="5">
        <v>0.2</v>
      </c>
      <c r="G218" s="5">
        <v>69541012</v>
      </c>
      <c r="H218" s="1">
        <f t="shared" si="0"/>
        <v>50392.037681159418</v>
      </c>
      <c r="I218" s="5">
        <v>5071.6440000000002</v>
      </c>
      <c r="J218" s="5">
        <v>46.73</v>
      </c>
      <c r="K218" s="5">
        <v>5413.96</v>
      </c>
      <c r="L218" s="5">
        <v>5460.7120000000004</v>
      </c>
      <c r="M218" s="6" t="s">
        <v>14</v>
      </c>
    </row>
    <row r="219" spans="1:13" ht="13" x14ac:dyDescent="0.15">
      <c r="A219" s="5">
        <v>4</v>
      </c>
      <c r="B219" s="5">
        <v>2</v>
      </c>
      <c r="C219" s="5">
        <v>4</v>
      </c>
      <c r="D219" s="6" t="s">
        <v>24</v>
      </c>
      <c r="E219" s="5">
        <v>1380</v>
      </c>
      <c r="F219" s="5">
        <v>0.111</v>
      </c>
      <c r="G219" s="5">
        <v>45317195</v>
      </c>
      <c r="H219" s="1">
        <f t="shared" si="0"/>
        <v>32838.547101449272</v>
      </c>
      <c r="I219" s="5">
        <v>2203.7759999999998</v>
      </c>
      <c r="J219" s="5">
        <v>34.805999999999997</v>
      </c>
      <c r="K219" s="5">
        <v>2431.6990000000001</v>
      </c>
      <c r="L219" s="5">
        <v>2466.527</v>
      </c>
      <c r="M219" s="6" t="s">
        <v>14</v>
      </c>
    </row>
    <row r="220" spans="1:13" ht="13" x14ac:dyDescent="0.15">
      <c r="A220" s="5">
        <v>3</v>
      </c>
      <c r="B220" s="5">
        <v>3</v>
      </c>
      <c r="C220" s="5">
        <v>4</v>
      </c>
      <c r="D220" s="6" t="s">
        <v>23</v>
      </c>
      <c r="E220" s="5">
        <v>1380</v>
      </c>
      <c r="F220" s="5">
        <v>0.14699999999999999</v>
      </c>
      <c r="G220" s="5">
        <v>72679391</v>
      </c>
      <c r="H220" s="1">
        <f t="shared" si="0"/>
        <v>52666.225362318837</v>
      </c>
      <c r="I220" s="5">
        <v>5408.0060000000003</v>
      </c>
      <c r="J220" s="5">
        <v>47.197000000000003</v>
      </c>
      <c r="K220" s="5">
        <v>5786.3220000000001</v>
      </c>
      <c r="L220" s="5">
        <v>5833.5519999999997</v>
      </c>
      <c r="M220" s="6" t="s">
        <v>14</v>
      </c>
    </row>
    <row r="221" spans="1:13" ht="13" x14ac:dyDescent="0.15">
      <c r="A221" s="5">
        <v>5</v>
      </c>
      <c r="B221" s="5">
        <v>1</v>
      </c>
      <c r="C221" s="5">
        <v>5</v>
      </c>
      <c r="D221" s="6" t="s">
        <v>24</v>
      </c>
      <c r="E221" s="5">
        <v>1216</v>
      </c>
      <c r="F221" s="5">
        <v>0.13900000000000001</v>
      </c>
      <c r="G221" s="5">
        <v>15689529</v>
      </c>
      <c r="H221" s="1">
        <f t="shared" si="0"/>
        <v>12902.573190789473</v>
      </c>
      <c r="I221" s="5">
        <v>1118.0920000000001</v>
      </c>
      <c r="J221" s="5">
        <v>20.087</v>
      </c>
      <c r="K221" s="5">
        <v>1183.9739999999999</v>
      </c>
      <c r="L221" s="5">
        <v>1204.0920000000001</v>
      </c>
      <c r="M221" s="6" t="s">
        <v>14</v>
      </c>
    </row>
    <row r="222" spans="1:13" ht="13" x14ac:dyDescent="0.15">
      <c r="A222" s="5">
        <v>1</v>
      </c>
      <c r="B222" s="5">
        <v>5</v>
      </c>
      <c r="C222" s="5">
        <v>5</v>
      </c>
      <c r="D222" s="6" t="s">
        <v>24</v>
      </c>
      <c r="E222" s="5">
        <v>1216</v>
      </c>
      <c r="F222" s="5">
        <v>4.5999999999999999E-2</v>
      </c>
      <c r="G222" s="5">
        <v>13532634</v>
      </c>
      <c r="H222" s="1">
        <f t="shared" si="0"/>
        <v>11128.810855263158</v>
      </c>
      <c r="I222" s="5">
        <v>417.21600000000001</v>
      </c>
      <c r="J222" s="5">
        <v>21.029</v>
      </c>
      <c r="K222" s="5">
        <v>475.16</v>
      </c>
      <c r="L222" s="5">
        <v>496.18900000000002</v>
      </c>
      <c r="M222" s="6" t="s">
        <v>14</v>
      </c>
    </row>
    <row r="223" spans="1:13" ht="13" x14ac:dyDescent="0.15">
      <c r="A223" s="5">
        <v>2</v>
      </c>
      <c r="B223" s="5">
        <v>4</v>
      </c>
      <c r="C223" s="5">
        <v>5</v>
      </c>
      <c r="D223" s="6" t="s">
        <v>24</v>
      </c>
      <c r="E223" s="5">
        <v>1216</v>
      </c>
      <c r="F223" s="5">
        <v>9.0999999999999998E-2</v>
      </c>
      <c r="G223" s="5">
        <v>26050278</v>
      </c>
      <c r="H223" s="1">
        <f t="shared" si="0"/>
        <v>21422.925986842107</v>
      </c>
      <c r="I223" s="5">
        <v>924.94200000000001</v>
      </c>
      <c r="J223" s="5">
        <v>28.446000000000002</v>
      </c>
      <c r="K223" s="5">
        <v>1029.3989999999999</v>
      </c>
      <c r="L223" s="5">
        <v>1057.8620000000001</v>
      </c>
      <c r="M223" s="6" t="s">
        <v>14</v>
      </c>
    </row>
    <row r="224" spans="1:13" ht="13" x14ac:dyDescent="0.15">
      <c r="A224" s="5">
        <v>4</v>
      </c>
      <c r="B224" s="5">
        <v>2</v>
      </c>
      <c r="C224" s="5">
        <v>5</v>
      </c>
      <c r="D224" s="6" t="s">
        <v>24</v>
      </c>
      <c r="E224" s="5">
        <v>1216</v>
      </c>
      <c r="F224" s="5">
        <v>0.17699999999999999</v>
      </c>
      <c r="G224" s="5">
        <v>20011150</v>
      </c>
      <c r="H224" s="1">
        <f t="shared" si="0"/>
        <v>16456.53782894737</v>
      </c>
      <c r="I224" s="5">
        <v>1716.81</v>
      </c>
      <c r="J224" s="5">
        <v>23.581</v>
      </c>
      <c r="K224" s="5">
        <v>1794.8409999999999</v>
      </c>
      <c r="L224" s="5">
        <v>1818.441</v>
      </c>
      <c r="M224" s="6" t="s">
        <v>14</v>
      </c>
    </row>
    <row r="225" spans="1:15" ht="13" x14ac:dyDescent="0.15">
      <c r="A225" s="5">
        <v>3</v>
      </c>
      <c r="B225" s="5">
        <v>3</v>
      </c>
      <c r="C225" s="5">
        <v>5</v>
      </c>
      <c r="D225" s="6" t="s">
        <v>24</v>
      </c>
      <c r="E225" s="5">
        <v>1216</v>
      </c>
      <c r="F225" s="5">
        <v>0.13200000000000001</v>
      </c>
      <c r="G225" s="5">
        <v>25900040</v>
      </c>
      <c r="H225" s="1">
        <f t="shared" si="0"/>
        <v>21299.375</v>
      </c>
      <c r="I225" s="5">
        <v>1114.625</v>
      </c>
      <c r="J225" s="5">
        <v>27.757000000000001</v>
      </c>
      <c r="K225" s="5">
        <v>1226.509</v>
      </c>
      <c r="L225" s="5">
        <v>1254.298</v>
      </c>
      <c r="M225" s="6" t="s">
        <v>14</v>
      </c>
    </row>
    <row r="226" spans="1:15" ht="13" x14ac:dyDescent="0.15">
      <c r="A226" s="5">
        <v>5</v>
      </c>
      <c r="B226" s="5">
        <v>1</v>
      </c>
      <c r="C226" s="5">
        <v>6</v>
      </c>
      <c r="D226" s="6" t="s">
        <v>24</v>
      </c>
      <c r="E226" s="5">
        <v>1259</v>
      </c>
      <c r="F226" s="5">
        <v>0.114</v>
      </c>
      <c r="G226" s="5">
        <v>58594280</v>
      </c>
      <c r="H226" s="1">
        <f t="shared" si="0"/>
        <v>46540.333598093726</v>
      </c>
      <c r="I226" s="5">
        <v>2801.3879999999999</v>
      </c>
      <c r="J226" s="5">
        <v>46.454999999999998</v>
      </c>
      <c r="K226" s="5">
        <v>3081.9859999999999</v>
      </c>
      <c r="L226" s="5">
        <v>3128.4589999999998</v>
      </c>
      <c r="M226" s="6" t="s">
        <v>14</v>
      </c>
    </row>
    <row r="227" spans="1:15" ht="13" x14ac:dyDescent="0.15">
      <c r="A227" s="5">
        <v>1</v>
      </c>
      <c r="B227" s="5">
        <v>5</v>
      </c>
      <c r="C227" s="5">
        <v>6</v>
      </c>
      <c r="D227" s="6" t="s">
        <v>24</v>
      </c>
      <c r="E227" s="5">
        <v>1259</v>
      </c>
      <c r="F227" s="5">
        <v>4.3999999999999997E-2</v>
      </c>
      <c r="G227" s="5">
        <v>51926183</v>
      </c>
      <c r="H227" s="1">
        <f t="shared" si="0"/>
        <v>41243.989674344717</v>
      </c>
      <c r="I227" s="5">
        <v>1521.739</v>
      </c>
      <c r="J227" s="5">
        <v>40.930999999999997</v>
      </c>
      <c r="K227" s="5">
        <v>1770.1949999999999</v>
      </c>
      <c r="L227" s="5">
        <v>1811.126</v>
      </c>
      <c r="M227" s="6" t="s">
        <v>14</v>
      </c>
    </row>
    <row r="228" spans="1:15" ht="13" x14ac:dyDescent="0.15">
      <c r="A228" s="5">
        <v>2</v>
      </c>
      <c r="B228" s="5">
        <v>4</v>
      </c>
      <c r="C228" s="5">
        <v>6</v>
      </c>
      <c r="D228" s="6" t="s">
        <v>24</v>
      </c>
      <c r="E228" s="5">
        <v>1259</v>
      </c>
      <c r="F228" s="5">
        <v>0.05</v>
      </c>
      <c r="G228" s="5">
        <v>61950927</v>
      </c>
      <c r="H228" s="1">
        <f t="shared" si="0"/>
        <v>49206.455123113585</v>
      </c>
      <c r="I228" s="5">
        <v>2097.0079999999998</v>
      </c>
      <c r="J228" s="5">
        <v>46.588999999999999</v>
      </c>
      <c r="K228" s="5">
        <v>2382.529</v>
      </c>
      <c r="L228" s="5">
        <v>2429.1179999999999</v>
      </c>
      <c r="M228" s="6" t="s">
        <v>14</v>
      </c>
    </row>
    <row r="229" spans="1:15" ht="13" x14ac:dyDescent="0.15">
      <c r="A229" s="5">
        <v>4</v>
      </c>
      <c r="B229" s="5">
        <v>2</v>
      </c>
      <c r="C229" s="5">
        <v>6</v>
      </c>
      <c r="D229" s="6" t="s">
        <v>24</v>
      </c>
      <c r="E229" s="5">
        <v>1259</v>
      </c>
      <c r="F229" s="5">
        <v>0.153</v>
      </c>
      <c r="G229" s="5">
        <v>66248186</v>
      </c>
      <c r="H229" s="1">
        <f t="shared" si="0"/>
        <v>52619.68705321684</v>
      </c>
      <c r="I229" s="5">
        <v>3251.8319999999999</v>
      </c>
      <c r="J229" s="5">
        <v>49.098999999999997</v>
      </c>
      <c r="K229" s="5">
        <v>3569.25</v>
      </c>
      <c r="L229" s="5">
        <v>3618.373</v>
      </c>
      <c r="M229" s="6" t="s">
        <v>14</v>
      </c>
    </row>
    <row r="230" spans="1:15" ht="13" x14ac:dyDescent="0.15">
      <c r="A230" s="5">
        <v>3</v>
      </c>
      <c r="B230" s="5">
        <v>3</v>
      </c>
      <c r="C230" s="5">
        <v>6</v>
      </c>
      <c r="D230" s="6" t="s">
        <v>24</v>
      </c>
      <c r="E230" s="5">
        <v>1259</v>
      </c>
      <c r="F230" s="5">
        <v>0.121</v>
      </c>
      <c r="G230" s="5">
        <v>65572010</v>
      </c>
      <c r="H230" s="1">
        <f t="shared" si="0"/>
        <v>52082.613185067516</v>
      </c>
      <c r="I230" s="5">
        <v>2613.884</v>
      </c>
      <c r="J230" s="5">
        <v>49.802999999999997</v>
      </c>
      <c r="K230" s="5">
        <v>2923.2249999999999</v>
      </c>
      <c r="L230" s="5">
        <v>2973.0540000000001</v>
      </c>
      <c r="M230" s="6" t="s">
        <v>14</v>
      </c>
    </row>
    <row r="231" spans="1:15" ht="13" x14ac:dyDescent="0.15">
      <c r="A231" s="5">
        <v>5</v>
      </c>
      <c r="B231" s="5">
        <v>1</v>
      </c>
      <c r="C231" s="5">
        <v>7</v>
      </c>
      <c r="D231" s="6" t="s">
        <v>24</v>
      </c>
      <c r="E231" s="5">
        <v>1407</v>
      </c>
      <c r="F231" s="5">
        <v>0.156</v>
      </c>
      <c r="G231" s="5">
        <v>61789380</v>
      </c>
      <c r="H231" s="1">
        <f t="shared" si="0"/>
        <v>43915.692963752663</v>
      </c>
      <c r="I231" s="5">
        <v>4984.5749999999998</v>
      </c>
      <c r="J231" s="5">
        <v>37.71</v>
      </c>
      <c r="K231" s="5">
        <v>5279.9129999999996</v>
      </c>
      <c r="L231" s="5">
        <v>5317.625</v>
      </c>
      <c r="M231" s="6" t="s">
        <v>14</v>
      </c>
    </row>
    <row r="232" spans="1:15" ht="13" x14ac:dyDescent="0.15">
      <c r="A232" s="5">
        <v>1</v>
      </c>
      <c r="B232" s="5">
        <v>5</v>
      </c>
      <c r="C232" s="5">
        <v>7</v>
      </c>
      <c r="D232" s="6" t="s">
        <v>24</v>
      </c>
      <c r="E232" s="5">
        <v>1407</v>
      </c>
      <c r="F232" s="5">
        <v>7.0999999999999994E-2</v>
      </c>
      <c r="G232" s="5">
        <v>30697413</v>
      </c>
      <c r="H232" s="1">
        <f t="shared" si="0"/>
        <v>21817.635394456291</v>
      </c>
      <c r="I232" s="5">
        <v>1283.4749999999999</v>
      </c>
      <c r="J232" s="5">
        <v>26.494</v>
      </c>
      <c r="K232" s="5">
        <v>1413.28</v>
      </c>
      <c r="L232" s="5">
        <v>1439.798</v>
      </c>
      <c r="M232" s="6" t="s">
        <v>14</v>
      </c>
    </row>
    <row r="233" spans="1:15" ht="13" x14ac:dyDescent="0.15">
      <c r="A233" s="5">
        <v>2</v>
      </c>
      <c r="B233" s="5">
        <v>4</v>
      </c>
      <c r="C233" s="5">
        <v>7</v>
      </c>
      <c r="D233" s="6" t="s">
        <v>24</v>
      </c>
      <c r="E233" s="5">
        <v>1407</v>
      </c>
      <c r="F233" s="5">
        <v>0.14699999999999999</v>
      </c>
      <c r="G233" s="5">
        <v>44553744</v>
      </c>
      <c r="H233" s="1">
        <f t="shared" si="0"/>
        <v>31665.773987206823</v>
      </c>
      <c r="I233" s="5">
        <v>2445.0790000000002</v>
      </c>
      <c r="J233" s="5">
        <v>32.299999999999997</v>
      </c>
      <c r="K233" s="5">
        <v>2655.174</v>
      </c>
      <c r="L233" s="5">
        <v>2687.5010000000002</v>
      </c>
      <c r="M233" s="6" t="s">
        <v>14</v>
      </c>
    </row>
    <row r="234" spans="1:15" ht="13" x14ac:dyDescent="0.15">
      <c r="A234" s="5">
        <v>4</v>
      </c>
      <c r="B234" s="5">
        <v>2</v>
      </c>
      <c r="C234" s="5">
        <v>7</v>
      </c>
      <c r="D234" s="6" t="s">
        <v>34</v>
      </c>
      <c r="E234" s="5">
        <v>1407</v>
      </c>
      <c r="F234" s="5">
        <v>0.154</v>
      </c>
      <c r="G234" s="5">
        <v>68000388</v>
      </c>
      <c r="H234" s="1">
        <f t="shared" si="0"/>
        <v>48330.055437100214</v>
      </c>
      <c r="I234" s="5">
        <v>5151.9750000000004</v>
      </c>
      <c r="J234" s="5">
        <v>41.503</v>
      </c>
      <c r="K234" s="5">
        <v>5477.4960000000001</v>
      </c>
      <c r="L234" s="5">
        <v>5519.0010000000002</v>
      </c>
      <c r="M234" s="6" t="s">
        <v>14</v>
      </c>
    </row>
    <row r="235" spans="1:15" ht="13" x14ac:dyDescent="0.15">
      <c r="A235" s="5">
        <v>3</v>
      </c>
      <c r="B235" s="5">
        <v>3</v>
      </c>
      <c r="C235" s="5">
        <v>7</v>
      </c>
      <c r="D235" s="6" t="s">
        <v>33</v>
      </c>
      <c r="E235" s="5">
        <v>1407</v>
      </c>
      <c r="F235" s="5">
        <v>0.17799999999999999</v>
      </c>
      <c r="G235" s="5">
        <v>73584670</v>
      </c>
      <c r="H235" s="1">
        <f t="shared" si="0"/>
        <v>52298.983653162759</v>
      </c>
      <c r="I235" s="5">
        <v>5399.1530000000002</v>
      </c>
      <c r="J235" s="5">
        <v>44.218000000000004</v>
      </c>
      <c r="K235" s="5">
        <v>5749.8379999999997</v>
      </c>
      <c r="L235" s="5">
        <v>5794.0829999999996</v>
      </c>
      <c r="M235" s="6" t="s">
        <v>14</v>
      </c>
    </row>
    <row r="236" spans="1:15" ht="13" x14ac:dyDescent="0.15">
      <c r="A236" s="1">
        <v>1</v>
      </c>
      <c r="B236" s="1">
        <v>1</v>
      </c>
      <c r="C236" s="1">
        <v>1</v>
      </c>
      <c r="D236" s="1" t="s">
        <v>24</v>
      </c>
      <c r="E236" s="1">
        <v>16</v>
      </c>
      <c r="F236" s="1">
        <v>5.0000000000000001E-3</v>
      </c>
      <c r="G236" s="1">
        <v>48721</v>
      </c>
      <c r="H236" s="1">
        <f t="shared" si="0"/>
        <v>3045.0625</v>
      </c>
      <c r="I236" s="1">
        <v>0.54600000000000004</v>
      </c>
      <c r="J236" s="1">
        <v>0.72299999999999998</v>
      </c>
      <c r="K236" s="1">
        <v>0.77200000000000002</v>
      </c>
      <c r="L236" s="1">
        <v>1.4950000000000001</v>
      </c>
      <c r="M236" s="1" t="s">
        <v>35</v>
      </c>
      <c r="O236" s="1" t="s">
        <v>36</v>
      </c>
    </row>
    <row r="237" spans="1:15" ht="13" x14ac:dyDescent="0.15">
      <c r="A237" s="1">
        <v>1</v>
      </c>
      <c r="B237" s="1">
        <v>1</v>
      </c>
      <c r="C237" s="1">
        <v>2</v>
      </c>
      <c r="D237" s="1" t="s">
        <v>24</v>
      </c>
      <c r="E237" s="1">
        <v>20</v>
      </c>
      <c r="F237" s="1">
        <v>2.7E-2</v>
      </c>
      <c r="G237" s="1">
        <v>45932</v>
      </c>
      <c r="H237" s="1">
        <f t="shared" si="0"/>
        <v>2296.6</v>
      </c>
      <c r="I237" s="1">
        <v>0.64500000000000002</v>
      </c>
      <c r="J237" s="1">
        <v>0.70299999999999996</v>
      </c>
      <c r="K237" s="1">
        <v>0.85199999999999998</v>
      </c>
      <c r="L237" s="1">
        <v>1.5549999999999999</v>
      </c>
      <c r="M237" s="1" t="s">
        <v>35</v>
      </c>
    </row>
    <row r="238" spans="1:15" ht="13" x14ac:dyDescent="0.15">
      <c r="A238" s="1">
        <v>1</v>
      </c>
      <c r="B238" s="1">
        <v>1</v>
      </c>
      <c r="C238" s="1">
        <v>3</v>
      </c>
      <c r="D238" s="1" t="s">
        <v>24</v>
      </c>
      <c r="E238" s="1">
        <v>27</v>
      </c>
      <c r="F238" s="1">
        <v>8.1000000000000003E-2</v>
      </c>
      <c r="G238" s="1">
        <v>61515</v>
      </c>
      <c r="H238" s="1">
        <f t="shared" si="0"/>
        <v>2278.3333333333335</v>
      </c>
      <c r="I238" s="1">
        <v>1.534</v>
      </c>
      <c r="J238" s="1">
        <v>0.84699999999999998</v>
      </c>
      <c r="K238" s="1">
        <v>1.835</v>
      </c>
      <c r="L238" s="1">
        <v>2.6819999999999999</v>
      </c>
      <c r="M238" s="1" t="s">
        <v>35</v>
      </c>
    </row>
    <row r="239" spans="1:15" ht="13" x14ac:dyDescent="0.15">
      <c r="A239" s="1">
        <v>1</v>
      </c>
      <c r="B239" s="1">
        <v>1</v>
      </c>
      <c r="C239" s="1">
        <v>4</v>
      </c>
      <c r="D239" s="1" t="s">
        <v>24</v>
      </c>
      <c r="E239" s="1">
        <v>21</v>
      </c>
      <c r="F239" s="1">
        <v>8.4000000000000005E-2</v>
      </c>
      <c r="G239" s="1">
        <v>55326</v>
      </c>
      <c r="H239" s="1">
        <f t="shared" si="0"/>
        <v>2634.5714285714284</v>
      </c>
      <c r="I239" s="1">
        <v>1.6220000000000001</v>
      </c>
      <c r="J239" s="1">
        <v>0.88200000000000001</v>
      </c>
      <c r="K239" s="1">
        <v>1.867</v>
      </c>
      <c r="L239" s="1">
        <v>2.7490000000000001</v>
      </c>
      <c r="M239" s="1" t="s">
        <v>35</v>
      </c>
    </row>
    <row r="240" spans="1:15" ht="13" x14ac:dyDescent="0.15">
      <c r="A240" s="1">
        <v>1</v>
      </c>
      <c r="B240" s="1">
        <v>1</v>
      </c>
      <c r="C240" s="1">
        <v>5</v>
      </c>
      <c r="D240" s="1" t="s">
        <v>24</v>
      </c>
      <c r="E240" s="1">
        <v>18</v>
      </c>
      <c r="F240" s="1">
        <v>8.2000000000000003E-2</v>
      </c>
      <c r="G240" s="1">
        <v>34310</v>
      </c>
      <c r="H240" s="1">
        <f t="shared" si="0"/>
        <v>1906.1111111111111</v>
      </c>
      <c r="I240" s="1">
        <v>0.34100000000000003</v>
      </c>
      <c r="J240" s="1">
        <v>1.0089999999999999</v>
      </c>
      <c r="K240" s="1">
        <v>0.51100000000000001</v>
      </c>
      <c r="L240" s="1">
        <v>1.52</v>
      </c>
      <c r="M240" s="1" t="s">
        <v>35</v>
      </c>
    </row>
    <row r="241" spans="1:13" ht="13" x14ac:dyDescent="0.15">
      <c r="A241" s="1">
        <v>1</v>
      </c>
      <c r="B241" s="1">
        <v>1</v>
      </c>
      <c r="C241" s="1">
        <v>6</v>
      </c>
      <c r="D241" s="1" t="s">
        <v>24</v>
      </c>
      <c r="E241" s="1">
        <v>15</v>
      </c>
      <c r="F241" s="1">
        <v>2.9000000000000001E-2</v>
      </c>
      <c r="G241" s="1">
        <v>63525</v>
      </c>
      <c r="H241" s="1">
        <f t="shared" si="0"/>
        <v>4235</v>
      </c>
      <c r="I241" s="1">
        <v>0.63700000000000001</v>
      </c>
      <c r="J241" s="1">
        <v>0.73799999999999999</v>
      </c>
      <c r="K241" s="1">
        <v>0.94799999999999995</v>
      </c>
      <c r="L241" s="1">
        <v>1.6859999999999999</v>
      </c>
      <c r="M241" s="1" t="s">
        <v>35</v>
      </c>
    </row>
    <row r="242" spans="1:13" ht="13" x14ac:dyDescent="0.15">
      <c r="A242" s="1">
        <v>1</v>
      </c>
      <c r="B242" s="1">
        <v>1</v>
      </c>
      <c r="C242" s="1">
        <v>7</v>
      </c>
      <c r="D242" s="1" t="s">
        <v>24</v>
      </c>
      <c r="E242" s="1">
        <v>16</v>
      </c>
      <c r="F242" s="1">
        <v>0.03</v>
      </c>
      <c r="G242" s="1">
        <v>49323</v>
      </c>
      <c r="H242" s="1">
        <f t="shared" si="0"/>
        <v>3082.6875</v>
      </c>
      <c r="I242" s="1">
        <v>0.58799999999999997</v>
      </c>
      <c r="J242" s="1">
        <v>0.75</v>
      </c>
      <c r="K242" s="1">
        <v>0.81299999999999994</v>
      </c>
      <c r="L242" s="1">
        <v>1.5629999999999999</v>
      </c>
      <c r="M242" s="1" t="s">
        <v>35</v>
      </c>
    </row>
    <row r="243" spans="1:13" ht="13" x14ac:dyDescent="0.15">
      <c r="A243" s="1">
        <v>1</v>
      </c>
      <c r="B243" s="1">
        <v>1</v>
      </c>
      <c r="C243" s="1">
        <v>8</v>
      </c>
      <c r="D243" s="1" t="s">
        <v>24</v>
      </c>
      <c r="E243" s="1">
        <v>24</v>
      </c>
      <c r="F243" s="1">
        <v>1.6E-2</v>
      </c>
      <c r="G243" s="1">
        <v>55880</v>
      </c>
      <c r="H243" s="1">
        <f t="shared" si="0"/>
        <v>2328.3333333333335</v>
      </c>
      <c r="I243" s="1">
        <v>1.6120000000000001</v>
      </c>
      <c r="J243" s="1">
        <v>0.59899999999999998</v>
      </c>
      <c r="K243" s="1">
        <v>1.855</v>
      </c>
      <c r="L243" s="1">
        <v>2.4540000000000002</v>
      </c>
      <c r="M243" s="1" t="s">
        <v>35</v>
      </c>
    </row>
    <row r="244" spans="1:13" ht="13" x14ac:dyDescent="0.15">
      <c r="A244" s="1">
        <v>1</v>
      </c>
      <c r="B244" s="1">
        <v>1</v>
      </c>
      <c r="C244" s="1">
        <v>9</v>
      </c>
      <c r="D244" s="1" t="s">
        <v>13</v>
      </c>
      <c r="E244" s="1">
        <v>27</v>
      </c>
      <c r="F244" s="1">
        <v>2.1000000000000001E-2</v>
      </c>
      <c r="G244" s="1">
        <v>58827</v>
      </c>
      <c r="H244" s="1">
        <f t="shared" si="0"/>
        <v>2178.7777777777778</v>
      </c>
      <c r="I244" s="1">
        <v>2.62</v>
      </c>
      <c r="J244" s="1">
        <v>0.58199999999999996</v>
      </c>
      <c r="K244" s="1">
        <v>2.903</v>
      </c>
      <c r="L244" s="1">
        <v>3.4849999999999999</v>
      </c>
      <c r="M244" s="1" t="s">
        <v>35</v>
      </c>
    </row>
    <row r="245" spans="1:13" ht="13" x14ac:dyDescent="0.15">
      <c r="A245" s="1">
        <v>1</v>
      </c>
      <c r="B245" s="1">
        <v>1</v>
      </c>
      <c r="C245" s="1">
        <v>10</v>
      </c>
      <c r="D245" s="1" t="s">
        <v>24</v>
      </c>
      <c r="E245" s="1">
        <v>21</v>
      </c>
      <c r="F245" s="1">
        <v>5.0000000000000001E-3</v>
      </c>
      <c r="G245" s="1">
        <v>56334</v>
      </c>
      <c r="H245" s="1">
        <f t="shared" si="0"/>
        <v>2682.5714285714284</v>
      </c>
      <c r="I245" s="1">
        <v>0.81200000000000006</v>
      </c>
      <c r="J245" s="1">
        <v>0.58199999999999996</v>
      </c>
      <c r="K245" s="1">
        <v>1.06</v>
      </c>
      <c r="L245" s="1">
        <v>1.6419999999999999</v>
      </c>
      <c r="M245" s="1" t="s">
        <v>35</v>
      </c>
    </row>
    <row r="246" spans="1:13" ht="13" x14ac:dyDescent="0.15">
      <c r="A246" s="1">
        <v>1</v>
      </c>
      <c r="B246" s="1">
        <v>1</v>
      </c>
      <c r="C246" s="1">
        <v>11</v>
      </c>
      <c r="D246" s="1" t="s">
        <v>15</v>
      </c>
      <c r="E246" s="1">
        <v>18</v>
      </c>
      <c r="F246" s="1">
        <v>6.0000000000000001E-3</v>
      </c>
      <c r="G246" s="1">
        <v>58631</v>
      </c>
      <c r="H246" s="1">
        <f t="shared" si="0"/>
        <v>3257.2777777777778</v>
      </c>
      <c r="I246" s="1">
        <v>3.246</v>
      </c>
      <c r="J246" s="1">
        <v>0.58899999999999997</v>
      </c>
      <c r="K246" s="1">
        <v>3.5369999999999999</v>
      </c>
      <c r="L246" s="1">
        <v>4.1260000000000003</v>
      </c>
      <c r="M246" s="1" t="s">
        <v>35</v>
      </c>
    </row>
    <row r="247" spans="1:13" ht="13" x14ac:dyDescent="0.15">
      <c r="A247" s="1">
        <v>1</v>
      </c>
      <c r="B247" s="1">
        <v>1</v>
      </c>
      <c r="C247" s="1">
        <v>12</v>
      </c>
      <c r="D247" s="1" t="s">
        <v>24</v>
      </c>
      <c r="E247" s="1">
        <v>19</v>
      </c>
      <c r="F247" s="1">
        <v>5.0000000000000001E-3</v>
      </c>
      <c r="G247" s="1">
        <v>61263</v>
      </c>
      <c r="H247" s="1">
        <f t="shared" si="0"/>
        <v>3224.3684210526317</v>
      </c>
      <c r="I247" s="1">
        <v>0.65200000000000002</v>
      </c>
      <c r="J247" s="1">
        <v>0.624</v>
      </c>
      <c r="K247" s="1">
        <v>0.95899999999999996</v>
      </c>
      <c r="L247" s="1">
        <v>1.583</v>
      </c>
      <c r="M247" s="1" t="s">
        <v>35</v>
      </c>
    </row>
    <row r="248" spans="1:13" ht="13" x14ac:dyDescent="0.15">
      <c r="A248" s="1">
        <v>1</v>
      </c>
      <c r="B248" s="1">
        <v>1</v>
      </c>
      <c r="C248" s="1">
        <v>13</v>
      </c>
      <c r="D248" s="1" t="s">
        <v>24</v>
      </c>
      <c r="E248" s="1">
        <v>15</v>
      </c>
      <c r="F248" s="1">
        <v>1.7000000000000001E-2</v>
      </c>
      <c r="G248" s="1">
        <v>55798</v>
      </c>
      <c r="H248" s="1">
        <f t="shared" si="0"/>
        <v>3719.8666666666668</v>
      </c>
      <c r="I248" s="1">
        <v>0.61199999999999999</v>
      </c>
      <c r="J248" s="1">
        <v>0.64300000000000002</v>
      </c>
      <c r="K248" s="1">
        <v>0.86499999999999999</v>
      </c>
      <c r="L248" s="1">
        <v>1.508</v>
      </c>
      <c r="M248" s="1" t="s">
        <v>35</v>
      </c>
    </row>
    <row r="249" spans="1:13" ht="13" x14ac:dyDescent="0.15">
      <c r="A249" s="1">
        <v>1</v>
      </c>
      <c r="B249" s="1">
        <v>1</v>
      </c>
      <c r="C249" s="1">
        <v>14</v>
      </c>
      <c r="D249" s="1" t="s">
        <v>24</v>
      </c>
      <c r="E249" s="1">
        <v>15</v>
      </c>
      <c r="F249" s="1">
        <v>1.6E-2</v>
      </c>
      <c r="G249" s="1">
        <v>56702</v>
      </c>
      <c r="H249" s="1">
        <f t="shared" si="0"/>
        <v>3780.1333333333332</v>
      </c>
      <c r="I249" s="1">
        <v>0.67400000000000004</v>
      </c>
      <c r="J249" s="1">
        <v>0.59499999999999997</v>
      </c>
      <c r="K249" s="1">
        <v>0.93400000000000005</v>
      </c>
      <c r="L249" s="1">
        <v>1.53</v>
      </c>
      <c r="M249" s="1" t="s">
        <v>35</v>
      </c>
    </row>
    <row r="250" spans="1:13" ht="13" x14ac:dyDescent="0.15">
      <c r="A250" s="1">
        <v>1</v>
      </c>
      <c r="B250" s="1">
        <v>1</v>
      </c>
      <c r="C250" s="1">
        <v>15</v>
      </c>
      <c r="D250" s="1" t="s">
        <v>24</v>
      </c>
      <c r="E250" s="1">
        <v>15</v>
      </c>
      <c r="F250" s="1">
        <v>0.02</v>
      </c>
      <c r="G250" s="1">
        <v>64258</v>
      </c>
      <c r="H250" s="1">
        <f t="shared" si="0"/>
        <v>4283.8666666666668</v>
      </c>
      <c r="I250" s="1">
        <v>0.55400000000000005</v>
      </c>
      <c r="J250" s="1">
        <v>0.61899999999999999</v>
      </c>
      <c r="K250" s="1">
        <v>0.85699999999999998</v>
      </c>
      <c r="L250" s="1">
        <v>1.476</v>
      </c>
      <c r="M250" s="1" t="s">
        <v>35</v>
      </c>
    </row>
    <row r="251" spans="1:13" ht="13" x14ac:dyDescent="0.15">
      <c r="A251" s="1">
        <v>1</v>
      </c>
      <c r="B251" s="1">
        <v>1</v>
      </c>
      <c r="C251" s="1">
        <v>16</v>
      </c>
      <c r="D251" s="1" t="s">
        <v>24</v>
      </c>
      <c r="E251" s="1">
        <v>21</v>
      </c>
      <c r="F251" s="1">
        <v>4.2000000000000003E-2</v>
      </c>
      <c r="G251" s="1">
        <v>57686</v>
      </c>
      <c r="H251" s="1">
        <f t="shared" si="0"/>
        <v>2746.9523809523807</v>
      </c>
      <c r="I251" s="1">
        <v>2.605</v>
      </c>
      <c r="J251" s="1">
        <v>0.61799999999999999</v>
      </c>
      <c r="K251" s="1">
        <v>2.8940000000000001</v>
      </c>
      <c r="L251" s="1">
        <v>3.512</v>
      </c>
      <c r="M251" s="1" t="s">
        <v>35</v>
      </c>
    </row>
    <row r="252" spans="1:13" ht="13" x14ac:dyDescent="0.15">
      <c r="A252" s="1">
        <v>1</v>
      </c>
      <c r="B252" s="1">
        <v>1</v>
      </c>
      <c r="C252" s="1">
        <v>17</v>
      </c>
      <c r="D252" s="1" t="s">
        <v>24</v>
      </c>
      <c r="E252" s="1">
        <v>15</v>
      </c>
      <c r="F252" s="1">
        <v>5.0000000000000001E-3</v>
      </c>
      <c r="G252" s="1">
        <v>60444</v>
      </c>
      <c r="H252" s="1">
        <f t="shared" si="0"/>
        <v>4029.6</v>
      </c>
      <c r="I252" s="1">
        <v>0.56699999999999995</v>
      </c>
      <c r="J252" s="1">
        <v>0.624</v>
      </c>
      <c r="K252" s="1">
        <v>0.85899999999999999</v>
      </c>
      <c r="L252" s="1">
        <v>1.4830000000000001</v>
      </c>
      <c r="M252" s="1" t="s">
        <v>35</v>
      </c>
    </row>
    <row r="253" spans="1:13" ht="13" x14ac:dyDescent="0.15">
      <c r="A253" s="1">
        <v>1</v>
      </c>
      <c r="B253" s="1">
        <v>1</v>
      </c>
      <c r="C253" s="1">
        <v>18</v>
      </c>
      <c r="D253" s="1" t="s">
        <v>24</v>
      </c>
      <c r="E253" s="1">
        <v>20</v>
      </c>
      <c r="F253" s="1">
        <v>5.1999999999999998E-2</v>
      </c>
      <c r="G253" s="1">
        <v>43456</v>
      </c>
      <c r="H253" s="1">
        <f t="shared" si="0"/>
        <v>2172.8000000000002</v>
      </c>
      <c r="I253" s="1">
        <v>0.44700000000000001</v>
      </c>
      <c r="J253" s="1">
        <v>0.88900000000000001</v>
      </c>
      <c r="K253" s="1">
        <v>0.65300000000000002</v>
      </c>
      <c r="L253" s="1">
        <v>1.542</v>
      </c>
      <c r="M253" s="1" t="s">
        <v>35</v>
      </c>
    </row>
    <row r="254" spans="1:13" ht="13" x14ac:dyDescent="0.15">
      <c r="A254" s="1">
        <v>1</v>
      </c>
      <c r="B254" s="1">
        <v>1</v>
      </c>
      <c r="C254" s="1">
        <v>19</v>
      </c>
      <c r="D254" s="1" t="s">
        <v>24</v>
      </c>
      <c r="E254" s="1">
        <v>19</v>
      </c>
      <c r="F254" s="1">
        <v>5.5E-2</v>
      </c>
      <c r="G254" s="1">
        <v>53464</v>
      </c>
      <c r="H254" s="1">
        <f t="shared" si="0"/>
        <v>2813.8947368421054</v>
      </c>
      <c r="I254" s="1">
        <v>0.57899999999999996</v>
      </c>
      <c r="J254" s="1">
        <v>0.86799999999999999</v>
      </c>
      <c r="K254" s="1">
        <v>0.83599999999999997</v>
      </c>
      <c r="L254" s="1">
        <v>1.704</v>
      </c>
      <c r="M254" s="1" t="s">
        <v>35</v>
      </c>
    </row>
    <row r="255" spans="1:13" ht="13" x14ac:dyDescent="0.15">
      <c r="A255" s="1">
        <v>1</v>
      </c>
      <c r="B255" s="1">
        <v>1</v>
      </c>
      <c r="C255" s="1">
        <v>20</v>
      </c>
      <c r="D255" s="1" t="s">
        <v>24</v>
      </c>
      <c r="E255" s="1">
        <v>16</v>
      </c>
      <c r="F255" s="1">
        <v>6.0000000000000001E-3</v>
      </c>
      <c r="G255" s="1">
        <v>47886</v>
      </c>
      <c r="H255" s="1">
        <f t="shared" si="0"/>
        <v>2992.875</v>
      </c>
      <c r="I255" s="1">
        <v>0.60099999999999998</v>
      </c>
      <c r="J255" s="1">
        <v>0.65</v>
      </c>
      <c r="K255" s="1">
        <v>0.82099999999999995</v>
      </c>
      <c r="L255" s="1">
        <v>1.4710000000000001</v>
      </c>
      <c r="M255" s="1" t="s">
        <v>35</v>
      </c>
    </row>
    <row r="256" spans="1:13" ht="13" x14ac:dyDescent="0.15">
      <c r="A256" s="1">
        <v>1</v>
      </c>
      <c r="B256" s="1">
        <v>2</v>
      </c>
      <c r="C256" s="1">
        <v>1</v>
      </c>
      <c r="D256" s="1" t="s">
        <v>24</v>
      </c>
      <c r="E256" s="1">
        <v>84</v>
      </c>
      <c r="F256" s="1">
        <v>7.0000000000000001E-3</v>
      </c>
      <c r="G256" s="1">
        <v>2151977</v>
      </c>
      <c r="H256" s="1">
        <f t="shared" si="0"/>
        <v>25618.773809523809</v>
      </c>
      <c r="I256" s="1">
        <v>36.997999999999998</v>
      </c>
      <c r="J256" s="1">
        <v>4.202</v>
      </c>
      <c r="K256" s="1">
        <v>48.372</v>
      </c>
      <c r="L256" s="1">
        <v>52.573999999999998</v>
      </c>
      <c r="M256" s="1" t="s">
        <v>35</v>
      </c>
    </row>
    <row r="257" spans="1:13" ht="13" x14ac:dyDescent="0.15">
      <c r="A257" s="1">
        <v>1</v>
      </c>
      <c r="B257" s="1">
        <v>2</v>
      </c>
      <c r="C257" s="1">
        <v>2</v>
      </c>
      <c r="D257" s="1" t="s">
        <v>24</v>
      </c>
      <c r="E257" s="1">
        <v>93</v>
      </c>
      <c r="F257" s="1">
        <v>2.5000000000000001E-2</v>
      </c>
      <c r="G257" s="1">
        <v>1792900</v>
      </c>
      <c r="H257" s="1">
        <f t="shared" ref="H257:H511" si="3">G257/E257</f>
        <v>19278.494623655915</v>
      </c>
      <c r="I257" s="1">
        <v>30.861999999999998</v>
      </c>
      <c r="J257" s="1">
        <v>4.1950000000000003</v>
      </c>
      <c r="K257" s="1">
        <v>39.792000000000002</v>
      </c>
      <c r="L257" s="1">
        <v>43.987000000000002</v>
      </c>
      <c r="M257" s="1" t="s">
        <v>35</v>
      </c>
    </row>
    <row r="258" spans="1:13" ht="13" x14ac:dyDescent="0.15">
      <c r="A258" s="1">
        <v>1</v>
      </c>
      <c r="B258" s="1">
        <v>2</v>
      </c>
      <c r="C258" s="1">
        <v>3</v>
      </c>
      <c r="D258" s="1" t="s">
        <v>24</v>
      </c>
      <c r="E258" s="1">
        <v>130</v>
      </c>
      <c r="F258" s="1">
        <v>9.1999999999999998E-2</v>
      </c>
      <c r="G258" s="1">
        <v>2419636</v>
      </c>
      <c r="H258" s="1">
        <f t="shared" si="3"/>
        <v>18612.584615384614</v>
      </c>
      <c r="I258" s="1">
        <v>165.631</v>
      </c>
      <c r="J258" s="1">
        <v>4.0119999999999996</v>
      </c>
      <c r="K258" s="1">
        <v>177.821</v>
      </c>
      <c r="L258" s="1">
        <v>181.833</v>
      </c>
      <c r="M258" s="1" t="s">
        <v>35</v>
      </c>
    </row>
    <row r="259" spans="1:13" ht="13" x14ac:dyDescent="0.15">
      <c r="A259" s="1">
        <v>1</v>
      </c>
      <c r="B259" s="1">
        <v>2</v>
      </c>
      <c r="C259" s="1">
        <v>4</v>
      </c>
      <c r="D259" s="1" t="s">
        <v>24</v>
      </c>
      <c r="E259" s="1">
        <v>102</v>
      </c>
      <c r="F259" s="1">
        <v>8.5000000000000006E-2</v>
      </c>
      <c r="G259" s="1">
        <v>2262854</v>
      </c>
      <c r="H259" s="1">
        <f t="shared" si="3"/>
        <v>22184.843137254902</v>
      </c>
      <c r="I259" s="1">
        <v>57.320999999999998</v>
      </c>
      <c r="J259" s="1">
        <v>4.2389999999999999</v>
      </c>
      <c r="K259" s="1">
        <v>68.495000000000005</v>
      </c>
      <c r="L259" s="1">
        <v>72.733999999999995</v>
      </c>
      <c r="M259" s="1" t="s">
        <v>35</v>
      </c>
    </row>
    <row r="260" spans="1:13" ht="13" x14ac:dyDescent="0.15">
      <c r="A260" s="1">
        <v>1</v>
      </c>
      <c r="B260" s="1">
        <v>2</v>
      </c>
      <c r="C260" s="1">
        <v>5</v>
      </c>
      <c r="D260" s="1" t="s">
        <v>24</v>
      </c>
      <c r="E260" s="1">
        <v>63</v>
      </c>
      <c r="F260" s="1">
        <v>8.3000000000000004E-2</v>
      </c>
      <c r="G260" s="1">
        <v>1665220</v>
      </c>
      <c r="H260" s="1">
        <f t="shared" si="3"/>
        <v>26432.063492063491</v>
      </c>
      <c r="I260" s="1">
        <v>23.712</v>
      </c>
      <c r="J260" s="1">
        <v>4.5460000000000003</v>
      </c>
      <c r="K260" s="1">
        <v>32.064999999999998</v>
      </c>
      <c r="L260" s="1">
        <v>36.612000000000002</v>
      </c>
      <c r="M260" s="1" t="s">
        <v>35</v>
      </c>
    </row>
    <row r="261" spans="1:13" ht="13" x14ac:dyDescent="0.15">
      <c r="A261" s="1">
        <v>1</v>
      </c>
      <c r="B261" s="1">
        <v>2</v>
      </c>
      <c r="C261" s="1">
        <v>6</v>
      </c>
      <c r="D261" s="1" t="s">
        <v>24</v>
      </c>
      <c r="E261" s="1">
        <v>74</v>
      </c>
      <c r="F261" s="1">
        <v>8.9999999999999993E-3</v>
      </c>
      <c r="G261" s="1">
        <v>1943072</v>
      </c>
      <c r="H261" s="1">
        <f t="shared" si="3"/>
        <v>26257.72972972973</v>
      </c>
      <c r="I261" s="1">
        <v>29.213000000000001</v>
      </c>
      <c r="J261" s="1">
        <v>4.0949999999999998</v>
      </c>
      <c r="K261" s="1">
        <v>39.070999999999998</v>
      </c>
      <c r="L261" s="1">
        <v>43.165999999999997</v>
      </c>
      <c r="M261" s="1" t="s">
        <v>35</v>
      </c>
    </row>
    <row r="262" spans="1:13" ht="13" x14ac:dyDescent="0.15">
      <c r="A262" s="1">
        <v>1</v>
      </c>
      <c r="B262" s="1">
        <v>2</v>
      </c>
      <c r="C262" s="1">
        <v>7</v>
      </c>
      <c r="D262" s="1" t="s">
        <v>24</v>
      </c>
      <c r="E262" s="1">
        <v>92</v>
      </c>
      <c r="F262" s="1">
        <v>8.0000000000000002E-3</v>
      </c>
      <c r="G262" s="1">
        <v>2289731</v>
      </c>
      <c r="H262" s="1">
        <f t="shared" si="3"/>
        <v>24888.380434782608</v>
      </c>
      <c r="I262" s="1">
        <v>43.384</v>
      </c>
      <c r="J262" s="1">
        <v>4.1349999999999998</v>
      </c>
      <c r="K262" s="1">
        <v>55.646999999999998</v>
      </c>
      <c r="L262" s="1">
        <v>59.783000000000001</v>
      </c>
      <c r="M262" s="1" t="s">
        <v>35</v>
      </c>
    </row>
    <row r="263" spans="1:13" ht="13" x14ac:dyDescent="0.15">
      <c r="A263" s="1">
        <v>1</v>
      </c>
      <c r="B263" s="1">
        <v>2</v>
      </c>
      <c r="C263" s="1">
        <v>8</v>
      </c>
      <c r="D263" s="1" t="s">
        <v>24</v>
      </c>
      <c r="E263" s="1">
        <v>115</v>
      </c>
      <c r="F263" s="1">
        <v>0.01</v>
      </c>
      <c r="G263" s="1">
        <v>2296952</v>
      </c>
      <c r="H263" s="1">
        <f t="shared" si="3"/>
        <v>19973.495652173911</v>
      </c>
      <c r="I263" s="1">
        <v>82.308000000000007</v>
      </c>
      <c r="J263" s="1">
        <v>4.0579999999999998</v>
      </c>
      <c r="K263" s="1">
        <v>93.391000000000005</v>
      </c>
      <c r="L263" s="1">
        <v>97.448999999999998</v>
      </c>
      <c r="M263" s="1" t="s">
        <v>35</v>
      </c>
    </row>
    <row r="264" spans="1:13" ht="13" x14ac:dyDescent="0.15">
      <c r="A264" s="1">
        <v>1</v>
      </c>
      <c r="B264" s="1">
        <v>2</v>
      </c>
      <c r="C264" s="1">
        <v>9</v>
      </c>
      <c r="D264" s="1" t="s">
        <v>16</v>
      </c>
      <c r="E264" s="1">
        <v>119</v>
      </c>
      <c r="F264" s="1">
        <v>1.2999999999999999E-2</v>
      </c>
      <c r="G264" s="1">
        <v>2473498</v>
      </c>
      <c r="H264" s="1">
        <f t="shared" si="3"/>
        <v>20785.697478991595</v>
      </c>
      <c r="I264" s="1">
        <v>145.499</v>
      </c>
      <c r="J264" s="1">
        <v>3.85</v>
      </c>
      <c r="K264" s="1">
        <v>157.60300000000001</v>
      </c>
      <c r="L264" s="1">
        <v>161.453</v>
      </c>
      <c r="M264" s="1" t="s">
        <v>35</v>
      </c>
    </row>
    <row r="265" spans="1:13" ht="13" x14ac:dyDescent="0.15">
      <c r="A265" s="1">
        <v>1</v>
      </c>
      <c r="B265" s="1">
        <v>2</v>
      </c>
      <c r="C265" s="1">
        <v>10</v>
      </c>
      <c r="D265" s="1" t="s">
        <v>17</v>
      </c>
      <c r="E265" s="1">
        <v>131</v>
      </c>
      <c r="F265" s="1">
        <v>1.0999999999999999E-2</v>
      </c>
      <c r="G265" s="1">
        <v>2384234</v>
      </c>
      <c r="H265" s="1">
        <f t="shared" si="3"/>
        <v>18200.259541984731</v>
      </c>
      <c r="I265" s="1">
        <v>69.872</v>
      </c>
      <c r="J265" s="1">
        <v>4.1749999999999998</v>
      </c>
      <c r="K265" s="1">
        <v>81.41</v>
      </c>
      <c r="L265" s="1">
        <v>85.584999999999994</v>
      </c>
      <c r="M265" s="1" t="s">
        <v>35</v>
      </c>
    </row>
    <row r="266" spans="1:13" ht="13" x14ac:dyDescent="0.15">
      <c r="A266" s="1">
        <v>1</v>
      </c>
      <c r="B266" s="1">
        <v>2</v>
      </c>
      <c r="C266" s="1">
        <v>11</v>
      </c>
      <c r="D266" s="1" t="s">
        <v>18</v>
      </c>
      <c r="E266" s="1">
        <v>101</v>
      </c>
      <c r="F266" s="1">
        <v>1.4E-2</v>
      </c>
      <c r="G266" s="1">
        <v>2613841</v>
      </c>
      <c r="H266" s="1">
        <f t="shared" si="3"/>
        <v>25879.61386138614</v>
      </c>
      <c r="I266" s="1">
        <v>170.709</v>
      </c>
      <c r="J266" s="1">
        <v>4.2039999999999997</v>
      </c>
      <c r="K266" s="1">
        <v>184.14599999999999</v>
      </c>
      <c r="L266" s="1">
        <v>188.35</v>
      </c>
      <c r="M266" s="1" t="s">
        <v>35</v>
      </c>
    </row>
    <row r="267" spans="1:13" ht="13" x14ac:dyDescent="0.15">
      <c r="A267" s="1">
        <v>1</v>
      </c>
      <c r="B267" s="1">
        <v>2</v>
      </c>
      <c r="C267" s="1">
        <v>12</v>
      </c>
      <c r="D267" s="1" t="s">
        <v>24</v>
      </c>
      <c r="E267" s="1">
        <v>107</v>
      </c>
      <c r="F267" s="1">
        <v>8.0000000000000002E-3</v>
      </c>
      <c r="G267" s="1">
        <v>2430186</v>
      </c>
      <c r="H267" s="1">
        <f t="shared" si="3"/>
        <v>22712.018691588786</v>
      </c>
      <c r="I267" s="1">
        <v>47.816000000000003</v>
      </c>
      <c r="J267" s="1">
        <v>4.343</v>
      </c>
      <c r="K267" s="1">
        <v>60.401000000000003</v>
      </c>
      <c r="L267" s="1">
        <v>64.744</v>
      </c>
      <c r="M267" s="1" t="s">
        <v>35</v>
      </c>
    </row>
    <row r="268" spans="1:13" ht="13" x14ac:dyDescent="0.15">
      <c r="A268" s="1">
        <v>1</v>
      </c>
      <c r="B268" s="1">
        <v>2</v>
      </c>
      <c r="C268" s="1">
        <v>13</v>
      </c>
      <c r="D268" s="1" t="s">
        <v>24</v>
      </c>
      <c r="E268" s="1">
        <v>64</v>
      </c>
      <c r="F268" s="1">
        <v>7.0000000000000001E-3</v>
      </c>
      <c r="G268" s="1">
        <v>2056880</v>
      </c>
      <c r="H268" s="1">
        <f t="shared" si="3"/>
        <v>32138.75</v>
      </c>
      <c r="I268" s="1">
        <v>36.945</v>
      </c>
      <c r="J268" s="1">
        <v>4.4429999999999996</v>
      </c>
      <c r="K268" s="1">
        <v>47.341000000000001</v>
      </c>
      <c r="L268" s="1">
        <v>51.784999999999997</v>
      </c>
      <c r="M268" s="1" t="s">
        <v>35</v>
      </c>
    </row>
    <row r="269" spans="1:13" ht="13" x14ac:dyDescent="0.15">
      <c r="A269" s="1">
        <v>1</v>
      </c>
      <c r="B269" s="1">
        <v>2</v>
      </c>
      <c r="C269" s="1">
        <v>14</v>
      </c>
      <c r="D269" s="1" t="s">
        <v>24</v>
      </c>
      <c r="E269" s="1">
        <v>81</v>
      </c>
      <c r="F269" s="1">
        <v>7.0000000000000001E-3</v>
      </c>
      <c r="G269" s="1">
        <v>2098868</v>
      </c>
      <c r="H269" s="1">
        <f t="shared" si="3"/>
        <v>25911.95061728395</v>
      </c>
      <c r="I269" s="1">
        <v>44.93</v>
      </c>
      <c r="J269" s="1">
        <v>4.4240000000000004</v>
      </c>
      <c r="K269" s="1">
        <v>55.438000000000002</v>
      </c>
      <c r="L269" s="1">
        <v>59.862000000000002</v>
      </c>
      <c r="M269" s="1" t="s">
        <v>35</v>
      </c>
    </row>
    <row r="270" spans="1:13" ht="13" x14ac:dyDescent="0.15">
      <c r="A270" s="1">
        <v>1</v>
      </c>
      <c r="B270" s="1">
        <v>2</v>
      </c>
      <c r="C270" s="1">
        <v>15</v>
      </c>
      <c r="D270" s="1" t="s">
        <v>24</v>
      </c>
      <c r="E270" s="1">
        <v>83</v>
      </c>
      <c r="F270" s="1">
        <v>8.0000000000000002E-3</v>
      </c>
      <c r="G270" s="1">
        <v>2319378</v>
      </c>
      <c r="H270" s="1">
        <f t="shared" si="3"/>
        <v>27944.313253012049</v>
      </c>
      <c r="I270" s="1">
        <v>39.884999999999998</v>
      </c>
      <c r="J270" s="1">
        <v>4.0629999999999997</v>
      </c>
      <c r="K270" s="1">
        <v>51.927</v>
      </c>
      <c r="L270" s="1">
        <v>55.988999999999997</v>
      </c>
      <c r="M270" s="1" t="s">
        <v>35</v>
      </c>
    </row>
    <row r="271" spans="1:13" ht="13" x14ac:dyDescent="0.15">
      <c r="A271" s="1">
        <v>1</v>
      </c>
      <c r="B271" s="1">
        <v>2</v>
      </c>
      <c r="C271" s="1">
        <v>16</v>
      </c>
      <c r="D271" s="1" t="s">
        <v>24</v>
      </c>
      <c r="E271" s="1">
        <v>95</v>
      </c>
      <c r="F271" s="1">
        <v>8.9999999999999993E-3</v>
      </c>
      <c r="G271" s="1">
        <v>2481057</v>
      </c>
      <c r="H271" s="1">
        <f t="shared" si="3"/>
        <v>26116.389473684212</v>
      </c>
      <c r="I271" s="1">
        <v>107.226</v>
      </c>
      <c r="J271" s="1">
        <v>4.0919999999999996</v>
      </c>
      <c r="K271" s="1">
        <v>119.694</v>
      </c>
      <c r="L271" s="1">
        <v>123.786</v>
      </c>
      <c r="M271" s="1" t="s">
        <v>35</v>
      </c>
    </row>
    <row r="272" spans="1:13" ht="13" x14ac:dyDescent="0.15">
      <c r="A272" s="1">
        <v>1</v>
      </c>
      <c r="B272" s="1">
        <v>2</v>
      </c>
      <c r="C272" s="1">
        <v>17</v>
      </c>
      <c r="D272" s="1" t="s">
        <v>24</v>
      </c>
      <c r="E272" s="1">
        <v>84</v>
      </c>
      <c r="F272" s="1">
        <v>7.0000000000000001E-3</v>
      </c>
      <c r="G272" s="1">
        <v>2369887</v>
      </c>
      <c r="H272" s="1">
        <f t="shared" si="3"/>
        <v>28212.940476190477</v>
      </c>
      <c r="I272" s="1">
        <v>54.043999999999997</v>
      </c>
      <c r="J272" s="1">
        <v>4.0449999999999999</v>
      </c>
      <c r="K272" s="1">
        <v>66.370999999999995</v>
      </c>
      <c r="L272" s="1">
        <v>70.415999999999997</v>
      </c>
      <c r="M272" s="1" t="s">
        <v>35</v>
      </c>
    </row>
    <row r="273" spans="1:13" ht="13" x14ac:dyDescent="0.15">
      <c r="A273" s="1">
        <v>1</v>
      </c>
      <c r="B273" s="1">
        <v>2</v>
      </c>
      <c r="C273" s="1">
        <v>18</v>
      </c>
      <c r="D273" s="1" t="s">
        <v>24</v>
      </c>
      <c r="E273" s="1">
        <v>84</v>
      </c>
      <c r="F273" s="1">
        <v>8.0000000000000002E-3</v>
      </c>
      <c r="G273" s="1">
        <v>2144578</v>
      </c>
      <c r="H273" s="1">
        <f t="shared" si="3"/>
        <v>25530.690476190477</v>
      </c>
      <c r="I273" s="1">
        <v>49.598999999999997</v>
      </c>
      <c r="J273" s="1">
        <v>4.5030000000000001</v>
      </c>
      <c r="K273" s="1">
        <v>60.767000000000003</v>
      </c>
      <c r="L273" s="1">
        <v>65.271000000000001</v>
      </c>
      <c r="M273" s="1" t="s">
        <v>35</v>
      </c>
    </row>
    <row r="274" spans="1:13" ht="13" x14ac:dyDescent="0.15">
      <c r="A274" s="1">
        <v>1</v>
      </c>
      <c r="B274" s="1">
        <v>2</v>
      </c>
      <c r="C274" s="1">
        <v>19</v>
      </c>
      <c r="D274" s="1" t="s">
        <v>24</v>
      </c>
      <c r="E274" s="1">
        <v>95</v>
      </c>
      <c r="F274" s="1">
        <v>8.0000000000000002E-3</v>
      </c>
      <c r="G274" s="1">
        <v>2111196</v>
      </c>
      <c r="H274" s="1">
        <f t="shared" si="3"/>
        <v>22223.115789473683</v>
      </c>
      <c r="I274" s="1">
        <v>40.027999999999999</v>
      </c>
      <c r="J274" s="1">
        <v>4.3890000000000002</v>
      </c>
      <c r="K274" s="1">
        <v>51.104999999999997</v>
      </c>
      <c r="L274" s="1">
        <v>55.494</v>
      </c>
      <c r="M274" s="1" t="s">
        <v>35</v>
      </c>
    </row>
    <row r="275" spans="1:13" ht="13" x14ac:dyDescent="0.15">
      <c r="A275" s="1">
        <v>1</v>
      </c>
      <c r="B275" s="1">
        <v>2</v>
      </c>
      <c r="C275" s="1">
        <v>20</v>
      </c>
      <c r="D275" s="1" t="s">
        <v>24</v>
      </c>
      <c r="E275" s="1">
        <v>97</v>
      </c>
      <c r="F275" s="1">
        <v>8.0000000000000002E-3</v>
      </c>
      <c r="G275" s="1">
        <v>2164091</v>
      </c>
      <c r="H275" s="1">
        <f t="shared" si="3"/>
        <v>22310.216494845361</v>
      </c>
      <c r="I275" s="1">
        <v>43.78</v>
      </c>
      <c r="J275" s="1">
        <v>4.0419999999999998</v>
      </c>
      <c r="K275" s="1">
        <v>54.796999999999997</v>
      </c>
      <c r="L275" s="1">
        <v>58.838999999999999</v>
      </c>
      <c r="M275" s="1" t="s">
        <v>35</v>
      </c>
    </row>
    <row r="276" spans="1:13" ht="13" x14ac:dyDescent="0.15">
      <c r="A276" s="1">
        <v>2</v>
      </c>
      <c r="B276" s="1">
        <v>1</v>
      </c>
      <c r="C276" s="1">
        <v>1</v>
      </c>
      <c r="D276" s="1" t="s">
        <v>24</v>
      </c>
      <c r="E276" s="1">
        <v>84</v>
      </c>
      <c r="F276" s="1">
        <v>4.2000000000000003E-2</v>
      </c>
      <c r="G276" s="1">
        <v>2118740</v>
      </c>
      <c r="H276" s="1">
        <f t="shared" si="3"/>
        <v>25223.095238095237</v>
      </c>
      <c r="I276" s="1">
        <v>93.447000000000003</v>
      </c>
      <c r="J276" s="1">
        <v>4.1760000000000002</v>
      </c>
      <c r="K276" s="1">
        <v>104.53700000000001</v>
      </c>
      <c r="L276" s="1">
        <v>108.71299999999999</v>
      </c>
      <c r="M276" s="1" t="s">
        <v>35</v>
      </c>
    </row>
    <row r="277" spans="1:13" ht="13" x14ac:dyDescent="0.15">
      <c r="A277" s="1">
        <v>2</v>
      </c>
      <c r="B277" s="1">
        <v>1</v>
      </c>
      <c r="C277" s="1">
        <v>2</v>
      </c>
      <c r="D277" s="1" t="s">
        <v>24</v>
      </c>
      <c r="E277" s="1">
        <v>93</v>
      </c>
      <c r="F277" s="1">
        <v>2.5999999999999999E-2</v>
      </c>
      <c r="G277" s="1">
        <v>1787895</v>
      </c>
      <c r="H277" s="1">
        <f t="shared" si="3"/>
        <v>19224.677419354837</v>
      </c>
      <c r="I277" s="1">
        <v>36.771999999999998</v>
      </c>
      <c r="J277" s="1">
        <v>4.0730000000000004</v>
      </c>
      <c r="K277" s="1">
        <v>45.406999999999996</v>
      </c>
      <c r="L277" s="1">
        <v>49.48</v>
      </c>
      <c r="M277" s="1" t="s">
        <v>35</v>
      </c>
    </row>
    <row r="278" spans="1:13" ht="13" x14ac:dyDescent="0.15">
      <c r="A278" s="1">
        <v>2</v>
      </c>
      <c r="B278" s="1">
        <v>1</v>
      </c>
      <c r="C278" s="1">
        <v>3</v>
      </c>
      <c r="D278" s="1" t="s">
        <v>24</v>
      </c>
      <c r="E278" s="1">
        <v>130</v>
      </c>
      <c r="F278" s="1">
        <v>0.09</v>
      </c>
      <c r="G278" s="1">
        <v>2365374</v>
      </c>
      <c r="H278" s="1">
        <f t="shared" si="3"/>
        <v>18195.184615384616</v>
      </c>
      <c r="I278" s="1">
        <v>133.74</v>
      </c>
      <c r="J278" s="1">
        <v>4.008</v>
      </c>
      <c r="K278" s="1">
        <v>145.202</v>
      </c>
      <c r="L278" s="1">
        <v>149.21</v>
      </c>
      <c r="M278" s="1" t="s">
        <v>35</v>
      </c>
    </row>
    <row r="279" spans="1:13" ht="13" x14ac:dyDescent="0.15">
      <c r="A279" s="1">
        <v>2</v>
      </c>
      <c r="B279" s="1">
        <v>1</v>
      </c>
      <c r="C279" s="1">
        <v>4</v>
      </c>
      <c r="D279" s="1" t="s">
        <v>24</v>
      </c>
      <c r="E279" s="1">
        <v>102</v>
      </c>
      <c r="F279" s="1">
        <v>8.3000000000000004E-2</v>
      </c>
      <c r="G279" s="1">
        <v>2245259</v>
      </c>
      <c r="H279" s="1">
        <f t="shared" si="3"/>
        <v>22012.343137254902</v>
      </c>
      <c r="I279" s="1">
        <v>33.892000000000003</v>
      </c>
      <c r="J279" s="1">
        <v>4.3319999999999999</v>
      </c>
      <c r="K279" s="1">
        <v>45.445999999999998</v>
      </c>
      <c r="L279" s="1">
        <v>49.777999999999999</v>
      </c>
      <c r="M279" s="1" t="s">
        <v>35</v>
      </c>
    </row>
    <row r="280" spans="1:13" ht="13" x14ac:dyDescent="0.15">
      <c r="A280" s="1">
        <v>2</v>
      </c>
      <c r="B280" s="1">
        <v>1</v>
      </c>
      <c r="C280" s="1">
        <v>5</v>
      </c>
      <c r="D280" s="1" t="s">
        <v>24</v>
      </c>
      <c r="E280" s="1">
        <v>63</v>
      </c>
      <c r="F280" s="1">
        <v>8.3000000000000004E-2</v>
      </c>
      <c r="G280" s="1">
        <v>1671503</v>
      </c>
      <c r="H280" s="1">
        <f t="shared" si="3"/>
        <v>26531.79365079365</v>
      </c>
      <c r="I280" s="1">
        <v>23.408000000000001</v>
      </c>
      <c r="J280" s="1">
        <v>4.4610000000000003</v>
      </c>
      <c r="K280" s="1">
        <v>31.943000000000001</v>
      </c>
      <c r="L280" s="1">
        <v>36.404000000000003</v>
      </c>
      <c r="M280" s="1" t="s">
        <v>35</v>
      </c>
    </row>
    <row r="281" spans="1:13" ht="13" x14ac:dyDescent="0.15">
      <c r="A281" s="1">
        <v>2</v>
      </c>
      <c r="B281" s="1">
        <v>1</v>
      </c>
      <c r="C281" s="1">
        <v>6</v>
      </c>
      <c r="D281" s="1" t="s">
        <v>24</v>
      </c>
      <c r="E281" s="1">
        <v>74</v>
      </c>
      <c r="F281" s="1">
        <v>7.0000000000000001E-3</v>
      </c>
      <c r="G281" s="1">
        <v>1786851</v>
      </c>
      <c r="H281" s="1">
        <f t="shared" si="3"/>
        <v>24146.635135135137</v>
      </c>
      <c r="I281" s="1">
        <v>26.664999999999999</v>
      </c>
      <c r="J281" s="1">
        <v>4.173</v>
      </c>
      <c r="K281" s="1">
        <v>35.994999999999997</v>
      </c>
      <c r="L281" s="1">
        <v>40.167999999999999</v>
      </c>
      <c r="M281" s="1" t="s">
        <v>35</v>
      </c>
    </row>
    <row r="282" spans="1:13" ht="13" x14ac:dyDescent="0.15">
      <c r="A282" s="1">
        <v>2</v>
      </c>
      <c r="B282" s="1">
        <v>1</v>
      </c>
      <c r="C282" s="1">
        <v>7</v>
      </c>
      <c r="D282" s="1" t="s">
        <v>24</v>
      </c>
      <c r="E282" s="1">
        <v>92</v>
      </c>
      <c r="F282" s="1">
        <v>0.01</v>
      </c>
      <c r="G282" s="1">
        <v>2232771</v>
      </c>
      <c r="H282" s="1">
        <f t="shared" si="3"/>
        <v>24269.25</v>
      </c>
      <c r="I282" s="1">
        <v>47.567</v>
      </c>
      <c r="J282" s="1">
        <v>4.0449999999999999</v>
      </c>
      <c r="K282" s="1">
        <v>58.734000000000002</v>
      </c>
      <c r="L282" s="1">
        <v>62.779000000000003</v>
      </c>
      <c r="M282" s="1" t="s">
        <v>35</v>
      </c>
    </row>
    <row r="283" spans="1:13" ht="13" x14ac:dyDescent="0.15">
      <c r="A283" s="1">
        <v>2</v>
      </c>
      <c r="B283" s="1">
        <v>1</v>
      </c>
      <c r="C283" s="1">
        <v>8</v>
      </c>
      <c r="D283" s="1" t="s">
        <v>24</v>
      </c>
      <c r="E283" s="1">
        <v>115</v>
      </c>
      <c r="F283" s="1">
        <v>8.0000000000000002E-3</v>
      </c>
      <c r="G283" s="1">
        <v>2255904</v>
      </c>
      <c r="H283" s="1">
        <f t="shared" si="3"/>
        <v>19616.55652173913</v>
      </c>
      <c r="I283" s="1">
        <v>46.954999999999998</v>
      </c>
      <c r="J283" s="1">
        <v>3.9889999999999999</v>
      </c>
      <c r="K283" s="1">
        <v>57.92</v>
      </c>
      <c r="L283" s="1">
        <v>61.91</v>
      </c>
      <c r="M283" s="1" t="s">
        <v>35</v>
      </c>
    </row>
    <row r="284" spans="1:13" ht="13" x14ac:dyDescent="0.15">
      <c r="A284" s="1">
        <v>2</v>
      </c>
      <c r="B284" s="1">
        <v>1</v>
      </c>
      <c r="C284" s="1">
        <v>9</v>
      </c>
      <c r="D284" s="1" t="s">
        <v>25</v>
      </c>
      <c r="E284" s="1">
        <v>119</v>
      </c>
      <c r="F284" s="1">
        <v>1.2999999999999999E-2</v>
      </c>
      <c r="G284" s="1">
        <v>2437510</v>
      </c>
      <c r="H284" s="1">
        <f t="shared" si="3"/>
        <v>20483.277310924368</v>
      </c>
      <c r="I284" s="1">
        <v>171.33699999999999</v>
      </c>
      <c r="J284" s="1">
        <v>3.9710000000000001</v>
      </c>
      <c r="K284" s="1">
        <v>183.4</v>
      </c>
      <c r="L284" s="1">
        <v>187.37100000000001</v>
      </c>
      <c r="M284" s="1" t="s">
        <v>35</v>
      </c>
    </row>
    <row r="285" spans="1:13" ht="13" x14ac:dyDescent="0.15">
      <c r="A285" s="1">
        <v>2</v>
      </c>
      <c r="B285" s="1">
        <v>1</v>
      </c>
      <c r="C285" s="1">
        <v>10</v>
      </c>
      <c r="D285" s="1" t="s">
        <v>17</v>
      </c>
      <c r="E285" s="1">
        <v>131</v>
      </c>
      <c r="F285" s="1">
        <v>1.2E-2</v>
      </c>
      <c r="G285" s="1">
        <v>2321723</v>
      </c>
      <c r="H285" s="1">
        <f t="shared" si="3"/>
        <v>17723.076335877864</v>
      </c>
      <c r="I285" s="1">
        <v>90.74</v>
      </c>
      <c r="J285" s="1">
        <v>3.9670000000000001</v>
      </c>
      <c r="K285" s="1">
        <v>102.185</v>
      </c>
      <c r="L285" s="1">
        <v>106.152</v>
      </c>
      <c r="M285" s="1" t="s">
        <v>35</v>
      </c>
    </row>
    <row r="286" spans="1:13" ht="13" x14ac:dyDescent="0.15">
      <c r="A286" s="1">
        <v>2</v>
      </c>
      <c r="B286" s="1">
        <v>1</v>
      </c>
      <c r="C286" s="1">
        <v>11</v>
      </c>
      <c r="D286" s="1" t="s">
        <v>24</v>
      </c>
      <c r="E286" s="1">
        <v>101</v>
      </c>
      <c r="F286" s="1">
        <v>1.0999999999999999E-2</v>
      </c>
      <c r="G286" s="1">
        <v>2582058</v>
      </c>
      <c r="H286" s="1">
        <f t="shared" si="3"/>
        <v>25564.930693069306</v>
      </c>
      <c r="I286" s="1">
        <v>93.486999999999995</v>
      </c>
      <c r="J286" s="1">
        <v>4.1859999999999999</v>
      </c>
      <c r="K286" s="1">
        <v>106.51600000000001</v>
      </c>
      <c r="L286" s="1">
        <v>110.703</v>
      </c>
      <c r="M286" s="1" t="s">
        <v>35</v>
      </c>
    </row>
    <row r="287" spans="1:13" ht="13" x14ac:dyDescent="0.15">
      <c r="A287" s="1">
        <v>2</v>
      </c>
      <c r="B287" s="1">
        <v>1</v>
      </c>
      <c r="C287" s="1">
        <v>12</v>
      </c>
      <c r="D287" s="1" t="s">
        <v>24</v>
      </c>
      <c r="E287" s="1">
        <v>107</v>
      </c>
      <c r="F287" s="1">
        <v>8.0000000000000002E-3</v>
      </c>
      <c r="G287" s="1">
        <v>2361541</v>
      </c>
      <c r="H287" s="1">
        <f t="shared" si="3"/>
        <v>22070.47663551402</v>
      </c>
      <c r="I287" s="1">
        <v>52.103000000000002</v>
      </c>
      <c r="J287" s="1">
        <v>4.0460000000000003</v>
      </c>
      <c r="K287" s="1">
        <v>63.784999999999997</v>
      </c>
      <c r="L287" s="1">
        <v>67.83</v>
      </c>
      <c r="M287" s="1" t="s">
        <v>35</v>
      </c>
    </row>
    <row r="288" spans="1:13" ht="13" x14ac:dyDescent="0.15">
      <c r="A288" s="1">
        <v>2</v>
      </c>
      <c r="B288" s="1">
        <v>1</v>
      </c>
      <c r="C288" s="1">
        <v>13</v>
      </c>
      <c r="D288" s="1" t="s">
        <v>24</v>
      </c>
      <c r="E288" s="1">
        <v>64</v>
      </c>
      <c r="F288" s="1">
        <v>7.0000000000000001E-3</v>
      </c>
      <c r="G288" s="1">
        <v>2070981</v>
      </c>
      <c r="H288" s="1">
        <f t="shared" si="3"/>
        <v>32359.078125</v>
      </c>
      <c r="I288" s="1">
        <v>36.743000000000002</v>
      </c>
      <c r="J288" s="1">
        <v>4.101</v>
      </c>
      <c r="K288" s="1">
        <v>47.128999999999998</v>
      </c>
      <c r="L288" s="1">
        <v>51.231000000000002</v>
      </c>
      <c r="M288" s="1" t="s">
        <v>35</v>
      </c>
    </row>
    <row r="289" spans="1:13" ht="13" x14ac:dyDescent="0.15">
      <c r="A289" s="1">
        <v>2</v>
      </c>
      <c r="B289" s="1">
        <v>1</v>
      </c>
      <c r="C289" s="1">
        <v>14</v>
      </c>
      <c r="D289" s="1" t="s">
        <v>24</v>
      </c>
      <c r="E289" s="1">
        <v>81</v>
      </c>
      <c r="F289" s="1">
        <v>0.161</v>
      </c>
      <c r="G289" s="1">
        <v>2089282</v>
      </c>
      <c r="H289" s="1">
        <f t="shared" si="3"/>
        <v>25793.604938271605</v>
      </c>
      <c r="I289" s="1">
        <v>39.112000000000002</v>
      </c>
      <c r="J289" s="1">
        <v>4.1079999999999997</v>
      </c>
      <c r="K289" s="1">
        <v>49.646000000000001</v>
      </c>
      <c r="L289" s="1">
        <v>53.753999999999998</v>
      </c>
      <c r="M289" s="1" t="s">
        <v>35</v>
      </c>
    </row>
    <row r="290" spans="1:13" ht="13" x14ac:dyDescent="0.15">
      <c r="A290" s="1">
        <v>2</v>
      </c>
      <c r="B290" s="1">
        <v>1</v>
      </c>
      <c r="C290" s="1">
        <v>15</v>
      </c>
      <c r="D290" s="1" t="s">
        <v>24</v>
      </c>
      <c r="E290" s="1">
        <v>83</v>
      </c>
      <c r="F290" s="1">
        <v>7.0000000000000001E-3</v>
      </c>
      <c r="G290" s="1">
        <v>2222923</v>
      </c>
      <c r="H290" s="1">
        <f t="shared" si="3"/>
        <v>26782.204819277107</v>
      </c>
      <c r="I290" s="1">
        <v>39.375999999999998</v>
      </c>
      <c r="J290" s="1">
        <v>4.1130000000000004</v>
      </c>
      <c r="K290" s="1">
        <v>50.781999999999996</v>
      </c>
      <c r="L290" s="1">
        <v>54.895000000000003</v>
      </c>
      <c r="M290" s="1" t="s">
        <v>35</v>
      </c>
    </row>
    <row r="291" spans="1:13" ht="13" x14ac:dyDescent="0.15">
      <c r="A291" s="1">
        <v>2</v>
      </c>
      <c r="B291" s="1">
        <v>1</v>
      </c>
      <c r="C291" s="1">
        <v>16</v>
      </c>
      <c r="D291" s="1" t="s">
        <v>24</v>
      </c>
      <c r="E291" s="1">
        <v>95</v>
      </c>
      <c r="F291" s="1">
        <v>8.0000000000000002E-3</v>
      </c>
      <c r="G291" s="1">
        <v>2408398</v>
      </c>
      <c r="H291" s="1">
        <f t="shared" si="3"/>
        <v>25351.557894736841</v>
      </c>
      <c r="I291" s="1">
        <v>67.680000000000007</v>
      </c>
      <c r="J291" s="1">
        <v>4.1710000000000003</v>
      </c>
      <c r="K291" s="1">
        <v>79.900999999999996</v>
      </c>
      <c r="L291" s="1">
        <v>84.070999999999998</v>
      </c>
      <c r="M291" s="1" t="s">
        <v>35</v>
      </c>
    </row>
    <row r="292" spans="1:13" ht="13" x14ac:dyDescent="0.15">
      <c r="A292" s="1">
        <v>2</v>
      </c>
      <c r="B292" s="1">
        <v>1</v>
      </c>
      <c r="C292" s="1">
        <v>17</v>
      </c>
      <c r="D292" s="1" t="s">
        <v>24</v>
      </c>
      <c r="E292" s="1">
        <v>84</v>
      </c>
      <c r="F292" s="1">
        <v>7.0000000000000001E-3</v>
      </c>
      <c r="G292" s="1">
        <v>2389024</v>
      </c>
      <c r="H292" s="1">
        <f t="shared" si="3"/>
        <v>28440.761904761905</v>
      </c>
      <c r="I292" s="1">
        <v>54.253</v>
      </c>
      <c r="J292" s="1">
        <v>4.08</v>
      </c>
      <c r="K292" s="1">
        <v>66.733000000000004</v>
      </c>
      <c r="L292" s="1">
        <v>70.813000000000002</v>
      </c>
      <c r="M292" s="1" t="s">
        <v>35</v>
      </c>
    </row>
    <row r="293" spans="1:13" ht="13" x14ac:dyDescent="0.15">
      <c r="A293" s="1">
        <v>2</v>
      </c>
      <c r="B293" s="1">
        <v>1</v>
      </c>
      <c r="C293" s="1">
        <v>18</v>
      </c>
      <c r="D293" s="1" t="s">
        <v>24</v>
      </c>
      <c r="E293" s="1">
        <v>84</v>
      </c>
      <c r="F293" s="1">
        <v>0.158</v>
      </c>
      <c r="G293" s="1">
        <v>2116428</v>
      </c>
      <c r="H293" s="1">
        <f t="shared" si="3"/>
        <v>25195.571428571428</v>
      </c>
      <c r="I293" s="1">
        <v>49.680999999999997</v>
      </c>
      <c r="J293" s="1">
        <v>4.444</v>
      </c>
      <c r="K293" s="1">
        <v>60.652000000000001</v>
      </c>
      <c r="L293" s="1">
        <v>65.096000000000004</v>
      </c>
      <c r="M293" s="1" t="s">
        <v>35</v>
      </c>
    </row>
    <row r="294" spans="1:13" ht="13" x14ac:dyDescent="0.15">
      <c r="A294" s="1">
        <v>2</v>
      </c>
      <c r="B294" s="1">
        <v>1</v>
      </c>
      <c r="C294" s="1">
        <v>19</v>
      </c>
      <c r="D294" s="1" t="s">
        <v>37</v>
      </c>
      <c r="E294" s="1">
        <v>95</v>
      </c>
      <c r="F294" s="1">
        <v>0.16600000000000001</v>
      </c>
      <c r="G294" s="1">
        <v>2086732</v>
      </c>
      <c r="H294" s="1">
        <f t="shared" si="3"/>
        <v>21965.599999999999</v>
      </c>
      <c r="I294" s="1">
        <v>112.80500000000001</v>
      </c>
      <c r="J294" s="1">
        <v>4.2930000000000001</v>
      </c>
      <c r="K294" s="1">
        <v>123.194</v>
      </c>
      <c r="L294" s="1">
        <v>127.48699999999999</v>
      </c>
      <c r="M294" s="1" t="s">
        <v>35</v>
      </c>
    </row>
    <row r="295" spans="1:13" ht="13" x14ac:dyDescent="0.15">
      <c r="A295" s="1">
        <v>2</v>
      </c>
      <c r="B295" s="1">
        <v>1</v>
      </c>
      <c r="C295" s="1">
        <v>20</v>
      </c>
      <c r="D295" s="1" t="s">
        <v>24</v>
      </c>
      <c r="E295" s="1">
        <v>97</v>
      </c>
      <c r="F295" s="1">
        <v>8.9999999999999993E-3</v>
      </c>
      <c r="G295" s="1">
        <v>2126976</v>
      </c>
      <c r="H295" s="1">
        <f t="shared" si="3"/>
        <v>21927.587628865978</v>
      </c>
      <c r="I295" s="1">
        <v>62.134999999999998</v>
      </c>
      <c r="J295" s="1">
        <v>4.0570000000000004</v>
      </c>
      <c r="K295" s="1">
        <v>73.284999999999997</v>
      </c>
      <c r="L295" s="1">
        <v>77.341999999999999</v>
      </c>
      <c r="M295" s="1" t="s">
        <v>35</v>
      </c>
    </row>
    <row r="296" spans="1:13" ht="13" x14ac:dyDescent="0.15">
      <c r="A296" s="1">
        <v>2</v>
      </c>
      <c r="B296" s="1">
        <v>2</v>
      </c>
      <c r="C296" s="1">
        <v>1</v>
      </c>
      <c r="D296" s="1" t="s">
        <v>24</v>
      </c>
      <c r="E296" s="1">
        <v>231</v>
      </c>
      <c r="F296" s="1">
        <v>3.5000000000000003E-2</v>
      </c>
      <c r="G296" s="1">
        <v>24427776</v>
      </c>
      <c r="H296" s="1">
        <f t="shared" si="3"/>
        <v>105747.94805194806</v>
      </c>
      <c r="I296" s="1">
        <v>1184.5050000000001</v>
      </c>
      <c r="J296" s="1">
        <v>15.131</v>
      </c>
      <c r="K296" s="1">
        <v>1305.9690000000001</v>
      </c>
      <c r="L296" s="1">
        <v>1321.1</v>
      </c>
      <c r="M296" s="1" t="s">
        <v>35</v>
      </c>
    </row>
    <row r="297" spans="1:13" ht="13" x14ac:dyDescent="0.15">
      <c r="A297" s="1">
        <v>2</v>
      </c>
      <c r="B297" s="1">
        <v>2</v>
      </c>
      <c r="C297" s="1">
        <v>2</v>
      </c>
      <c r="D297" s="1" t="s">
        <v>24</v>
      </c>
      <c r="E297" s="1">
        <v>221</v>
      </c>
      <c r="F297" s="1">
        <v>5.8000000000000003E-2</v>
      </c>
      <c r="G297" s="1">
        <v>22151444</v>
      </c>
      <c r="H297" s="1">
        <f t="shared" si="3"/>
        <v>100232.77828054299</v>
      </c>
      <c r="I297" s="1">
        <v>542.81100000000004</v>
      </c>
      <c r="J297" s="1">
        <v>14.535</v>
      </c>
      <c r="K297" s="1">
        <v>652.68499999999995</v>
      </c>
      <c r="L297" s="1">
        <v>667.221</v>
      </c>
      <c r="M297" s="1" t="s">
        <v>35</v>
      </c>
    </row>
    <row r="298" spans="1:13" ht="13" x14ac:dyDescent="0.15">
      <c r="A298" s="1">
        <v>2</v>
      </c>
      <c r="B298" s="1">
        <v>2</v>
      </c>
      <c r="C298" s="1">
        <v>3</v>
      </c>
      <c r="D298" s="1" t="s">
        <v>24</v>
      </c>
      <c r="E298" s="1">
        <v>381</v>
      </c>
      <c r="F298" s="1">
        <v>0.14399999999999999</v>
      </c>
      <c r="G298" s="1">
        <v>28247261</v>
      </c>
      <c r="H298" s="1">
        <f t="shared" si="3"/>
        <v>74139.792650918636</v>
      </c>
      <c r="I298" s="1">
        <v>1668.6130000000001</v>
      </c>
      <c r="J298" s="1">
        <v>14.9</v>
      </c>
      <c r="K298" s="1">
        <v>1813.212</v>
      </c>
      <c r="L298" s="1">
        <v>1828.1120000000001</v>
      </c>
      <c r="M298" s="1" t="s">
        <v>35</v>
      </c>
    </row>
    <row r="299" spans="1:13" ht="13" x14ac:dyDescent="0.15">
      <c r="A299" s="1">
        <v>2</v>
      </c>
      <c r="B299" s="1">
        <v>2</v>
      </c>
      <c r="C299" s="1">
        <v>4</v>
      </c>
      <c r="D299" s="1" t="s">
        <v>19</v>
      </c>
      <c r="E299" s="1">
        <v>314</v>
      </c>
      <c r="F299" s="1">
        <v>0.14199999999999999</v>
      </c>
      <c r="G299" s="1">
        <v>28073198</v>
      </c>
      <c r="H299" s="1">
        <f t="shared" si="3"/>
        <v>89405.089171974527</v>
      </c>
      <c r="I299" s="1">
        <v>1948.596</v>
      </c>
      <c r="J299" s="1">
        <v>15.164999999999999</v>
      </c>
      <c r="K299" s="1">
        <v>2088.8879999999999</v>
      </c>
      <c r="L299" s="1">
        <v>2104.0540000000001</v>
      </c>
      <c r="M299" s="1" t="s">
        <v>35</v>
      </c>
    </row>
    <row r="300" spans="1:13" ht="13" x14ac:dyDescent="0.15">
      <c r="A300" s="1">
        <v>2</v>
      </c>
      <c r="B300" s="1">
        <v>2</v>
      </c>
      <c r="C300" s="1">
        <v>5</v>
      </c>
      <c r="D300" s="1" t="s">
        <v>24</v>
      </c>
      <c r="E300" s="1">
        <v>216</v>
      </c>
      <c r="F300" s="1">
        <v>0.125</v>
      </c>
      <c r="G300" s="1">
        <v>24942348</v>
      </c>
      <c r="H300" s="1">
        <f t="shared" si="3"/>
        <v>115473.83333333333</v>
      </c>
      <c r="I300" s="1">
        <v>673.39800000000002</v>
      </c>
      <c r="J300" s="1">
        <v>15.926</v>
      </c>
      <c r="K300" s="1">
        <v>798.70399999999995</v>
      </c>
      <c r="L300" s="1">
        <v>814.63</v>
      </c>
      <c r="M300" s="1" t="s">
        <v>35</v>
      </c>
    </row>
    <row r="301" spans="1:13" ht="13" x14ac:dyDescent="0.15">
      <c r="A301" s="1">
        <v>2</v>
      </c>
      <c r="B301" s="1">
        <v>2</v>
      </c>
      <c r="C301" s="1">
        <v>6</v>
      </c>
      <c r="D301" s="1" t="s">
        <v>24</v>
      </c>
      <c r="E301" s="1">
        <v>213</v>
      </c>
      <c r="F301" s="1">
        <v>1.0999999999999999E-2</v>
      </c>
      <c r="G301" s="1">
        <v>25285237</v>
      </c>
      <c r="H301" s="1">
        <f t="shared" si="3"/>
        <v>118710.03286384976</v>
      </c>
      <c r="I301" s="1">
        <v>490.09199999999998</v>
      </c>
      <c r="J301" s="1">
        <v>15.525</v>
      </c>
      <c r="K301" s="1">
        <v>616.40599999999995</v>
      </c>
      <c r="L301" s="1">
        <v>631.93100000000004</v>
      </c>
      <c r="M301" s="1" t="s">
        <v>35</v>
      </c>
    </row>
    <row r="302" spans="1:13" ht="13" x14ac:dyDescent="0.15">
      <c r="A302" s="1">
        <v>2</v>
      </c>
      <c r="B302" s="1">
        <v>2</v>
      </c>
      <c r="C302" s="1">
        <v>7</v>
      </c>
      <c r="D302" s="1" t="s">
        <v>27</v>
      </c>
      <c r="E302" s="1">
        <v>272</v>
      </c>
      <c r="F302" s="1">
        <v>1.7999999999999999E-2</v>
      </c>
      <c r="G302" s="1">
        <v>25558356</v>
      </c>
      <c r="H302" s="1">
        <f t="shared" si="3"/>
        <v>93964.544117647063</v>
      </c>
      <c r="I302" s="1">
        <v>1053.953</v>
      </c>
      <c r="J302" s="1">
        <v>15.288</v>
      </c>
      <c r="K302" s="1">
        <v>1181.117</v>
      </c>
      <c r="L302" s="1">
        <v>1196.405</v>
      </c>
      <c r="M302" s="1" t="s">
        <v>35</v>
      </c>
    </row>
    <row r="303" spans="1:13" ht="13" x14ac:dyDescent="0.15">
      <c r="A303" s="1">
        <v>2</v>
      </c>
      <c r="B303" s="1">
        <v>2</v>
      </c>
      <c r="C303" s="1">
        <v>8</v>
      </c>
      <c r="D303" s="1" t="s">
        <v>24</v>
      </c>
      <c r="E303" s="1">
        <v>364</v>
      </c>
      <c r="F303" s="1">
        <v>2.3E-2</v>
      </c>
      <c r="G303" s="1">
        <v>28991469</v>
      </c>
      <c r="H303" s="1">
        <f t="shared" si="3"/>
        <v>79646.892857142855</v>
      </c>
      <c r="I303" s="1">
        <v>1082.367</v>
      </c>
      <c r="J303" s="1">
        <v>15.205</v>
      </c>
      <c r="K303" s="1">
        <v>1222.279</v>
      </c>
      <c r="L303" s="1">
        <v>1237.4839999999999</v>
      </c>
      <c r="M303" s="1" t="s">
        <v>35</v>
      </c>
    </row>
    <row r="304" spans="1:13" ht="13" x14ac:dyDescent="0.15">
      <c r="A304" s="1">
        <v>2</v>
      </c>
      <c r="B304" s="1">
        <v>2</v>
      </c>
      <c r="C304" s="1">
        <v>9</v>
      </c>
      <c r="D304" s="1" t="s">
        <v>25</v>
      </c>
      <c r="E304" s="1">
        <v>379</v>
      </c>
      <c r="F304" s="1">
        <v>0.04</v>
      </c>
      <c r="G304" s="1">
        <v>30187756</v>
      </c>
      <c r="H304" s="1">
        <f t="shared" si="3"/>
        <v>79651.071240105535</v>
      </c>
      <c r="I304" s="1">
        <v>2312.5059999999999</v>
      </c>
      <c r="J304" s="1">
        <v>14.45</v>
      </c>
      <c r="K304" s="1">
        <v>2460.42</v>
      </c>
      <c r="L304" s="1">
        <v>2474.87</v>
      </c>
      <c r="M304" s="1" t="s">
        <v>35</v>
      </c>
    </row>
    <row r="305" spans="1:13" ht="13" x14ac:dyDescent="0.15">
      <c r="A305" s="1">
        <v>2</v>
      </c>
      <c r="B305" s="1">
        <v>2</v>
      </c>
      <c r="C305" s="1">
        <v>10</v>
      </c>
      <c r="D305" s="1" t="s">
        <v>20</v>
      </c>
      <c r="E305" s="1">
        <v>358</v>
      </c>
      <c r="F305" s="1">
        <v>2.3E-2</v>
      </c>
      <c r="G305" s="1">
        <v>26497549</v>
      </c>
      <c r="H305" s="1">
        <f t="shared" si="3"/>
        <v>74015.5</v>
      </c>
      <c r="I305" s="1">
        <v>1013.6950000000001</v>
      </c>
      <c r="J305" s="1">
        <v>15.009</v>
      </c>
      <c r="K305" s="1">
        <v>1145.7929999999999</v>
      </c>
      <c r="L305" s="1">
        <v>1160.8019999999999</v>
      </c>
      <c r="M305" s="1" t="s">
        <v>35</v>
      </c>
    </row>
    <row r="306" spans="1:13" ht="13" x14ac:dyDescent="0.15">
      <c r="A306" s="1">
        <v>2</v>
      </c>
      <c r="B306" s="1">
        <v>2</v>
      </c>
      <c r="C306" s="1">
        <v>11</v>
      </c>
      <c r="D306" s="1" t="s">
        <v>24</v>
      </c>
      <c r="E306" s="1">
        <v>290</v>
      </c>
      <c r="F306" s="1">
        <v>2.3E-2</v>
      </c>
      <c r="G306" s="1">
        <v>28310714</v>
      </c>
      <c r="H306" s="1">
        <f t="shared" si="3"/>
        <v>97623.151724137933</v>
      </c>
      <c r="I306" s="1">
        <v>1323.998</v>
      </c>
      <c r="J306" s="1">
        <v>15.481999999999999</v>
      </c>
      <c r="K306" s="1">
        <v>1468.0730000000001</v>
      </c>
      <c r="L306" s="1">
        <v>1483.5540000000001</v>
      </c>
      <c r="M306" s="1" t="s">
        <v>35</v>
      </c>
    </row>
    <row r="307" spans="1:13" ht="13" x14ac:dyDescent="0.15">
      <c r="A307" s="1">
        <v>2</v>
      </c>
      <c r="B307" s="1">
        <v>2</v>
      </c>
      <c r="C307" s="1">
        <v>12</v>
      </c>
      <c r="D307" s="1" t="s">
        <v>24</v>
      </c>
      <c r="E307" s="1">
        <v>296</v>
      </c>
      <c r="F307" s="1">
        <v>0.13700000000000001</v>
      </c>
      <c r="G307" s="1">
        <v>28734559</v>
      </c>
      <c r="H307" s="1">
        <f t="shared" si="3"/>
        <v>97076.21283783784</v>
      </c>
      <c r="I307" s="1">
        <v>948.21699999999998</v>
      </c>
      <c r="J307" s="1">
        <v>15.968</v>
      </c>
      <c r="K307" s="1">
        <v>1091.19</v>
      </c>
      <c r="L307" s="1">
        <v>1107.1579999999999</v>
      </c>
      <c r="M307" s="1" t="s">
        <v>35</v>
      </c>
    </row>
    <row r="308" spans="1:13" ht="13" x14ac:dyDescent="0.15">
      <c r="A308" s="1">
        <v>2</v>
      </c>
      <c r="B308" s="1">
        <v>2</v>
      </c>
      <c r="C308" s="1">
        <v>13</v>
      </c>
      <c r="D308" s="1" t="s">
        <v>38</v>
      </c>
      <c r="E308" s="1">
        <v>242</v>
      </c>
      <c r="F308" s="1">
        <v>0.14000000000000001</v>
      </c>
      <c r="G308" s="1">
        <v>27802146</v>
      </c>
      <c r="H308" s="1">
        <f t="shared" si="3"/>
        <v>114884.90082644628</v>
      </c>
      <c r="I308" s="1">
        <v>1693.5239999999999</v>
      </c>
      <c r="J308" s="1">
        <v>14.839</v>
      </c>
      <c r="K308" s="1">
        <v>1832.33</v>
      </c>
      <c r="L308" s="1">
        <v>1847.17</v>
      </c>
      <c r="M308" s="1" t="s">
        <v>35</v>
      </c>
    </row>
    <row r="309" spans="1:13" ht="13" x14ac:dyDescent="0.15">
      <c r="A309" s="1">
        <v>2</v>
      </c>
      <c r="B309" s="1">
        <v>2</v>
      </c>
      <c r="C309" s="1">
        <v>14</v>
      </c>
      <c r="D309" s="1" t="s">
        <v>24</v>
      </c>
      <c r="E309" s="1">
        <v>219</v>
      </c>
      <c r="F309" s="1">
        <v>2.8000000000000001E-2</v>
      </c>
      <c r="G309" s="1">
        <v>24881688</v>
      </c>
      <c r="H309" s="1">
        <f t="shared" si="3"/>
        <v>113615.01369863014</v>
      </c>
      <c r="I309" s="1">
        <v>758.80600000000004</v>
      </c>
      <c r="J309" s="1">
        <v>15.548</v>
      </c>
      <c r="K309" s="1">
        <v>887.63</v>
      </c>
      <c r="L309" s="1">
        <v>903.178</v>
      </c>
      <c r="M309" s="1" t="s">
        <v>35</v>
      </c>
    </row>
    <row r="310" spans="1:13" ht="13" x14ac:dyDescent="0.15">
      <c r="A310" s="1">
        <v>2</v>
      </c>
      <c r="B310" s="1">
        <v>2</v>
      </c>
      <c r="C310" s="1">
        <v>15</v>
      </c>
      <c r="D310" s="1" t="s">
        <v>24</v>
      </c>
      <c r="E310" s="1">
        <v>219</v>
      </c>
      <c r="F310" s="1">
        <v>6.5000000000000002E-2</v>
      </c>
      <c r="G310" s="1">
        <v>24873112</v>
      </c>
      <c r="H310" s="1">
        <f t="shared" si="3"/>
        <v>113575.85388127854</v>
      </c>
      <c r="I310" s="1">
        <v>504.90499999999997</v>
      </c>
      <c r="J310" s="1">
        <v>15.212</v>
      </c>
      <c r="K310" s="1">
        <v>631.86199999999997</v>
      </c>
      <c r="L310" s="1">
        <v>647.07500000000005</v>
      </c>
      <c r="M310" s="1" t="s">
        <v>35</v>
      </c>
    </row>
    <row r="311" spans="1:13" ht="13" x14ac:dyDescent="0.15">
      <c r="A311" s="1">
        <v>2</v>
      </c>
      <c r="B311" s="1">
        <v>2</v>
      </c>
      <c r="C311" s="1">
        <v>16</v>
      </c>
      <c r="D311" s="1" t="s">
        <v>24</v>
      </c>
      <c r="E311" s="1">
        <v>302</v>
      </c>
      <c r="F311" s="1">
        <v>1.7000000000000001E-2</v>
      </c>
      <c r="G311" s="1">
        <v>27850872</v>
      </c>
      <c r="H311" s="1">
        <f t="shared" si="3"/>
        <v>92221.430463576165</v>
      </c>
      <c r="I311" s="1">
        <v>892.51199999999994</v>
      </c>
      <c r="J311" s="1">
        <v>15.413</v>
      </c>
      <c r="K311" s="1">
        <v>1031.739</v>
      </c>
      <c r="L311" s="1">
        <v>1047.152</v>
      </c>
      <c r="M311" s="1" t="s">
        <v>35</v>
      </c>
    </row>
    <row r="312" spans="1:13" ht="13" x14ac:dyDescent="0.15">
      <c r="A312" s="1">
        <v>2</v>
      </c>
      <c r="B312" s="1">
        <v>2</v>
      </c>
      <c r="C312" s="1">
        <v>17</v>
      </c>
      <c r="D312" s="1" t="s">
        <v>24</v>
      </c>
      <c r="E312" s="1">
        <v>259</v>
      </c>
      <c r="F312" s="1">
        <v>4.4999999999999998E-2</v>
      </c>
      <c r="G312" s="1">
        <v>29934207</v>
      </c>
      <c r="H312" s="1">
        <f t="shared" si="3"/>
        <v>115576.0888030888</v>
      </c>
      <c r="I312" s="1">
        <v>816.98</v>
      </c>
      <c r="J312" s="1">
        <v>15.391</v>
      </c>
      <c r="K312" s="1">
        <v>966.67200000000003</v>
      </c>
      <c r="L312" s="1">
        <v>982.06299999999999</v>
      </c>
      <c r="M312" s="1" t="s">
        <v>35</v>
      </c>
    </row>
    <row r="313" spans="1:13" ht="13" x14ac:dyDescent="0.15">
      <c r="A313" s="1">
        <v>2</v>
      </c>
      <c r="B313" s="1">
        <v>2</v>
      </c>
      <c r="C313" s="1">
        <v>18</v>
      </c>
      <c r="D313" s="1" t="s">
        <v>24</v>
      </c>
      <c r="E313" s="1">
        <v>281</v>
      </c>
      <c r="F313" s="1">
        <v>4.7E-2</v>
      </c>
      <c r="G313" s="1">
        <v>26992139</v>
      </c>
      <c r="H313" s="1">
        <f t="shared" si="3"/>
        <v>96057.434163701066</v>
      </c>
      <c r="I313" s="1">
        <v>626.50199999999995</v>
      </c>
      <c r="J313" s="1">
        <v>16.125</v>
      </c>
      <c r="K313" s="1">
        <v>756.88499999999999</v>
      </c>
      <c r="L313" s="1">
        <v>773.01</v>
      </c>
      <c r="M313" s="1" t="s">
        <v>35</v>
      </c>
    </row>
    <row r="314" spans="1:13" ht="13" x14ac:dyDescent="0.15">
      <c r="A314" s="1">
        <v>2</v>
      </c>
      <c r="B314" s="1">
        <v>2</v>
      </c>
      <c r="C314" s="1">
        <v>19</v>
      </c>
      <c r="D314" s="1" t="s">
        <v>37</v>
      </c>
      <c r="E314" s="1">
        <v>282</v>
      </c>
      <c r="F314" s="1">
        <v>3.3000000000000002E-2</v>
      </c>
      <c r="G314" s="1">
        <v>26377281</v>
      </c>
      <c r="H314" s="1">
        <f t="shared" si="3"/>
        <v>93536.457446808505</v>
      </c>
      <c r="I314" s="1">
        <v>1160.307</v>
      </c>
      <c r="J314" s="1">
        <v>15.247999999999999</v>
      </c>
      <c r="K314" s="1">
        <v>1289.873</v>
      </c>
      <c r="L314" s="1">
        <v>1305.1199999999999</v>
      </c>
      <c r="M314" s="1" t="s">
        <v>35</v>
      </c>
    </row>
    <row r="315" spans="1:13" ht="13" x14ac:dyDescent="0.15">
      <c r="A315" s="1">
        <v>2</v>
      </c>
      <c r="B315" s="1">
        <v>2</v>
      </c>
      <c r="C315" s="1">
        <v>20</v>
      </c>
      <c r="D315" s="1" t="s">
        <v>24</v>
      </c>
      <c r="E315" s="1">
        <v>296</v>
      </c>
      <c r="F315" s="1">
        <v>0.04</v>
      </c>
      <c r="G315" s="1">
        <v>25827073</v>
      </c>
      <c r="H315" s="1">
        <f t="shared" si="3"/>
        <v>87253.625</v>
      </c>
      <c r="I315" s="1">
        <v>840.40800000000002</v>
      </c>
      <c r="J315" s="1">
        <v>15.087999999999999</v>
      </c>
      <c r="K315" s="1">
        <v>967.798</v>
      </c>
      <c r="L315" s="1">
        <v>982.88699999999994</v>
      </c>
      <c r="M315" s="1" t="s">
        <v>35</v>
      </c>
    </row>
    <row r="316" spans="1:13" ht="13" x14ac:dyDescent="0.15">
      <c r="A316" s="1">
        <v>1</v>
      </c>
      <c r="B316" s="1">
        <v>3</v>
      </c>
      <c r="C316" s="1">
        <v>1</v>
      </c>
      <c r="D316" s="1" t="s">
        <v>24</v>
      </c>
      <c r="E316" s="1">
        <v>231</v>
      </c>
      <c r="F316" s="1">
        <v>1.2999999999999999E-2</v>
      </c>
      <c r="G316" s="1">
        <v>24695277</v>
      </c>
      <c r="H316" s="1">
        <f t="shared" si="3"/>
        <v>106905.96103896105</v>
      </c>
      <c r="I316" s="1">
        <v>585.97699999999998</v>
      </c>
      <c r="J316" s="1">
        <v>15.241</v>
      </c>
      <c r="K316" s="1">
        <v>711.77</v>
      </c>
      <c r="L316" s="1">
        <v>727.01099999999997</v>
      </c>
      <c r="M316" s="1" t="s">
        <v>35</v>
      </c>
    </row>
    <row r="317" spans="1:13" ht="13" x14ac:dyDescent="0.15">
      <c r="A317" s="1">
        <v>1</v>
      </c>
      <c r="B317" s="1">
        <v>3</v>
      </c>
      <c r="C317" s="1">
        <v>2</v>
      </c>
      <c r="D317" s="1" t="s">
        <v>24</v>
      </c>
      <c r="E317" s="1">
        <v>221</v>
      </c>
      <c r="F317" s="1">
        <v>1.0999999999999999E-2</v>
      </c>
      <c r="G317" s="1">
        <v>22269030</v>
      </c>
      <c r="H317" s="1">
        <f t="shared" si="3"/>
        <v>100764.84162895927</v>
      </c>
      <c r="I317" s="1">
        <v>416.46199999999999</v>
      </c>
      <c r="J317" s="1">
        <v>14.776</v>
      </c>
      <c r="K317" s="1">
        <v>528.81500000000005</v>
      </c>
      <c r="L317" s="1">
        <v>543.59100000000001</v>
      </c>
      <c r="M317" s="1" t="s">
        <v>35</v>
      </c>
    </row>
    <row r="318" spans="1:13" ht="13" x14ac:dyDescent="0.15">
      <c r="A318" s="1">
        <v>1</v>
      </c>
      <c r="B318" s="1">
        <v>3</v>
      </c>
      <c r="C318" s="1">
        <v>3</v>
      </c>
      <c r="D318" s="1" t="s">
        <v>24</v>
      </c>
      <c r="E318" s="1">
        <v>381</v>
      </c>
      <c r="F318" s="1">
        <v>5.3999999999999999E-2</v>
      </c>
      <c r="G318" s="1">
        <v>28619481</v>
      </c>
      <c r="H318" s="1">
        <f t="shared" si="3"/>
        <v>75116.748031496056</v>
      </c>
      <c r="I318" s="1">
        <v>1611.9380000000001</v>
      </c>
      <c r="J318" s="1">
        <v>15.22</v>
      </c>
      <c r="K318" s="1">
        <v>1754.385</v>
      </c>
      <c r="L318" s="1">
        <v>1769.605</v>
      </c>
      <c r="M318" s="1" t="s">
        <v>35</v>
      </c>
    </row>
    <row r="319" spans="1:13" ht="13" x14ac:dyDescent="0.15">
      <c r="A319" s="1">
        <v>1</v>
      </c>
      <c r="B319" s="1">
        <v>3</v>
      </c>
      <c r="C319" s="1">
        <v>4</v>
      </c>
      <c r="D319" s="1" t="s">
        <v>19</v>
      </c>
      <c r="E319" s="1">
        <v>314</v>
      </c>
      <c r="F319" s="1">
        <v>6.0999999999999999E-2</v>
      </c>
      <c r="G319" s="1">
        <v>28568099</v>
      </c>
      <c r="H319" s="1">
        <f t="shared" si="3"/>
        <v>90981.207006369426</v>
      </c>
      <c r="I319" s="1">
        <v>2356.1019999999999</v>
      </c>
      <c r="J319" s="1">
        <v>15.209</v>
      </c>
      <c r="K319" s="1">
        <v>2498.087</v>
      </c>
      <c r="L319" s="1">
        <v>2513.2959999999998</v>
      </c>
      <c r="M319" s="1" t="s">
        <v>35</v>
      </c>
    </row>
    <row r="320" spans="1:13" ht="13" x14ac:dyDescent="0.15">
      <c r="A320" s="1">
        <v>1</v>
      </c>
      <c r="B320" s="1">
        <v>3</v>
      </c>
      <c r="C320" s="1">
        <v>5</v>
      </c>
      <c r="D320" s="1" t="s">
        <v>24</v>
      </c>
      <c r="E320" s="1">
        <v>216</v>
      </c>
      <c r="F320" s="1">
        <v>1.2E-2</v>
      </c>
      <c r="G320" s="1">
        <v>24781437</v>
      </c>
      <c r="H320" s="1">
        <f t="shared" si="3"/>
        <v>114728.875</v>
      </c>
      <c r="I320" s="1">
        <v>531.17600000000004</v>
      </c>
      <c r="J320" s="1">
        <v>15.93</v>
      </c>
      <c r="K320" s="1">
        <v>660.92700000000002</v>
      </c>
      <c r="L320" s="1">
        <v>676.85599999999999</v>
      </c>
      <c r="M320" s="1" t="s">
        <v>35</v>
      </c>
    </row>
    <row r="321" spans="1:13" ht="13" x14ac:dyDescent="0.15">
      <c r="A321" s="1">
        <v>1</v>
      </c>
      <c r="B321" s="1">
        <v>3</v>
      </c>
      <c r="C321" s="1">
        <v>6</v>
      </c>
      <c r="D321" s="1" t="s">
        <v>24</v>
      </c>
      <c r="E321" s="1">
        <v>213</v>
      </c>
      <c r="F321" s="1">
        <v>1.0999999999999999E-2</v>
      </c>
      <c r="G321" s="1">
        <v>26148843</v>
      </c>
      <c r="H321" s="1">
        <f t="shared" si="3"/>
        <v>122764.52112676056</v>
      </c>
      <c r="I321" s="1">
        <v>453.46300000000002</v>
      </c>
      <c r="J321" s="1">
        <v>15.321999999999999</v>
      </c>
      <c r="K321" s="1">
        <v>582.19200000000001</v>
      </c>
      <c r="L321" s="1">
        <v>597.51400000000001</v>
      </c>
      <c r="M321" s="1" t="s">
        <v>35</v>
      </c>
    </row>
    <row r="322" spans="1:13" ht="13" x14ac:dyDescent="0.15">
      <c r="A322" s="1">
        <v>1</v>
      </c>
      <c r="B322" s="1">
        <v>3</v>
      </c>
      <c r="C322" s="1">
        <v>7</v>
      </c>
      <c r="D322" s="1" t="s">
        <v>24</v>
      </c>
      <c r="E322" s="1">
        <v>272</v>
      </c>
      <c r="F322" s="1">
        <v>0.10100000000000001</v>
      </c>
      <c r="G322" s="1">
        <v>25697873</v>
      </c>
      <c r="H322" s="1">
        <f t="shared" si="3"/>
        <v>94477.474264705888</v>
      </c>
      <c r="I322" s="1">
        <v>574.45699999999999</v>
      </c>
      <c r="J322" s="1">
        <v>15.316000000000001</v>
      </c>
      <c r="K322" s="1">
        <v>703.91200000000003</v>
      </c>
      <c r="L322" s="1">
        <v>719.22900000000004</v>
      </c>
      <c r="M322" s="1" t="s">
        <v>35</v>
      </c>
    </row>
    <row r="323" spans="1:13" ht="13" x14ac:dyDescent="0.15">
      <c r="A323" s="1">
        <v>1</v>
      </c>
      <c r="B323" s="1">
        <v>3</v>
      </c>
      <c r="C323" s="1">
        <v>8</v>
      </c>
      <c r="D323" s="1" t="s">
        <v>24</v>
      </c>
      <c r="E323" s="1">
        <v>364</v>
      </c>
      <c r="F323" s="1">
        <v>5.8000000000000003E-2</v>
      </c>
      <c r="G323" s="1">
        <v>29507835</v>
      </c>
      <c r="H323" s="1">
        <f t="shared" si="3"/>
        <v>81065.480769230766</v>
      </c>
      <c r="I323" s="1">
        <v>1132.2550000000001</v>
      </c>
      <c r="J323" s="1">
        <v>15.327</v>
      </c>
      <c r="K323" s="1">
        <v>1275.626</v>
      </c>
      <c r="L323" s="1">
        <v>1290.953</v>
      </c>
      <c r="M323" s="1" t="s">
        <v>35</v>
      </c>
    </row>
    <row r="324" spans="1:13" ht="13" x14ac:dyDescent="0.15">
      <c r="A324" s="1">
        <v>1</v>
      </c>
      <c r="B324" s="1">
        <v>3</v>
      </c>
      <c r="C324" s="1">
        <v>9</v>
      </c>
      <c r="D324" s="1" t="s">
        <v>16</v>
      </c>
      <c r="E324" s="1">
        <v>379</v>
      </c>
      <c r="F324" s="1">
        <v>5.0999999999999997E-2</v>
      </c>
      <c r="G324" s="1">
        <v>30381729</v>
      </c>
      <c r="H324" s="1">
        <f t="shared" si="3"/>
        <v>80162.873350923488</v>
      </c>
      <c r="I324" s="1">
        <v>1931.396</v>
      </c>
      <c r="J324" s="1">
        <v>14.939</v>
      </c>
      <c r="K324" s="1">
        <v>2081.3420000000001</v>
      </c>
      <c r="L324" s="1">
        <v>2096.2809999999999</v>
      </c>
      <c r="M324" s="1" t="s">
        <v>35</v>
      </c>
    </row>
    <row r="325" spans="1:13" ht="13" x14ac:dyDescent="0.15">
      <c r="A325" s="1">
        <v>1</v>
      </c>
      <c r="B325" s="1">
        <v>3</v>
      </c>
      <c r="C325" s="1">
        <v>10</v>
      </c>
      <c r="D325" s="1" t="s">
        <v>20</v>
      </c>
      <c r="E325" s="1">
        <v>358</v>
      </c>
      <c r="F325" s="1">
        <v>4.8000000000000001E-2</v>
      </c>
      <c r="G325" s="1">
        <v>27059508</v>
      </c>
      <c r="H325" s="1">
        <f t="shared" si="3"/>
        <v>75585.217877094969</v>
      </c>
      <c r="I325" s="1">
        <v>791.96400000000006</v>
      </c>
      <c r="J325" s="1">
        <v>14.776</v>
      </c>
      <c r="K325" s="1">
        <v>924.029</v>
      </c>
      <c r="L325" s="1">
        <v>938.80499999999995</v>
      </c>
      <c r="M325" s="1" t="s">
        <v>35</v>
      </c>
    </row>
    <row r="326" spans="1:13" ht="13" x14ac:dyDescent="0.15">
      <c r="A326" s="1">
        <v>1</v>
      </c>
      <c r="B326" s="1">
        <v>3</v>
      </c>
      <c r="C326" s="1">
        <v>11</v>
      </c>
      <c r="D326" s="1" t="s">
        <v>18</v>
      </c>
      <c r="E326" s="1">
        <v>290</v>
      </c>
      <c r="F326" s="1">
        <v>0.06</v>
      </c>
      <c r="G326" s="1">
        <v>28611883</v>
      </c>
      <c r="H326" s="1">
        <f t="shared" si="3"/>
        <v>98661.665517241374</v>
      </c>
      <c r="I326" s="1">
        <v>1757.509</v>
      </c>
      <c r="J326" s="1">
        <v>15.736000000000001</v>
      </c>
      <c r="K326" s="1">
        <v>1903.653</v>
      </c>
      <c r="L326" s="1">
        <v>1919.3889999999999</v>
      </c>
      <c r="M326" s="1" t="s">
        <v>35</v>
      </c>
    </row>
    <row r="327" spans="1:13" ht="13" x14ac:dyDescent="0.15">
      <c r="A327" s="1">
        <v>1</v>
      </c>
      <c r="B327" s="1">
        <v>3</v>
      </c>
      <c r="C327" s="1">
        <v>12</v>
      </c>
      <c r="D327" s="1" t="s">
        <v>24</v>
      </c>
      <c r="E327" s="1">
        <v>296</v>
      </c>
      <c r="F327" s="1">
        <v>3.4000000000000002E-2</v>
      </c>
      <c r="G327" s="1">
        <v>28976061</v>
      </c>
      <c r="H327" s="1">
        <f t="shared" si="3"/>
        <v>97892.097972972973</v>
      </c>
      <c r="I327" s="1">
        <v>911.88300000000004</v>
      </c>
      <c r="J327" s="1">
        <v>15.459</v>
      </c>
      <c r="K327" s="1">
        <v>1059.242</v>
      </c>
      <c r="L327" s="1">
        <v>1074.701</v>
      </c>
      <c r="M327" s="1" t="s">
        <v>35</v>
      </c>
    </row>
    <row r="328" spans="1:13" ht="13" x14ac:dyDescent="0.15">
      <c r="A328" s="1">
        <v>1</v>
      </c>
      <c r="B328" s="1">
        <v>3</v>
      </c>
      <c r="C328" s="1">
        <v>13</v>
      </c>
      <c r="D328" s="1" t="s">
        <v>24</v>
      </c>
      <c r="E328" s="1">
        <v>242</v>
      </c>
      <c r="F328" s="1">
        <v>8.5999999999999993E-2</v>
      </c>
      <c r="G328" s="1">
        <v>28015821</v>
      </c>
      <c r="H328" s="1">
        <f t="shared" si="3"/>
        <v>115767.85537190082</v>
      </c>
      <c r="I328" s="1">
        <v>945.48500000000001</v>
      </c>
      <c r="J328" s="1">
        <v>15.145</v>
      </c>
      <c r="K328" s="1">
        <v>1086.683</v>
      </c>
      <c r="L328" s="1">
        <v>1101.827</v>
      </c>
      <c r="M328" s="1" t="s">
        <v>35</v>
      </c>
    </row>
    <row r="329" spans="1:13" ht="13" x14ac:dyDescent="0.15">
      <c r="A329" s="1">
        <v>1</v>
      </c>
      <c r="B329" s="1">
        <v>3</v>
      </c>
      <c r="C329" s="1">
        <v>14</v>
      </c>
      <c r="D329" s="1" t="s">
        <v>24</v>
      </c>
      <c r="E329" s="1">
        <v>219</v>
      </c>
      <c r="F329" s="1">
        <v>8.3000000000000004E-2</v>
      </c>
      <c r="G329" s="1">
        <v>25271315</v>
      </c>
      <c r="H329" s="1">
        <f t="shared" si="3"/>
        <v>115394.13242009132</v>
      </c>
      <c r="I329" s="1">
        <v>588.87800000000004</v>
      </c>
      <c r="J329" s="1">
        <v>15.808999999999999</v>
      </c>
      <c r="K329" s="1">
        <v>718.346</v>
      </c>
      <c r="L329" s="1">
        <v>734.154</v>
      </c>
      <c r="M329" s="1" t="s">
        <v>35</v>
      </c>
    </row>
    <row r="330" spans="1:13" ht="13" x14ac:dyDescent="0.15">
      <c r="A330" s="1">
        <v>1</v>
      </c>
      <c r="B330" s="1">
        <v>3</v>
      </c>
      <c r="C330" s="1">
        <v>15</v>
      </c>
      <c r="D330" s="1" t="s">
        <v>24</v>
      </c>
      <c r="E330" s="1">
        <v>219</v>
      </c>
      <c r="F330" s="1">
        <v>0.10100000000000001</v>
      </c>
      <c r="G330" s="1">
        <v>25622593</v>
      </c>
      <c r="H330" s="1">
        <f t="shared" si="3"/>
        <v>116998.14155251141</v>
      </c>
      <c r="I330" s="1">
        <v>500.88600000000002</v>
      </c>
      <c r="J330" s="1">
        <v>15.023</v>
      </c>
      <c r="K330" s="1">
        <v>628.39200000000005</v>
      </c>
      <c r="L330" s="1">
        <v>643.41499999999996</v>
      </c>
      <c r="M330" s="1" t="s">
        <v>35</v>
      </c>
    </row>
    <row r="331" spans="1:13" ht="13" x14ac:dyDescent="0.15">
      <c r="A331" s="1">
        <v>1</v>
      </c>
      <c r="B331" s="1">
        <v>3</v>
      </c>
      <c r="C331" s="1">
        <v>16</v>
      </c>
      <c r="D331" s="1" t="s">
        <v>24</v>
      </c>
      <c r="E331" s="1">
        <v>302</v>
      </c>
      <c r="F331" s="1">
        <v>7.5999999999999998E-2</v>
      </c>
      <c r="G331" s="1">
        <v>28278365</v>
      </c>
      <c r="H331" s="1">
        <f t="shared" si="3"/>
        <v>93636.970198675495</v>
      </c>
      <c r="I331" s="1">
        <v>1338.9469999999999</v>
      </c>
      <c r="J331" s="1">
        <v>15.555</v>
      </c>
      <c r="K331" s="1">
        <v>1482.28</v>
      </c>
      <c r="L331" s="1">
        <v>1497.835</v>
      </c>
      <c r="M331" s="1" t="s">
        <v>35</v>
      </c>
    </row>
    <row r="332" spans="1:13" ht="13" x14ac:dyDescent="0.15">
      <c r="A332" s="1">
        <v>1</v>
      </c>
      <c r="B332" s="1">
        <v>3</v>
      </c>
      <c r="C332" s="1">
        <v>17</v>
      </c>
      <c r="D332" s="1" t="s">
        <v>24</v>
      </c>
      <c r="E332" s="1">
        <v>259</v>
      </c>
      <c r="F332" s="1">
        <v>2.5000000000000001E-2</v>
      </c>
      <c r="G332" s="1">
        <v>29908121</v>
      </c>
      <c r="H332" s="1">
        <f t="shared" si="3"/>
        <v>115475.37065637065</v>
      </c>
      <c r="I332" s="1">
        <v>826.33699999999999</v>
      </c>
      <c r="J332" s="1">
        <v>15.509</v>
      </c>
      <c r="K332" s="1">
        <v>976.33600000000001</v>
      </c>
      <c r="L332" s="1">
        <v>991.84400000000005</v>
      </c>
      <c r="M332" s="1" t="s">
        <v>35</v>
      </c>
    </row>
    <row r="333" spans="1:13" ht="13" x14ac:dyDescent="0.15">
      <c r="A333" s="1">
        <v>1</v>
      </c>
      <c r="B333" s="1">
        <v>3</v>
      </c>
      <c r="C333" s="1">
        <v>18</v>
      </c>
      <c r="D333" s="1" t="s">
        <v>24</v>
      </c>
      <c r="E333" s="1">
        <v>281</v>
      </c>
      <c r="F333" s="1">
        <v>2.1999999999999999E-2</v>
      </c>
      <c r="G333" s="1">
        <v>27129659</v>
      </c>
      <c r="H333" s="1">
        <f t="shared" si="3"/>
        <v>96546.829181494657</v>
      </c>
      <c r="I333" s="1">
        <v>630.19600000000003</v>
      </c>
      <c r="J333" s="1">
        <v>16.196000000000002</v>
      </c>
      <c r="K333" s="1">
        <v>763.24099999999999</v>
      </c>
      <c r="L333" s="1">
        <v>779.43700000000001</v>
      </c>
      <c r="M333" s="1" t="s">
        <v>35</v>
      </c>
    </row>
    <row r="334" spans="1:13" ht="13" x14ac:dyDescent="0.15">
      <c r="A334" s="1">
        <v>1</v>
      </c>
      <c r="B334" s="1">
        <v>3</v>
      </c>
      <c r="C334" s="1">
        <v>19</v>
      </c>
      <c r="D334" s="1" t="s">
        <v>24</v>
      </c>
      <c r="E334" s="1">
        <v>282</v>
      </c>
      <c r="F334" s="1">
        <v>2.8000000000000001E-2</v>
      </c>
      <c r="G334" s="1">
        <v>26041390</v>
      </c>
      <c r="H334" s="1">
        <f t="shared" si="3"/>
        <v>92345.354609929083</v>
      </c>
      <c r="I334" s="1">
        <v>520.92399999999998</v>
      </c>
      <c r="J334" s="1">
        <v>15.282999999999999</v>
      </c>
      <c r="K334" s="1">
        <v>649.649</v>
      </c>
      <c r="L334" s="1">
        <v>664.93200000000002</v>
      </c>
      <c r="M334" s="1" t="s">
        <v>35</v>
      </c>
    </row>
    <row r="335" spans="1:13" ht="13" x14ac:dyDescent="0.15">
      <c r="A335" s="1">
        <v>1</v>
      </c>
      <c r="B335" s="1">
        <v>3</v>
      </c>
      <c r="C335" s="1">
        <v>20</v>
      </c>
      <c r="D335" s="1" t="s">
        <v>24</v>
      </c>
      <c r="E335" s="1">
        <v>296</v>
      </c>
      <c r="F335" s="1">
        <v>1.6E-2</v>
      </c>
      <c r="G335" s="1">
        <v>26035849</v>
      </c>
      <c r="H335" s="1">
        <f t="shared" si="3"/>
        <v>87958.94932432432</v>
      </c>
      <c r="I335" s="1">
        <v>616.42499999999995</v>
      </c>
      <c r="J335" s="1">
        <v>15.223000000000001</v>
      </c>
      <c r="K335" s="1">
        <v>743.42899999999997</v>
      </c>
      <c r="L335" s="1">
        <v>758.65200000000004</v>
      </c>
      <c r="M335" s="1" t="s">
        <v>35</v>
      </c>
    </row>
    <row r="336" spans="1:13" ht="13" x14ac:dyDescent="0.15">
      <c r="A336" s="1">
        <v>3</v>
      </c>
      <c r="B336" s="1">
        <v>1</v>
      </c>
      <c r="C336" s="1">
        <v>1</v>
      </c>
      <c r="D336" s="1" t="s">
        <v>24</v>
      </c>
      <c r="E336" s="1">
        <v>231</v>
      </c>
      <c r="F336" s="1">
        <v>3.6999999999999998E-2</v>
      </c>
      <c r="G336" s="1">
        <v>24378270</v>
      </c>
      <c r="H336" s="1">
        <f t="shared" si="3"/>
        <v>105533.63636363637</v>
      </c>
      <c r="I336" s="1">
        <v>597.29200000000003</v>
      </c>
      <c r="J336" s="1">
        <v>15.528</v>
      </c>
      <c r="K336" s="1">
        <v>714.54</v>
      </c>
      <c r="L336" s="1">
        <v>730.06799999999998</v>
      </c>
      <c r="M336" s="1" t="s">
        <v>35</v>
      </c>
    </row>
    <row r="337" spans="1:13" ht="13" x14ac:dyDescent="0.15">
      <c r="A337" s="1">
        <v>3</v>
      </c>
      <c r="B337" s="1">
        <v>1</v>
      </c>
      <c r="C337" s="1">
        <v>2</v>
      </c>
      <c r="D337" s="1" t="s">
        <v>24</v>
      </c>
      <c r="E337" s="1">
        <v>221</v>
      </c>
      <c r="F337" s="1">
        <v>7.0000000000000007E-2</v>
      </c>
      <c r="G337" s="1">
        <v>21922307</v>
      </c>
      <c r="H337" s="1">
        <f t="shared" si="3"/>
        <v>99195.959276018097</v>
      </c>
      <c r="I337" s="1">
        <v>360.07900000000001</v>
      </c>
      <c r="J337" s="1">
        <v>14.77</v>
      </c>
      <c r="K337" s="1">
        <v>467.01400000000001</v>
      </c>
      <c r="L337" s="1">
        <v>481.78300000000002</v>
      </c>
      <c r="M337" s="1" t="s">
        <v>35</v>
      </c>
    </row>
    <row r="338" spans="1:13" ht="13" x14ac:dyDescent="0.15">
      <c r="A338" s="1">
        <v>3</v>
      </c>
      <c r="B338" s="1">
        <v>1</v>
      </c>
      <c r="C338" s="1">
        <v>3</v>
      </c>
      <c r="D338" s="1" t="s">
        <v>24</v>
      </c>
      <c r="E338" s="1">
        <v>381</v>
      </c>
      <c r="F338" s="1">
        <v>2.3E-2</v>
      </c>
      <c r="G338" s="1">
        <v>28132443</v>
      </c>
      <c r="H338" s="1">
        <f t="shared" si="3"/>
        <v>73838.433070866144</v>
      </c>
      <c r="I338" s="1">
        <v>849.69799999999998</v>
      </c>
      <c r="J338" s="1">
        <v>15.038</v>
      </c>
      <c r="K338" s="1">
        <v>995.70600000000002</v>
      </c>
      <c r="L338" s="1">
        <v>1010.744</v>
      </c>
      <c r="M338" s="1" t="s">
        <v>35</v>
      </c>
    </row>
    <row r="339" spans="1:13" ht="13" x14ac:dyDescent="0.15">
      <c r="A339" s="1">
        <v>3</v>
      </c>
      <c r="B339" s="1">
        <v>1</v>
      </c>
      <c r="C339" s="1">
        <v>4</v>
      </c>
      <c r="D339" s="1" t="s">
        <v>19</v>
      </c>
      <c r="E339" s="1">
        <v>314</v>
      </c>
      <c r="F339" s="1">
        <v>2.7E-2</v>
      </c>
      <c r="G339" s="1">
        <v>27733528</v>
      </c>
      <c r="H339" s="1">
        <f t="shared" si="3"/>
        <v>88323.33757961783</v>
      </c>
      <c r="I339" s="1">
        <v>1738.354</v>
      </c>
      <c r="J339" s="1">
        <v>14.888</v>
      </c>
      <c r="K339" s="1">
        <v>1872.192</v>
      </c>
      <c r="L339" s="1">
        <v>1887.079</v>
      </c>
      <c r="M339" s="1" t="s">
        <v>35</v>
      </c>
    </row>
    <row r="340" spans="1:13" ht="13" x14ac:dyDescent="0.15">
      <c r="A340" s="1">
        <v>3</v>
      </c>
      <c r="B340" s="1">
        <v>1</v>
      </c>
      <c r="C340" s="1">
        <v>5</v>
      </c>
      <c r="D340" s="1" t="s">
        <v>24</v>
      </c>
      <c r="E340" s="1">
        <v>216</v>
      </c>
      <c r="F340" s="1">
        <v>1.4999999999999999E-2</v>
      </c>
      <c r="G340" s="1">
        <v>25472045</v>
      </c>
      <c r="H340" s="1">
        <f t="shared" si="3"/>
        <v>117926.13425925926</v>
      </c>
      <c r="I340" s="1">
        <v>767.93700000000001</v>
      </c>
      <c r="J340" s="1">
        <v>15.621</v>
      </c>
      <c r="K340" s="1">
        <v>894.20399999999995</v>
      </c>
      <c r="L340" s="1">
        <v>909.82500000000005</v>
      </c>
      <c r="M340" s="1" t="s">
        <v>35</v>
      </c>
    </row>
    <row r="341" spans="1:13" ht="13" x14ac:dyDescent="0.15">
      <c r="A341" s="1">
        <v>3</v>
      </c>
      <c r="B341" s="1">
        <v>1</v>
      </c>
      <c r="C341" s="1">
        <v>6</v>
      </c>
      <c r="D341" s="1" t="s">
        <v>24</v>
      </c>
      <c r="E341" s="1">
        <v>213</v>
      </c>
      <c r="F341" s="1">
        <v>0.08</v>
      </c>
      <c r="G341" s="1">
        <v>25626841</v>
      </c>
      <c r="H341" s="1">
        <f t="shared" si="3"/>
        <v>120313.80751173709</v>
      </c>
      <c r="I341" s="1">
        <v>462.56099999999998</v>
      </c>
      <c r="J341" s="1">
        <v>15.532</v>
      </c>
      <c r="K341" s="1">
        <v>590.26599999999996</v>
      </c>
      <c r="L341" s="1">
        <v>605.79899999999998</v>
      </c>
      <c r="M341" s="1" t="s">
        <v>35</v>
      </c>
    </row>
    <row r="342" spans="1:13" ht="13" x14ac:dyDescent="0.15">
      <c r="A342" s="1">
        <v>3</v>
      </c>
      <c r="B342" s="1">
        <v>1</v>
      </c>
      <c r="C342" s="1">
        <v>7</v>
      </c>
      <c r="D342" s="1" t="s">
        <v>27</v>
      </c>
      <c r="E342" s="1">
        <v>272</v>
      </c>
      <c r="F342" s="1">
        <v>1.9E-2</v>
      </c>
      <c r="G342" s="1">
        <v>25202152</v>
      </c>
      <c r="H342" s="1">
        <f t="shared" si="3"/>
        <v>92654.970588235301</v>
      </c>
      <c r="I342" s="1">
        <v>1055.451</v>
      </c>
      <c r="J342" s="1">
        <v>15.295999999999999</v>
      </c>
      <c r="K342" s="1">
        <v>1180.787</v>
      </c>
      <c r="L342" s="1">
        <v>1196.0840000000001</v>
      </c>
      <c r="M342" s="1" t="s">
        <v>35</v>
      </c>
    </row>
    <row r="343" spans="1:13" ht="13" x14ac:dyDescent="0.15">
      <c r="A343" s="1">
        <v>3</v>
      </c>
      <c r="B343" s="1">
        <v>1</v>
      </c>
      <c r="C343" s="1">
        <v>8</v>
      </c>
      <c r="D343" s="1" t="s">
        <v>24</v>
      </c>
      <c r="E343" s="1">
        <v>364</v>
      </c>
      <c r="F343" s="1">
        <v>4.4999999999999998E-2</v>
      </c>
      <c r="G343" s="1">
        <v>28513722</v>
      </c>
      <c r="H343" s="1">
        <f t="shared" si="3"/>
        <v>78334.4010989011</v>
      </c>
      <c r="I343" s="1">
        <v>863.36699999999996</v>
      </c>
      <c r="J343" s="1">
        <v>15.2</v>
      </c>
      <c r="K343" s="1">
        <v>1010.2569999999999</v>
      </c>
      <c r="L343" s="1">
        <v>1025.4580000000001</v>
      </c>
      <c r="M343" s="1" t="s">
        <v>35</v>
      </c>
    </row>
    <row r="344" spans="1:13" ht="13" x14ac:dyDescent="0.15">
      <c r="A344" s="1">
        <v>3</v>
      </c>
      <c r="B344" s="1">
        <v>1</v>
      </c>
      <c r="C344" s="1">
        <v>9</v>
      </c>
      <c r="D344" s="1" t="s">
        <v>24</v>
      </c>
      <c r="E344" s="1">
        <v>379</v>
      </c>
      <c r="F344" s="1">
        <v>6.0999999999999999E-2</v>
      </c>
      <c r="G344" s="1">
        <v>29939385</v>
      </c>
      <c r="H344" s="1">
        <f t="shared" si="3"/>
        <v>78995.73878627969</v>
      </c>
      <c r="I344" s="1">
        <v>1535.7950000000001</v>
      </c>
      <c r="J344" s="1">
        <v>14.634</v>
      </c>
      <c r="K344" s="1">
        <v>1682.5889999999999</v>
      </c>
      <c r="L344" s="1">
        <v>1697.223</v>
      </c>
      <c r="M344" s="1" t="s">
        <v>35</v>
      </c>
    </row>
    <row r="345" spans="1:13" ht="13" x14ac:dyDescent="0.15">
      <c r="A345" s="1">
        <v>3</v>
      </c>
      <c r="B345" s="1">
        <v>1</v>
      </c>
      <c r="C345" s="1">
        <v>10</v>
      </c>
      <c r="D345" s="1" t="s">
        <v>20</v>
      </c>
      <c r="E345" s="1">
        <v>358</v>
      </c>
      <c r="F345" s="1">
        <v>0.10199999999999999</v>
      </c>
      <c r="G345" s="1">
        <v>25994781</v>
      </c>
      <c r="H345" s="1">
        <f t="shared" si="3"/>
        <v>72611.120111731841</v>
      </c>
      <c r="I345" s="1">
        <v>637.05700000000002</v>
      </c>
      <c r="J345" s="1">
        <v>15.173999999999999</v>
      </c>
      <c r="K345" s="1">
        <v>765.875</v>
      </c>
      <c r="L345" s="1">
        <v>781.04899999999998</v>
      </c>
      <c r="M345" s="1" t="s">
        <v>35</v>
      </c>
    </row>
    <row r="346" spans="1:13" ht="13" x14ac:dyDescent="0.15">
      <c r="A346" s="1">
        <v>3</v>
      </c>
      <c r="B346" s="1">
        <v>1</v>
      </c>
      <c r="C346" s="1">
        <v>11</v>
      </c>
      <c r="D346" s="1" t="s">
        <v>24</v>
      </c>
      <c r="E346" s="1">
        <v>290</v>
      </c>
      <c r="F346" s="1">
        <v>0.10299999999999999</v>
      </c>
      <c r="G346" s="1">
        <v>27726360</v>
      </c>
      <c r="H346" s="1">
        <f t="shared" si="3"/>
        <v>95608.137931034478</v>
      </c>
      <c r="I346" s="1">
        <v>1006.4</v>
      </c>
      <c r="J346" s="1">
        <v>15.759</v>
      </c>
      <c r="K346" s="1">
        <v>1145.3800000000001</v>
      </c>
      <c r="L346" s="1">
        <v>1161.1389999999999</v>
      </c>
      <c r="M346" s="1" t="s">
        <v>35</v>
      </c>
    </row>
    <row r="347" spans="1:13" ht="13" x14ac:dyDescent="0.15">
      <c r="A347" s="1">
        <v>3</v>
      </c>
      <c r="B347" s="1">
        <v>1</v>
      </c>
      <c r="C347" s="1">
        <v>12</v>
      </c>
      <c r="D347" s="1" t="s">
        <v>24</v>
      </c>
      <c r="E347" s="1">
        <v>296</v>
      </c>
      <c r="F347" s="1">
        <v>2.5999999999999999E-2</v>
      </c>
      <c r="G347" s="1">
        <v>28808598</v>
      </c>
      <c r="H347" s="1">
        <f t="shared" si="3"/>
        <v>97326.3445945946</v>
      </c>
      <c r="I347" s="1">
        <v>692.63800000000003</v>
      </c>
      <c r="J347" s="1">
        <v>15.526</v>
      </c>
      <c r="K347" s="1">
        <v>836.66099999999994</v>
      </c>
      <c r="L347" s="1">
        <v>852.18700000000001</v>
      </c>
      <c r="M347" s="1" t="s">
        <v>35</v>
      </c>
    </row>
    <row r="348" spans="1:13" ht="13" x14ac:dyDescent="0.15">
      <c r="A348" s="1">
        <v>3</v>
      </c>
      <c r="B348" s="1">
        <v>1</v>
      </c>
      <c r="C348" s="1">
        <v>13</v>
      </c>
      <c r="D348" s="1" t="s">
        <v>40</v>
      </c>
      <c r="E348" s="1">
        <v>242</v>
      </c>
      <c r="F348" s="1">
        <v>0.124</v>
      </c>
      <c r="G348" s="1">
        <v>28120224</v>
      </c>
      <c r="H348" s="1">
        <f t="shared" si="3"/>
        <v>116199.27272727272</v>
      </c>
      <c r="I348" s="1">
        <v>1641.2370000000001</v>
      </c>
      <c r="J348" s="1">
        <v>15.096</v>
      </c>
      <c r="K348" s="1">
        <v>1784.6110000000001</v>
      </c>
      <c r="L348" s="1">
        <v>1799.7070000000001</v>
      </c>
      <c r="M348" s="1" t="s">
        <v>35</v>
      </c>
    </row>
    <row r="349" spans="1:13" ht="13" x14ac:dyDescent="0.15">
      <c r="A349" s="1">
        <v>3</v>
      </c>
      <c r="B349" s="1">
        <v>1</v>
      </c>
      <c r="C349" s="1">
        <v>14</v>
      </c>
      <c r="D349" s="1" t="s">
        <v>24</v>
      </c>
      <c r="E349" s="1">
        <v>219</v>
      </c>
      <c r="F349" s="1">
        <v>0.114</v>
      </c>
      <c r="G349" s="1">
        <v>24901712</v>
      </c>
      <c r="H349" s="1">
        <f t="shared" si="3"/>
        <v>113706.44748858447</v>
      </c>
      <c r="I349" s="1">
        <v>687.30399999999997</v>
      </c>
      <c r="J349" s="1">
        <v>15.656000000000001</v>
      </c>
      <c r="K349" s="1">
        <v>814.78800000000001</v>
      </c>
      <c r="L349" s="1">
        <v>830.44399999999996</v>
      </c>
      <c r="M349" s="1" t="s">
        <v>35</v>
      </c>
    </row>
    <row r="350" spans="1:13" ht="13" x14ac:dyDescent="0.15">
      <c r="A350" s="1">
        <v>3</v>
      </c>
      <c r="B350" s="1">
        <v>1</v>
      </c>
      <c r="C350" s="1">
        <v>15</v>
      </c>
      <c r="D350" s="1" t="s">
        <v>24</v>
      </c>
      <c r="E350" s="1">
        <v>219</v>
      </c>
      <c r="F350" s="1">
        <v>2.9000000000000001E-2</v>
      </c>
      <c r="G350" s="1">
        <v>24401508</v>
      </c>
      <c r="H350" s="1">
        <f t="shared" si="3"/>
        <v>111422.4109589041</v>
      </c>
      <c r="I350" s="1">
        <v>517.41600000000005</v>
      </c>
      <c r="J350" s="1">
        <v>15.275</v>
      </c>
      <c r="K350" s="1">
        <v>637.26099999999997</v>
      </c>
      <c r="L350" s="1">
        <v>652.53599999999994</v>
      </c>
      <c r="M350" s="1" t="s">
        <v>35</v>
      </c>
    </row>
    <row r="351" spans="1:13" ht="13" x14ac:dyDescent="0.15">
      <c r="A351" s="1">
        <v>3</v>
      </c>
      <c r="B351" s="1">
        <v>1</v>
      </c>
      <c r="C351" s="1">
        <v>16</v>
      </c>
      <c r="D351" s="1" t="s">
        <v>24</v>
      </c>
      <c r="E351" s="1">
        <v>302</v>
      </c>
      <c r="F351" s="1">
        <v>1.4999999999999999E-2</v>
      </c>
      <c r="G351" s="1">
        <v>27862999</v>
      </c>
      <c r="H351" s="1">
        <f t="shared" si="3"/>
        <v>92261.586092715239</v>
      </c>
      <c r="I351" s="1">
        <v>632.44799999999998</v>
      </c>
      <c r="J351" s="1">
        <v>15.458</v>
      </c>
      <c r="K351" s="1">
        <v>771.24599999999998</v>
      </c>
      <c r="L351" s="1">
        <v>786.70399999999995</v>
      </c>
      <c r="M351" s="1" t="s">
        <v>35</v>
      </c>
    </row>
    <row r="352" spans="1:13" ht="13" x14ac:dyDescent="0.15">
      <c r="A352" s="1">
        <v>3</v>
      </c>
      <c r="B352" s="1">
        <v>1</v>
      </c>
      <c r="C352" s="1">
        <v>17</v>
      </c>
      <c r="D352" s="1" t="s">
        <v>24</v>
      </c>
      <c r="E352" s="1">
        <v>259</v>
      </c>
      <c r="F352" s="1">
        <v>1.7000000000000001E-2</v>
      </c>
      <c r="G352" s="1">
        <v>29561996</v>
      </c>
      <c r="H352" s="1">
        <f t="shared" si="3"/>
        <v>114138.9806949807</v>
      </c>
      <c r="I352" s="1">
        <v>1374.0050000000001</v>
      </c>
      <c r="J352" s="1">
        <v>15.314</v>
      </c>
      <c r="K352" s="1">
        <v>1522.723</v>
      </c>
      <c r="L352" s="1">
        <v>1538.037</v>
      </c>
      <c r="M352" s="1" t="s">
        <v>35</v>
      </c>
    </row>
    <row r="353" spans="1:13" ht="13" x14ac:dyDescent="0.15">
      <c r="A353" s="1">
        <v>3</v>
      </c>
      <c r="B353" s="1">
        <v>1</v>
      </c>
      <c r="C353" s="1">
        <v>18</v>
      </c>
      <c r="D353" s="1" t="s">
        <v>24</v>
      </c>
      <c r="E353" s="1">
        <v>281</v>
      </c>
      <c r="F353" s="1">
        <v>1.4E-2</v>
      </c>
      <c r="G353" s="1">
        <v>27056080</v>
      </c>
      <c r="H353" s="1">
        <f t="shared" si="3"/>
        <v>96284.982206405693</v>
      </c>
      <c r="I353" s="1">
        <v>604.51900000000001</v>
      </c>
      <c r="J353" s="1">
        <v>16.193000000000001</v>
      </c>
      <c r="K353" s="1">
        <v>733.70799999999997</v>
      </c>
      <c r="L353" s="1">
        <v>749.90099999999995</v>
      </c>
      <c r="M353" s="1" t="s">
        <v>35</v>
      </c>
    </row>
    <row r="354" spans="1:13" ht="13" x14ac:dyDescent="0.15">
      <c r="A354" s="1">
        <v>3</v>
      </c>
      <c r="B354" s="1">
        <v>1</v>
      </c>
      <c r="C354" s="1">
        <v>19</v>
      </c>
      <c r="D354" s="1" t="s">
        <v>24</v>
      </c>
      <c r="E354" s="1">
        <v>282</v>
      </c>
      <c r="F354" s="1">
        <v>1.7999999999999999E-2</v>
      </c>
      <c r="G354" s="1">
        <v>26459771</v>
      </c>
      <c r="H354" s="1">
        <f t="shared" si="3"/>
        <v>93828.975177304965</v>
      </c>
      <c r="I354" s="1">
        <v>958.90599999999995</v>
      </c>
      <c r="J354" s="1">
        <v>15.382999999999999</v>
      </c>
      <c r="K354" s="1">
        <v>1094.578</v>
      </c>
      <c r="L354" s="1">
        <v>1109.962</v>
      </c>
      <c r="M354" s="1" t="s">
        <v>35</v>
      </c>
    </row>
    <row r="355" spans="1:13" ht="13" x14ac:dyDescent="0.15">
      <c r="A355" s="1">
        <v>3</v>
      </c>
      <c r="B355" s="1">
        <v>1</v>
      </c>
      <c r="C355" s="1">
        <v>20</v>
      </c>
      <c r="D355" s="1" t="s">
        <v>24</v>
      </c>
      <c r="E355" s="1">
        <v>296</v>
      </c>
      <c r="F355" s="1">
        <v>4.1000000000000002E-2</v>
      </c>
      <c r="G355" s="1">
        <v>25716007</v>
      </c>
      <c r="H355" s="1">
        <f t="shared" si="3"/>
        <v>86878.402027027027</v>
      </c>
      <c r="I355" s="1">
        <v>865.10400000000004</v>
      </c>
      <c r="J355" s="1">
        <v>15.189</v>
      </c>
      <c r="K355" s="1">
        <v>991.15</v>
      </c>
      <c r="L355" s="1">
        <v>1006.34</v>
      </c>
      <c r="M355" s="1" t="s">
        <v>35</v>
      </c>
    </row>
    <row r="356" spans="1:13" ht="13" x14ac:dyDescent="0.15">
      <c r="A356" s="1">
        <v>1</v>
      </c>
      <c r="B356" s="1">
        <v>4</v>
      </c>
      <c r="C356" s="1">
        <v>1</v>
      </c>
      <c r="D356" s="1" t="s">
        <v>24</v>
      </c>
      <c r="E356" s="1">
        <v>534</v>
      </c>
      <c r="F356" s="1">
        <v>5.5E-2</v>
      </c>
      <c r="G356" s="1">
        <v>158377142</v>
      </c>
      <c r="H356" s="1">
        <f t="shared" si="3"/>
        <v>296586.40823970037</v>
      </c>
      <c r="I356" s="1">
        <v>4379.1790000000001</v>
      </c>
      <c r="J356" s="1">
        <v>40.945</v>
      </c>
      <c r="K356" s="1">
        <v>5187.7219999999998</v>
      </c>
      <c r="L356" s="1">
        <v>5228.6670000000004</v>
      </c>
      <c r="M356" s="1" t="s">
        <v>35</v>
      </c>
    </row>
    <row r="357" spans="1:13" ht="13" x14ac:dyDescent="0.15">
      <c r="A357" s="1">
        <v>1</v>
      </c>
      <c r="B357" s="1">
        <v>4</v>
      </c>
      <c r="C357" s="1">
        <v>2</v>
      </c>
      <c r="D357" s="1" t="s">
        <v>24</v>
      </c>
      <c r="E357" s="1">
        <v>449</v>
      </c>
      <c r="F357" s="1">
        <v>4.5999999999999999E-2</v>
      </c>
      <c r="G357" s="1">
        <v>147076391</v>
      </c>
      <c r="H357" s="1">
        <f t="shared" si="3"/>
        <v>327564.34521158127</v>
      </c>
      <c r="I357" s="1">
        <v>4067.2460000000001</v>
      </c>
      <c r="J357" s="1">
        <v>39.633000000000003</v>
      </c>
      <c r="K357" s="1">
        <v>4764.7889999999998</v>
      </c>
      <c r="L357" s="1">
        <v>4804.4229999999998</v>
      </c>
      <c r="M357" s="1" t="s">
        <v>35</v>
      </c>
    </row>
    <row r="358" spans="1:13" ht="13" x14ac:dyDescent="0.15">
      <c r="A358" s="1">
        <v>1</v>
      </c>
      <c r="B358" s="1">
        <v>4</v>
      </c>
      <c r="C358" s="1">
        <v>3</v>
      </c>
      <c r="D358" s="1" t="s">
        <v>24</v>
      </c>
      <c r="E358" s="1">
        <v>878</v>
      </c>
      <c r="F358" s="1">
        <v>9.8000000000000004E-2</v>
      </c>
      <c r="G358" s="1">
        <v>189867713</v>
      </c>
      <c r="H358" s="1">
        <f t="shared" si="3"/>
        <v>216250.24259681095</v>
      </c>
      <c r="I358" s="1">
        <v>8960.8209999999999</v>
      </c>
      <c r="J358" s="1">
        <v>41.216000000000001</v>
      </c>
      <c r="K358" s="1">
        <v>9973.8029999999999</v>
      </c>
      <c r="L358" s="1">
        <v>10015.02</v>
      </c>
      <c r="M358" s="1" t="s">
        <v>35</v>
      </c>
    </row>
    <row r="359" spans="1:13" ht="13" x14ac:dyDescent="0.15">
      <c r="A359" s="1">
        <v>1</v>
      </c>
      <c r="B359" s="1">
        <v>4</v>
      </c>
      <c r="C359" s="1">
        <v>4</v>
      </c>
      <c r="D359" s="1" t="s">
        <v>19</v>
      </c>
      <c r="E359" s="1">
        <v>678</v>
      </c>
      <c r="F359" s="1">
        <v>0.09</v>
      </c>
      <c r="G359" s="1">
        <v>175357618</v>
      </c>
      <c r="H359" s="1">
        <f t="shared" si="3"/>
        <v>258639.55457227139</v>
      </c>
      <c r="I359" s="1">
        <v>12092.114</v>
      </c>
      <c r="J359" s="1">
        <v>40.85</v>
      </c>
      <c r="K359" s="1">
        <v>13041.063</v>
      </c>
      <c r="L359" s="1">
        <v>13081.912</v>
      </c>
      <c r="M359" s="1" t="s">
        <v>35</v>
      </c>
    </row>
    <row r="360" spans="1:13" ht="13" x14ac:dyDescent="0.15">
      <c r="A360" s="1">
        <v>1</v>
      </c>
      <c r="B360" s="1">
        <v>4</v>
      </c>
      <c r="C360" s="1">
        <v>5</v>
      </c>
      <c r="D360" s="1" t="s">
        <v>24</v>
      </c>
      <c r="E360" s="1">
        <v>524</v>
      </c>
      <c r="F360" s="1">
        <v>4.7E-2</v>
      </c>
      <c r="G360" s="1">
        <v>155724889</v>
      </c>
      <c r="H360" s="1">
        <f t="shared" si="3"/>
        <v>297184.9026717557</v>
      </c>
      <c r="I360" s="1">
        <v>3570.8220000000001</v>
      </c>
      <c r="J360" s="1">
        <v>41.747999999999998</v>
      </c>
      <c r="K360" s="1">
        <v>4513.3720000000003</v>
      </c>
      <c r="L360" s="1">
        <v>4555.12</v>
      </c>
      <c r="M360" s="1" t="s">
        <v>35</v>
      </c>
    </row>
    <row r="361" spans="1:13" ht="13" x14ac:dyDescent="0.15">
      <c r="A361" s="1">
        <v>1</v>
      </c>
      <c r="B361" s="1">
        <v>4</v>
      </c>
      <c r="C361" s="1">
        <v>6</v>
      </c>
      <c r="D361" s="1" t="s">
        <v>24</v>
      </c>
      <c r="E361" s="1">
        <v>555</v>
      </c>
      <c r="F361" s="1">
        <v>0.08</v>
      </c>
      <c r="G361" s="1">
        <v>174842899</v>
      </c>
      <c r="H361" s="1">
        <f t="shared" si="3"/>
        <v>315032.25045045046</v>
      </c>
      <c r="I361" s="1">
        <v>3478.5050000000001</v>
      </c>
      <c r="J361" s="1">
        <v>40.923999999999999</v>
      </c>
      <c r="K361" s="1">
        <v>4408.375</v>
      </c>
      <c r="L361" s="1">
        <v>4449.3</v>
      </c>
      <c r="M361" s="1" t="s">
        <v>35</v>
      </c>
    </row>
    <row r="362" spans="1:13" ht="13" x14ac:dyDescent="0.15">
      <c r="A362" s="1">
        <v>1</v>
      </c>
      <c r="B362" s="1">
        <v>4</v>
      </c>
      <c r="C362" s="1">
        <v>7</v>
      </c>
      <c r="D362" s="1" t="s">
        <v>24</v>
      </c>
      <c r="E362" s="1">
        <v>643</v>
      </c>
      <c r="F362" s="1">
        <v>9.8000000000000004E-2</v>
      </c>
      <c r="G362" s="1">
        <v>167773758</v>
      </c>
      <c r="H362" s="1">
        <f t="shared" si="3"/>
        <v>260923.41835147745</v>
      </c>
      <c r="I362" s="1">
        <v>7934.8270000000002</v>
      </c>
      <c r="J362" s="1">
        <v>41.094000000000001</v>
      </c>
      <c r="K362" s="1">
        <v>8805.8130000000001</v>
      </c>
      <c r="L362" s="1">
        <v>8846.9069999999992</v>
      </c>
      <c r="M362" s="1" t="s">
        <v>35</v>
      </c>
    </row>
    <row r="363" spans="1:13" ht="13" x14ac:dyDescent="0.15">
      <c r="A363" s="1">
        <v>1</v>
      </c>
      <c r="B363" s="1">
        <v>4</v>
      </c>
      <c r="C363" s="1">
        <v>8</v>
      </c>
      <c r="D363" s="1" t="s">
        <v>24</v>
      </c>
      <c r="E363" s="1">
        <v>771</v>
      </c>
      <c r="F363" s="1">
        <v>0.06</v>
      </c>
      <c r="G363" s="1">
        <v>188150678</v>
      </c>
      <c r="H363" s="1">
        <f t="shared" si="3"/>
        <v>244034.60181582361</v>
      </c>
      <c r="I363" s="1">
        <v>11450.511</v>
      </c>
      <c r="J363" s="1">
        <v>41.031999999999996</v>
      </c>
      <c r="K363" s="1">
        <v>12428.438</v>
      </c>
      <c r="L363" s="1">
        <v>12469.47</v>
      </c>
      <c r="M363" s="1" t="s">
        <v>35</v>
      </c>
    </row>
    <row r="364" spans="1:13" ht="13" x14ac:dyDescent="0.15">
      <c r="A364" s="1">
        <v>1</v>
      </c>
      <c r="B364" s="1">
        <v>4</v>
      </c>
      <c r="C364" s="1">
        <v>9</v>
      </c>
      <c r="D364" s="1" t="s">
        <v>16</v>
      </c>
      <c r="E364" s="1">
        <v>761</v>
      </c>
      <c r="F364" s="1">
        <v>5.8999999999999997E-2</v>
      </c>
      <c r="G364" s="1">
        <v>200045433</v>
      </c>
      <c r="H364" s="1">
        <f t="shared" si="3"/>
        <v>262871.79106438893</v>
      </c>
      <c r="I364" s="1">
        <v>11733.77</v>
      </c>
      <c r="J364" s="1">
        <v>40.85</v>
      </c>
      <c r="K364" s="1">
        <v>12793.195</v>
      </c>
      <c r="L364" s="1">
        <v>12834.044</v>
      </c>
      <c r="M364" s="1" t="s">
        <v>35</v>
      </c>
    </row>
    <row r="365" spans="1:13" ht="13" x14ac:dyDescent="0.15">
      <c r="A365" s="1">
        <v>1</v>
      </c>
      <c r="B365" s="1">
        <v>4</v>
      </c>
      <c r="C365" s="1">
        <v>10</v>
      </c>
      <c r="D365" s="1" t="s">
        <v>20</v>
      </c>
      <c r="E365" s="1">
        <v>814</v>
      </c>
      <c r="F365" s="1">
        <v>0.108</v>
      </c>
      <c r="G365" s="1">
        <v>172253997</v>
      </c>
      <c r="H365" s="1">
        <f t="shared" si="3"/>
        <v>211614.24692874693</v>
      </c>
      <c r="I365" s="1">
        <v>5651.6959999999999</v>
      </c>
      <c r="J365" s="1">
        <v>40.67</v>
      </c>
      <c r="K365" s="1">
        <v>6578.3019999999997</v>
      </c>
      <c r="L365" s="1">
        <v>6618.973</v>
      </c>
      <c r="M365" s="1" t="s">
        <v>35</v>
      </c>
    </row>
    <row r="366" spans="1:13" ht="13" x14ac:dyDescent="0.15">
      <c r="A366" s="1">
        <v>1</v>
      </c>
      <c r="B366" s="1">
        <v>4</v>
      </c>
      <c r="C366" s="1">
        <v>11</v>
      </c>
      <c r="D366" s="1" t="s">
        <v>18</v>
      </c>
      <c r="E366" s="1">
        <v>746</v>
      </c>
      <c r="F366" s="1">
        <v>8.1000000000000003E-2</v>
      </c>
      <c r="G366" s="1">
        <v>181878956</v>
      </c>
      <c r="H366" s="1">
        <f t="shared" si="3"/>
        <v>243805.57104557642</v>
      </c>
      <c r="I366" s="1">
        <v>11027.460999999999</v>
      </c>
      <c r="J366" s="1">
        <v>41.832999999999998</v>
      </c>
      <c r="K366" s="1">
        <v>11966.181</v>
      </c>
      <c r="L366" s="1">
        <v>12008.013999999999</v>
      </c>
      <c r="M366" s="1" t="s">
        <v>35</v>
      </c>
    </row>
    <row r="367" spans="1:13" ht="13" x14ac:dyDescent="0.15">
      <c r="A367" s="1">
        <v>1</v>
      </c>
      <c r="B367" s="1">
        <v>4</v>
      </c>
      <c r="C367" s="1">
        <v>12</v>
      </c>
      <c r="D367" s="1" t="s">
        <v>24</v>
      </c>
      <c r="E367" s="1">
        <v>729</v>
      </c>
      <c r="F367" s="1">
        <v>7.0999999999999994E-2</v>
      </c>
      <c r="G367" s="1">
        <v>184886883</v>
      </c>
      <c r="H367" s="1">
        <f t="shared" si="3"/>
        <v>253617.12345679011</v>
      </c>
      <c r="I367" s="1">
        <v>9041.4390000000003</v>
      </c>
      <c r="J367" s="1">
        <v>42.072000000000003</v>
      </c>
      <c r="K367" s="1">
        <v>10036.205</v>
      </c>
      <c r="L367" s="1">
        <v>10078.276</v>
      </c>
      <c r="M367" s="1" t="s">
        <v>35</v>
      </c>
    </row>
    <row r="368" spans="1:13" ht="13" x14ac:dyDescent="0.15">
      <c r="A368" s="1">
        <v>1</v>
      </c>
      <c r="B368" s="1">
        <v>4</v>
      </c>
      <c r="C368" s="1">
        <v>13</v>
      </c>
      <c r="D368" s="1" t="s">
        <v>24</v>
      </c>
      <c r="E368" s="1">
        <v>550</v>
      </c>
      <c r="F368" s="1">
        <v>0.03</v>
      </c>
      <c r="G368" s="1">
        <v>169200903</v>
      </c>
      <c r="H368" s="1">
        <f t="shared" si="3"/>
        <v>307638.00545454543</v>
      </c>
      <c r="I368" s="1">
        <v>5861.8940000000002</v>
      </c>
      <c r="J368" s="1">
        <v>41.134</v>
      </c>
      <c r="K368" s="1">
        <v>6765.4309999999996</v>
      </c>
      <c r="L368" s="1">
        <v>6806.567</v>
      </c>
      <c r="M368" s="1" t="s">
        <v>35</v>
      </c>
    </row>
    <row r="369" spans="1:13" ht="13" x14ac:dyDescent="0.15">
      <c r="A369" s="1">
        <v>1</v>
      </c>
      <c r="B369" s="1">
        <v>4</v>
      </c>
      <c r="C369" s="1">
        <v>14</v>
      </c>
      <c r="D369" s="1" t="s">
        <v>24</v>
      </c>
      <c r="E369" s="1">
        <v>599</v>
      </c>
      <c r="F369" s="1">
        <v>3.2000000000000001E-2</v>
      </c>
      <c r="G369" s="1">
        <v>173400973</v>
      </c>
      <c r="H369" s="1">
        <f t="shared" si="3"/>
        <v>289484.09515859769</v>
      </c>
      <c r="I369" s="1">
        <v>5450.8130000000001</v>
      </c>
      <c r="J369" s="1">
        <v>42.658999999999999</v>
      </c>
      <c r="K369" s="1">
        <v>6395.8829999999998</v>
      </c>
      <c r="L369" s="1">
        <v>6438.5420000000004</v>
      </c>
      <c r="M369" s="1" t="s">
        <v>35</v>
      </c>
    </row>
    <row r="370" spans="1:13" ht="13" x14ac:dyDescent="0.15">
      <c r="A370" s="1">
        <v>1</v>
      </c>
      <c r="B370" s="1">
        <v>4</v>
      </c>
      <c r="C370" s="1">
        <v>15</v>
      </c>
      <c r="D370" s="1" t="s">
        <v>24</v>
      </c>
      <c r="E370" s="1">
        <v>454</v>
      </c>
      <c r="F370" s="1">
        <v>2.1000000000000001E-2</v>
      </c>
      <c r="G370" s="1">
        <v>153330124</v>
      </c>
      <c r="H370" s="1">
        <f t="shared" si="3"/>
        <v>337731.55066079297</v>
      </c>
      <c r="I370" s="1">
        <v>3430.5140000000001</v>
      </c>
      <c r="J370" s="1">
        <v>40.409999999999997</v>
      </c>
      <c r="K370" s="1">
        <v>4199.87</v>
      </c>
      <c r="L370" s="1">
        <v>4240.28</v>
      </c>
      <c r="M370" s="1" t="s">
        <v>35</v>
      </c>
    </row>
    <row r="371" spans="1:13" ht="13" x14ac:dyDescent="0.15">
      <c r="A371" s="1">
        <v>1</v>
      </c>
      <c r="B371" s="1">
        <v>4</v>
      </c>
      <c r="C371" s="1">
        <v>16</v>
      </c>
      <c r="D371" s="1" t="s">
        <v>24</v>
      </c>
      <c r="E371" s="1">
        <v>761</v>
      </c>
      <c r="F371" s="1">
        <v>7.2999999999999995E-2</v>
      </c>
      <c r="G371" s="1">
        <v>180520187</v>
      </c>
      <c r="H371" s="1">
        <f t="shared" si="3"/>
        <v>237214.43758212877</v>
      </c>
      <c r="I371" s="1">
        <v>9450.8960000000006</v>
      </c>
      <c r="J371" s="1">
        <v>41.566000000000003</v>
      </c>
      <c r="K371" s="1">
        <v>10435.93</v>
      </c>
      <c r="L371" s="1">
        <v>10477.495999999999</v>
      </c>
      <c r="M371" s="1" t="s">
        <v>35</v>
      </c>
    </row>
    <row r="372" spans="1:13" ht="13" x14ac:dyDescent="0.15">
      <c r="A372" s="1">
        <v>1</v>
      </c>
      <c r="B372" s="1">
        <v>4</v>
      </c>
      <c r="C372" s="1">
        <v>17</v>
      </c>
      <c r="D372" s="1" t="s">
        <v>21</v>
      </c>
      <c r="E372" s="1">
        <v>661</v>
      </c>
      <c r="F372" s="1">
        <v>0.112</v>
      </c>
      <c r="G372" s="1">
        <v>191139358</v>
      </c>
      <c r="H372" s="1">
        <f t="shared" si="3"/>
        <v>289166.95612708019</v>
      </c>
      <c r="I372" s="1">
        <v>8703.3950000000004</v>
      </c>
      <c r="J372" s="1">
        <v>41.381999999999998</v>
      </c>
      <c r="K372" s="1">
        <v>9723.6620000000003</v>
      </c>
      <c r="L372" s="1">
        <v>9765.0439999999999</v>
      </c>
      <c r="M372" s="1" t="s">
        <v>35</v>
      </c>
    </row>
    <row r="373" spans="1:13" ht="13" x14ac:dyDescent="0.15">
      <c r="A373" s="1">
        <v>1</v>
      </c>
      <c r="B373" s="1">
        <v>4</v>
      </c>
      <c r="C373" s="1">
        <v>18</v>
      </c>
      <c r="D373" s="1" t="s">
        <v>24</v>
      </c>
      <c r="E373" s="1">
        <v>737</v>
      </c>
      <c r="F373" s="1">
        <v>3.1E-2</v>
      </c>
      <c r="G373" s="1">
        <v>178240940</v>
      </c>
      <c r="H373" s="1">
        <f t="shared" si="3"/>
        <v>241846.59430122116</v>
      </c>
      <c r="I373" s="1">
        <v>5035.4870000000001</v>
      </c>
      <c r="J373" s="1">
        <v>43.417000000000002</v>
      </c>
      <c r="K373" s="1">
        <v>5969.5519999999997</v>
      </c>
      <c r="L373" s="1">
        <v>6012.9679999999998</v>
      </c>
      <c r="M373" s="1" t="s">
        <v>35</v>
      </c>
    </row>
    <row r="374" spans="1:13" ht="13" x14ac:dyDescent="0.15">
      <c r="A374" s="1">
        <v>1</v>
      </c>
      <c r="B374" s="1">
        <v>4</v>
      </c>
      <c r="C374" s="1">
        <v>19</v>
      </c>
      <c r="D374" s="1" t="s">
        <v>22</v>
      </c>
      <c r="E374" s="1">
        <v>702</v>
      </c>
      <c r="F374" s="1">
        <v>2.9000000000000001E-2</v>
      </c>
      <c r="G374" s="1">
        <v>175603694</v>
      </c>
      <c r="H374" s="1">
        <f t="shared" si="3"/>
        <v>250147.71225071224</v>
      </c>
      <c r="I374" s="1">
        <v>4293.1229999999996</v>
      </c>
      <c r="J374" s="1">
        <v>42.787999999999997</v>
      </c>
      <c r="K374" s="1">
        <v>5255.7420000000002</v>
      </c>
      <c r="L374" s="1">
        <v>5298.5290000000005</v>
      </c>
      <c r="M374" s="1" t="s">
        <v>35</v>
      </c>
    </row>
    <row r="375" spans="1:13" ht="13" x14ac:dyDescent="0.15">
      <c r="A375" s="1">
        <v>1</v>
      </c>
      <c r="B375" s="1">
        <v>4</v>
      </c>
      <c r="C375" s="1">
        <v>20</v>
      </c>
      <c r="D375" s="1" t="s">
        <v>24</v>
      </c>
      <c r="E375" s="1">
        <v>571</v>
      </c>
      <c r="F375" s="1">
        <v>2.9000000000000001E-2</v>
      </c>
      <c r="G375" s="1">
        <v>155516603</v>
      </c>
      <c r="H375" s="1">
        <f t="shared" si="3"/>
        <v>272358.32399299473</v>
      </c>
      <c r="I375" s="1">
        <v>4392.8959999999997</v>
      </c>
      <c r="J375" s="1">
        <v>40.271000000000001</v>
      </c>
      <c r="K375" s="1">
        <v>5222.1890000000003</v>
      </c>
      <c r="L375" s="1">
        <v>5262.46</v>
      </c>
      <c r="M375" s="1" t="s">
        <v>35</v>
      </c>
    </row>
    <row r="376" spans="1:13" ht="13" x14ac:dyDescent="0.15">
      <c r="A376" s="1">
        <v>4</v>
      </c>
      <c r="B376" s="1">
        <v>1</v>
      </c>
      <c r="C376" s="1">
        <v>1</v>
      </c>
      <c r="D376" s="1" t="s">
        <v>24</v>
      </c>
      <c r="E376" s="1">
        <v>534</v>
      </c>
      <c r="F376" s="1">
        <v>0.04</v>
      </c>
      <c r="G376" s="1">
        <v>155613969</v>
      </c>
      <c r="H376" s="1">
        <f t="shared" si="3"/>
        <v>291411.92696629214</v>
      </c>
      <c r="I376" s="1">
        <v>4728.4790000000003</v>
      </c>
      <c r="J376" s="1">
        <v>40.271999999999998</v>
      </c>
      <c r="K376" s="1">
        <v>5491.4709999999995</v>
      </c>
      <c r="L376" s="1">
        <v>5531.7430000000004</v>
      </c>
      <c r="M376" s="1" t="s">
        <v>35</v>
      </c>
    </row>
    <row r="377" spans="1:13" ht="13" x14ac:dyDescent="0.15">
      <c r="A377" s="1">
        <v>4</v>
      </c>
      <c r="B377" s="1">
        <v>1</v>
      </c>
      <c r="C377" s="1">
        <v>2</v>
      </c>
      <c r="D377" s="1" t="s">
        <v>24</v>
      </c>
      <c r="E377" s="1">
        <v>449</v>
      </c>
      <c r="F377" s="1">
        <v>5.2999999999999999E-2</v>
      </c>
      <c r="G377" s="1">
        <v>140593873</v>
      </c>
      <c r="H377" s="1">
        <f t="shared" si="3"/>
        <v>313126.66592427617</v>
      </c>
      <c r="I377" s="1">
        <v>3297.748</v>
      </c>
      <c r="J377" s="1">
        <v>39.93</v>
      </c>
      <c r="K377" s="1">
        <v>3998.4850000000001</v>
      </c>
      <c r="L377" s="1">
        <v>4038.4169999999999</v>
      </c>
      <c r="M377" s="1" t="s">
        <v>35</v>
      </c>
    </row>
    <row r="378" spans="1:13" ht="13" x14ac:dyDescent="0.15">
      <c r="A378" s="1">
        <v>4</v>
      </c>
      <c r="B378" s="1">
        <v>1</v>
      </c>
      <c r="C378" s="1">
        <v>3</v>
      </c>
      <c r="D378" s="1" t="s">
        <v>24</v>
      </c>
      <c r="E378" s="1">
        <v>878</v>
      </c>
      <c r="F378" s="1">
        <v>9.6000000000000002E-2</v>
      </c>
      <c r="G378" s="1">
        <v>188599918</v>
      </c>
      <c r="H378" s="1">
        <f t="shared" si="3"/>
        <v>214806.28473804099</v>
      </c>
      <c r="I378" s="1">
        <v>12073.412</v>
      </c>
      <c r="J378" s="1">
        <v>40.616</v>
      </c>
      <c r="K378" s="1">
        <v>13082.821</v>
      </c>
      <c r="L378" s="1">
        <v>13123.438</v>
      </c>
      <c r="M378" s="1" t="s">
        <v>35</v>
      </c>
    </row>
    <row r="379" spans="1:13" ht="13" x14ac:dyDescent="0.15">
      <c r="A379" s="1">
        <v>4</v>
      </c>
      <c r="B379" s="1">
        <v>1</v>
      </c>
      <c r="C379" s="1">
        <v>4</v>
      </c>
      <c r="D379" s="1" t="s">
        <v>24</v>
      </c>
      <c r="E379" s="1">
        <v>678</v>
      </c>
      <c r="F379" s="1">
        <v>5.3999999999999999E-2</v>
      </c>
      <c r="G379" s="1">
        <v>170434115</v>
      </c>
      <c r="H379" s="1">
        <f t="shared" si="3"/>
        <v>251377.75073746312</v>
      </c>
      <c r="I379" s="1">
        <v>5648.7340000000004</v>
      </c>
      <c r="J379" s="1">
        <v>40.287999999999997</v>
      </c>
      <c r="K379" s="1">
        <v>6517.98</v>
      </c>
      <c r="L379" s="1">
        <v>6558.27</v>
      </c>
      <c r="M379" s="1" t="s">
        <v>35</v>
      </c>
    </row>
    <row r="380" spans="1:13" ht="13" x14ac:dyDescent="0.15">
      <c r="A380" s="1">
        <v>4</v>
      </c>
      <c r="B380" s="1">
        <v>1</v>
      </c>
      <c r="C380" s="1">
        <v>5</v>
      </c>
      <c r="D380" s="1" t="s">
        <v>24</v>
      </c>
      <c r="E380" s="1">
        <v>524</v>
      </c>
      <c r="F380" s="1">
        <v>0.113</v>
      </c>
      <c r="G380" s="1">
        <v>158752703</v>
      </c>
      <c r="H380" s="1">
        <f t="shared" si="3"/>
        <v>302963.17366412212</v>
      </c>
      <c r="I380" s="1">
        <v>4652.8360000000002</v>
      </c>
      <c r="J380" s="1">
        <v>40.744</v>
      </c>
      <c r="K380" s="1">
        <v>5479.0680000000002</v>
      </c>
      <c r="L380" s="1">
        <v>5519.8119999999999</v>
      </c>
      <c r="M380" s="1" t="s">
        <v>35</v>
      </c>
    </row>
    <row r="381" spans="1:13" ht="13" x14ac:dyDescent="0.15">
      <c r="A381" s="1">
        <v>4</v>
      </c>
      <c r="B381" s="1">
        <v>1</v>
      </c>
      <c r="C381" s="1">
        <v>6</v>
      </c>
      <c r="D381" s="1" t="s">
        <v>24</v>
      </c>
      <c r="E381" s="1">
        <v>555</v>
      </c>
      <c r="F381" s="1">
        <v>3.9E-2</v>
      </c>
      <c r="G381" s="1">
        <v>170488560</v>
      </c>
      <c r="H381" s="1">
        <f t="shared" si="3"/>
        <v>307186.59459459462</v>
      </c>
      <c r="I381" s="1">
        <v>4305.4139999999998</v>
      </c>
      <c r="J381" s="1">
        <v>41.22</v>
      </c>
      <c r="K381" s="1">
        <v>5182.915</v>
      </c>
      <c r="L381" s="1">
        <v>5224.1350000000002</v>
      </c>
      <c r="M381" s="1" t="s">
        <v>35</v>
      </c>
    </row>
    <row r="382" spans="1:13" ht="13" x14ac:dyDescent="0.15">
      <c r="A382" s="1">
        <v>4</v>
      </c>
      <c r="B382" s="1">
        <v>1</v>
      </c>
      <c r="C382" s="1">
        <v>7</v>
      </c>
      <c r="D382" s="1" t="s">
        <v>24</v>
      </c>
      <c r="E382" s="1">
        <v>643</v>
      </c>
      <c r="F382" s="1">
        <v>4.3999999999999997E-2</v>
      </c>
      <c r="G382" s="1">
        <v>166164836</v>
      </c>
      <c r="H382" s="1">
        <f t="shared" si="3"/>
        <v>258421.2068429238</v>
      </c>
      <c r="I382" s="1">
        <v>7765.8869999999997</v>
      </c>
      <c r="J382" s="1">
        <v>40.600999999999999</v>
      </c>
      <c r="K382" s="1">
        <v>8649.0830000000005</v>
      </c>
      <c r="L382" s="1">
        <v>8689.6849999999995</v>
      </c>
      <c r="M382" s="1" t="s">
        <v>35</v>
      </c>
    </row>
    <row r="383" spans="1:13" ht="13" x14ac:dyDescent="0.15">
      <c r="A383" s="1">
        <v>4</v>
      </c>
      <c r="B383" s="1">
        <v>1</v>
      </c>
      <c r="C383" s="1">
        <v>8</v>
      </c>
      <c r="D383" s="1" t="s">
        <v>24</v>
      </c>
      <c r="E383" s="1">
        <v>771</v>
      </c>
      <c r="F383" s="1">
        <v>5.1999999999999998E-2</v>
      </c>
      <c r="G383" s="1">
        <v>183328639</v>
      </c>
      <c r="H383" s="1">
        <f t="shared" si="3"/>
        <v>237780.33592736706</v>
      </c>
      <c r="I383" s="1">
        <v>7095.7929999999997</v>
      </c>
      <c r="J383" s="1">
        <v>41.298000000000002</v>
      </c>
      <c r="K383" s="1">
        <v>8064.1959999999999</v>
      </c>
      <c r="L383" s="1">
        <v>8105.4939999999997</v>
      </c>
      <c r="M383" s="1" t="s">
        <v>35</v>
      </c>
    </row>
    <row r="384" spans="1:13" ht="13" x14ac:dyDescent="0.15">
      <c r="A384" s="1">
        <v>4</v>
      </c>
      <c r="B384" s="1">
        <v>1</v>
      </c>
      <c r="C384" s="1">
        <v>9</v>
      </c>
      <c r="D384" s="1" t="s">
        <v>24</v>
      </c>
      <c r="E384" s="1">
        <v>761</v>
      </c>
      <c r="F384" s="1">
        <v>4.7E-2</v>
      </c>
      <c r="G384" s="1">
        <v>197260176</v>
      </c>
      <c r="H384" s="1">
        <f t="shared" si="3"/>
        <v>259211.79500657029</v>
      </c>
      <c r="I384" s="1">
        <v>4697.6970000000001</v>
      </c>
      <c r="J384" s="1">
        <v>40.304000000000002</v>
      </c>
      <c r="K384" s="1">
        <v>5778.4189999999999</v>
      </c>
      <c r="L384" s="1">
        <v>5818.7250000000004</v>
      </c>
      <c r="M384" s="1" t="s">
        <v>35</v>
      </c>
    </row>
    <row r="385" spans="1:13" ht="13" x14ac:dyDescent="0.15">
      <c r="A385" s="1">
        <v>4</v>
      </c>
      <c r="B385" s="1">
        <v>1</v>
      </c>
      <c r="C385" s="1">
        <v>10</v>
      </c>
      <c r="D385" s="1" t="s">
        <v>20</v>
      </c>
      <c r="E385" s="1">
        <v>814</v>
      </c>
      <c r="F385" s="1">
        <v>3.5999999999999997E-2</v>
      </c>
      <c r="G385" s="1">
        <v>169120938</v>
      </c>
      <c r="H385" s="1">
        <f t="shared" si="3"/>
        <v>207765.28009828011</v>
      </c>
      <c r="I385" s="1">
        <v>4837.4859999999999</v>
      </c>
      <c r="J385" s="1">
        <v>40.524000000000001</v>
      </c>
      <c r="K385" s="1">
        <v>5703.402</v>
      </c>
      <c r="L385" s="1">
        <v>5743.9269999999997</v>
      </c>
      <c r="M385" s="1" t="s">
        <v>35</v>
      </c>
    </row>
    <row r="386" spans="1:13" ht="13" x14ac:dyDescent="0.15">
      <c r="A386" s="1">
        <v>4</v>
      </c>
      <c r="B386" s="1">
        <v>1</v>
      </c>
      <c r="C386" s="1">
        <v>11</v>
      </c>
      <c r="D386" s="1" t="s">
        <v>24</v>
      </c>
      <c r="E386" s="1">
        <v>746</v>
      </c>
      <c r="F386" s="1">
        <v>0.05</v>
      </c>
      <c r="G386" s="1">
        <v>181537423</v>
      </c>
      <c r="H386" s="1">
        <f t="shared" si="3"/>
        <v>243347.75201072387</v>
      </c>
      <c r="I386" s="1">
        <v>9112.7950000000001</v>
      </c>
      <c r="J386" s="1">
        <v>41.539000000000001</v>
      </c>
      <c r="K386" s="1">
        <v>10094.916999999999</v>
      </c>
      <c r="L386" s="1">
        <v>10136.456</v>
      </c>
      <c r="M386" s="1" t="s">
        <v>35</v>
      </c>
    </row>
    <row r="387" spans="1:13" ht="13" x14ac:dyDescent="0.15">
      <c r="A387" s="1">
        <v>4</v>
      </c>
      <c r="B387" s="1">
        <v>1</v>
      </c>
      <c r="C387" s="1">
        <v>12</v>
      </c>
      <c r="D387" s="1" t="s">
        <v>24</v>
      </c>
      <c r="E387" s="1">
        <v>729</v>
      </c>
      <c r="F387" s="1">
        <v>7.0999999999999994E-2</v>
      </c>
      <c r="G387" s="1">
        <v>183197471</v>
      </c>
      <c r="H387" s="1">
        <f t="shared" si="3"/>
        <v>251299.68587105625</v>
      </c>
      <c r="I387" s="1">
        <v>7532.6480000000001</v>
      </c>
      <c r="J387" s="1">
        <v>41.465000000000003</v>
      </c>
      <c r="K387" s="1">
        <v>8475.9689999999991</v>
      </c>
      <c r="L387" s="1">
        <v>8517.4339999999993</v>
      </c>
      <c r="M387" s="1" t="s">
        <v>35</v>
      </c>
    </row>
    <row r="388" spans="1:13" ht="13" x14ac:dyDescent="0.15">
      <c r="A388" s="1">
        <v>4</v>
      </c>
      <c r="B388" s="1">
        <v>1</v>
      </c>
      <c r="C388" s="1">
        <v>13</v>
      </c>
      <c r="D388" s="1" t="s">
        <v>24</v>
      </c>
      <c r="E388" s="1">
        <v>550</v>
      </c>
      <c r="F388" s="1">
        <v>3.2000000000000001E-2</v>
      </c>
      <c r="G388" s="1">
        <v>168757825</v>
      </c>
      <c r="H388" s="1">
        <f t="shared" si="3"/>
        <v>306832.40909090912</v>
      </c>
      <c r="I388" s="1">
        <v>5678.9809999999998</v>
      </c>
      <c r="J388" s="1">
        <v>40.759</v>
      </c>
      <c r="K388" s="1">
        <v>6532.1620000000003</v>
      </c>
      <c r="L388" s="1">
        <v>6572.9229999999998</v>
      </c>
      <c r="M388" s="1" t="s">
        <v>35</v>
      </c>
    </row>
    <row r="389" spans="1:13" ht="13" x14ac:dyDescent="0.15">
      <c r="A389" s="1">
        <v>4</v>
      </c>
      <c r="B389" s="1">
        <v>1</v>
      </c>
      <c r="C389" s="1">
        <v>14</v>
      </c>
      <c r="D389" s="1" t="s">
        <v>30</v>
      </c>
      <c r="E389" s="1">
        <v>599</v>
      </c>
      <c r="F389" s="1">
        <v>6.5000000000000002E-2</v>
      </c>
      <c r="G389" s="1">
        <v>168403272</v>
      </c>
      <c r="H389" s="1">
        <f t="shared" si="3"/>
        <v>281140.68781302171</v>
      </c>
      <c r="I389" s="1">
        <v>8959.2360000000008</v>
      </c>
      <c r="J389" s="1">
        <v>43.091999999999999</v>
      </c>
      <c r="K389" s="1">
        <v>9828.8269999999993</v>
      </c>
      <c r="L389" s="1">
        <v>9871.9210000000003</v>
      </c>
      <c r="M389" s="1" t="s">
        <v>35</v>
      </c>
    </row>
    <row r="390" spans="1:13" ht="13" x14ac:dyDescent="0.15">
      <c r="A390" s="1">
        <v>4</v>
      </c>
      <c r="B390" s="1">
        <v>1</v>
      </c>
      <c r="C390" s="1">
        <v>15</v>
      </c>
      <c r="D390" s="1" t="s">
        <v>24</v>
      </c>
      <c r="E390" s="1">
        <v>454</v>
      </c>
      <c r="F390" s="1">
        <v>3.4000000000000002E-2</v>
      </c>
      <c r="G390" s="1">
        <v>149371382</v>
      </c>
      <c r="H390" s="1">
        <f t="shared" si="3"/>
        <v>329011.85462555068</v>
      </c>
      <c r="I390" s="1">
        <v>5232.7380000000003</v>
      </c>
      <c r="J390" s="1">
        <v>41.345999999999997</v>
      </c>
      <c r="K390" s="1">
        <v>6019.4340000000002</v>
      </c>
      <c r="L390" s="1">
        <v>6060.78</v>
      </c>
      <c r="M390" s="1" t="s">
        <v>35</v>
      </c>
    </row>
    <row r="391" spans="1:13" ht="13" x14ac:dyDescent="0.15">
      <c r="A391" s="1">
        <v>4</v>
      </c>
      <c r="B391" s="1">
        <v>1</v>
      </c>
      <c r="C391" s="1">
        <v>16</v>
      </c>
      <c r="D391" s="1" t="s">
        <v>24</v>
      </c>
      <c r="E391" s="1">
        <v>761</v>
      </c>
      <c r="F391" s="1">
        <v>3.5000000000000003E-2</v>
      </c>
      <c r="G391" s="1">
        <v>178405239</v>
      </c>
      <c r="H391" s="1">
        <f t="shared" si="3"/>
        <v>234435.26806833115</v>
      </c>
      <c r="I391" s="1">
        <v>5625.2110000000002</v>
      </c>
      <c r="J391" s="1">
        <v>41.667999999999999</v>
      </c>
      <c r="K391" s="1">
        <v>6566.3180000000002</v>
      </c>
      <c r="L391" s="1">
        <v>6607.9859999999999</v>
      </c>
      <c r="M391" s="1" t="s">
        <v>35</v>
      </c>
    </row>
    <row r="392" spans="1:13" ht="13" x14ac:dyDescent="0.15">
      <c r="A392" s="1">
        <v>4</v>
      </c>
      <c r="B392" s="1">
        <v>1</v>
      </c>
      <c r="C392" s="1">
        <v>17</v>
      </c>
      <c r="D392" s="1" t="s">
        <v>21</v>
      </c>
      <c r="E392" s="1">
        <v>661</v>
      </c>
      <c r="F392" s="1">
        <v>4.9000000000000002E-2</v>
      </c>
      <c r="G392" s="1">
        <v>188929022</v>
      </c>
      <c r="H392" s="1">
        <f t="shared" si="3"/>
        <v>285823.02874432679</v>
      </c>
      <c r="I392" s="1">
        <v>6823.87</v>
      </c>
      <c r="J392" s="1">
        <v>41.005000000000003</v>
      </c>
      <c r="K392" s="1">
        <v>7822.8950000000004</v>
      </c>
      <c r="L392" s="1">
        <v>7863.9030000000002</v>
      </c>
      <c r="M392" s="1" t="s">
        <v>35</v>
      </c>
    </row>
    <row r="393" spans="1:13" ht="13" x14ac:dyDescent="0.15">
      <c r="A393" s="1">
        <v>4</v>
      </c>
      <c r="B393" s="1">
        <v>1</v>
      </c>
      <c r="C393" s="1">
        <v>18</v>
      </c>
      <c r="D393" s="1" t="s">
        <v>24</v>
      </c>
      <c r="E393" s="1">
        <v>737</v>
      </c>
      <c r="F393" s="1">
        <v>6.4000000000000001E-2</v>
      </c>
      <c r="G393" s="1">
        <v>174689913</v>
      </c>
      <c r="H393" s="1">
        <f t="shared" si="3"/>
        <v>237028.37584803256</v>
      </c>
      <c r="I393" s="1">
        <v>11043.950999999999</v>
      </c>
      <c r="J393" s="1">
        <v>42.335999999999999</v>
      </c>
      <c r="K393" s="1">
        <v>11940.484</v>
      </c>
      <c r="L393" s="1">
        <v>11982.82</v>
      </c>
      <c r="M393" s="1" t="s">
        <v>35</v>
      </c>
    </row>
    <row r="394" spans="1:13" ht="13" x14ac:dyDescent="0.15">
      <c r="A394" s="1">
        <v>4</v>
      </c>
      <c r="B394" s="1">
        <v>1</v>
      </c>
      <c r="C394" s="1">
        <v>19</v>
      </c>
      <c r="D394" s="1" t="s">
        <v>22</v>
      </c>
      <c r="E394" s="1">
        <v>702</v>
      </c>
      <c r="F394" s="1">
        <v>6.0999999999999999E-2</v>
      </c>
      <c r="G394" s="1">
        <v>178646037</v>
      </c>
      <c r="H394" s="1">
        <f t="shared" si="3"/>
        <v>254481.53418803419</v>
      </c>
      <c r="I394" s="1">
        <v>7065.1769999999997</v>
      </c>
      <c r="J394" s="1">
        <v>41.164000000000001</v>
      </c>
      <c r="K394" s="1">
        <v>8040.8789999999999</v>
      </c>
      <c r="L394" s="1">
        <v>8082.0439999999999</v>
      </c>
      <c r="M394" s="1" t="s">
        <v>35</v>
      </c>
    </row>
    <row r="395" spans="1:13" ht="13" x14ac:dyDescent="0.15">
      <c r="A395" s="1">
        <v>4</v>
      </c>
      <c r="B395" s="1">
        <v>1</v>
      </c>
      <c r="C395" s="1">
        <v>20</v>
      </c>
      <c r="D395" s="1" t="s">
        <v>24</v>
      </c>
      <c r="E395" s="1">
        <v>571</v>
      </c>
      <c r="F395" s="1">
        <v>2.5999999999999999E-2</v>
      </c>
      <c r="G395" s="1">
        <v>151158846</v>
      </c>
      <c r="H395" s="1">
        <f t="shared" si="3"/>
        <v>264726.52539404551</v>
      </c>
      <c r="I395" s="1">
        <v>4106.393</v>
      </c>
      <c r="J395" s="1">
        <v>39.720999999999997</v>
      </c>
      <c r="K395" s="1">
        <v>4894.7629999999999</v>
      </c>
      <c r="L395" s="1">
        <v>4934.4840000000004</v>
      </c>
      <c r="M395" s="1" t="s">
        <v>35</v>
      </c>
    </row>
    <row r="396" spans="1:13" ht="13" x14ac:dyDescent="0.15">
      <c r="A396" s="1">
        <v>2</v>
      </c>
      <c r="B396" s="1">
        <v>3</v>
      </c>
      <c r="C396" s="1">
        <v>1</v>
      </c>
      <c r="D396" s="1" t="s">
        <v>24</v>
      </c>
      <c r="E396" s="1">
        <v>534</v>
      </c>
      <c r="F396" s="1">
        <v>6.0999999999999999E-2</v>
      </c>
      <c r="G396" s="1">
        <v>163349043</v>
      </c>
      <c r="H396" s="1">
        <f t="shared" si="3"/>
        <v>305897.08426966291</v>
      </c>
      <c r="I396" s="1">
        <v>8409.7340000000004</v>
      </c>
      <c r="J396" s="1">
        <v>41.11</v>
      </c>
      <c r="K396" s="1">
        <v>9230.91</v>
      </c>
      <c r="L396" s="1">
        <v>9272.02</v>
      </c>
      <c r="M396" s="1" t="s">
        <v>35</v>
      </c>
    </row>
    <row r="397" spans="1:13" ht="13" x14ac:dyDescent="0.15">
      <c r="A397" s="1">
        <v>2</v>
      </c>
      <c r="B397" s="1">
        <v>3</v>
      </c>
      <c r="C397" s="1">
        <v>2</v>
      </c>
      <c r="D397" s="1" t="s">
        <v>24</v>
      </c>
      <c r="E397" s="1">
        <v>449</v>
      </c>
      <c r="F397" s="1">
        <v>5.5E-2</v>
      </c>
      <c r="G397" s="1">
        <v>149448614</v>
      </c>
      <c r="H397" s="1">
        <f t="shared" si="3"/>
        <v>332847.69265033409</v>
      </c>
      <c r="I397" s="1">
        <v>4473.3670000000002</v>
      </c>
      <c r="J397" s="1">
        <v>40.290999999999997</v>
      </c>
      <c r="K397" s="1">
        <v>5169.6319999999996</v>
      </c>
      <c r="L397" s="1">
        <v>5209.9229999999998</v>
      </c>
      <c r="M397" s="1" t="s">
        <v>35</v>
      </c>
    </row>
    <row r="398" spans="1:13" ht="13" x14ac:dyDescent="0.15">
      <c r="A398" s="1">
        <v>2</v>
      </c>
      <c r="B398" s="1">
        <v>3</v>
      </c>
      <c r="C398" s="1">
        <v>3</v>
      </c>
      <c r="D398" s="1" t="s">
        <v>24</v>
      </c>
      <c r="E398" s="1">
        <v>878</v>
      </c>
      <c r="F398" s="1">
        <v>7.2999999999999995E-2</v>
      </c>
      <c r="G398" s="1">
        <v>196655908</v>
      </c>
      <c r="H398" s="1">
        <f t="shared" si="3"/>
        <v>223981.67198177677</v>
      </c>
      <c r="I398" s="1">
        <v>10323.462</v>
      </c>
      <c r="J398" s="1">
        <v>41.59</v>
      </c>
      <c r="K398" s="1">
        <v>11391.300999999999</v>
      </c>
      <c r="L398" s="1">
        <v>11432.892</v>
      </c>
      <c r="M398" s="1" t="s">
        <v>35</v>
      </c>
    </row>
    <row r="399" spans="1:13" ht="13" x14ac:dyDescent="0.15">
      <c r="A399" s="1">
        <v>2</v>
      </c>
      <c r="B399" s="1">
        <v>3</v>
      </c>
      <c r="C399" s="1">
        <v>4</v>
      </c>
      <c r="D399" s="1" t="s">
        <v>19</v>
      </c>
      <c r="E399" s="1">
        <v>678</v>
      </c>
      <c r="F399" s="1">
        <v>8.2000000000000003E-2</v>
      </c>
      <c r="G399" s="1">
        <v>180788693</v>
      </c>
      <c r="H399" s="1">
        <f t="shared" si="3"/>
        <v>266649.9896755162</v>
      </c>
      <c r="I399" s="1">
        <v>12286.71</v>
      </c>
      <c r="J399" s="1">
        <v>40.280999999999999</v>
      </c>
      <c r="K399" s="1">
        <v>13244.635</v>
      </c>
      <c r="L399" s="1">
        <v>13284.916999999999</v>
      </c>
      <c r="M399" s="1" t="s">
        <v>35</v>
      </c>
    </row>
    <row r="400" spans="1:13" ht="13" x14ac:dyDescent="0.15">
      <c r="A400" s="1">
        <v>2</v>
      </c>
      <c r="B400" s="1">
        <v>3</v>
      </c>
      <c r="C400" s="1">
        <v>5</v>
      </c>
      <c r="D400" s="1" t="s">
        <v>24</v>
      </c>
      <c r="E400" s="1">
        <v>524</v>
      </c>
      <c r="F400" s="1">
        <v>4.5999999999999999E-2</v>
      </c>
      <c r="G400" s="1">
        <v>165769683</v>
      </c>
      <c r="H400" s="1">
        <f t="shared" si="3"/>
        <v>316354.35687022901</v>
      </c>
      <c r="I400" s="1">
        <v>4439.45</v>
      </c>
      <c r="J400" s="1">
        <v>40.917999999999999</v>
      </c>
      <c r="K400" s="1">
        <v>5307.4160000000002</v>
      </c>
      <c r="L400" s="1">
        <v>5348.3339999999998</v>
      </c>
      <c r="M400" s="1" t="s">
        <v>35</v>
      </c>
    </row>
    <row r="401" spans="1:13" ht="13" x14ac:dyDescent="0.15">
      <c r="A401" s="1">
        <v>2</v>
      </c>
      <c r="B401" s="1">
        <v>3</v>
      </c>
      <c r="C401" s="1">
        <v>6</v>
      </c>
      <c r="D401" s="1" t="s">
        <v>24</v>
      </c>
      <c r="E401" s="1">
        <v>555</v>
      </c>
      <c r="F401" s="1">
        <v>0.03</v>
      </c>
      <c r="G401" s="1">
        <v>178516465</v>
      </c>
      <c r="H401" s="1">
        <f t="shared" si="3"/>
        <v>321651.28828828828</v>
      </c>
      <c r="I401" s="1">
        <v>4278.3140000000003</v>
      </c>
      <c r="J401" s="1">
        <v>42.076000000000001</v>
      </c>
      <c r="K401" s="1">
        <v>5228.6170000000002</v>
      </c>
      <c r="L401" s="1">
        <v>5270.692</v>
      </c>
      <c r="M401" s="1" t="s">
        <v>35</v>
      </c>
    </row>
    <row r="402" spans="1:13" ht="13" x14ac:dyDescent="0.15">
      <c r="A402" s="1">
        <v>2</v>
      </c>
      <c r="B402" s="1">
        <v>3</v>
      </c>
      <c r="C402" s="1">
        <v>7</v>
      </c>
      <c r="D402" s="1" t="s">
        <v>27</v>
      </c>
      <c r="E402" s="1">
        <v>643</v>
      </c>
      <c r="F402" s="1">
        <v>4.8000000000000001E-2</v>
      </c>
      <c r="G402" s="1">
        <v>174337807</v>
      </c>
      <c r="H402" s="1">
        <f t="shared" si="3"/>
        <v>271131.89269051322</v>
      </c>
      <c r="I402" s="1">
        <v>9781.7649999999994</v>
      </c>
      <c r="J402" s="1">
        <v>40.677999999999997</v>
      </c>
      <c r="K402" s="1">
        <v>10730.566000000001</v>
      </c>
      <c r="L402" s="1">
        <v>10771.245000000001</v>
      </c>
      <c r="M402" s="1" t="s">
        <v>35</v>
      </c>
    </row>
    <row r="403" spans="1:13" ht="13" x14ac:dyDescent="0.15">
      <c r="A403" s="1">
        <v>2</v>
      </c>
      <c r="B403" s="1">
        <v>3</v>
      </c>
      <c r="C403" s="1">
        <v>8</v>
      </c>
      <c r="D403" s="1" t="s">
        <v>24</v>
      </c>
      <c r="E403" s="1">
        <v>771</v>
      </c>
      <c r="F403" s="1">
        <v>8.8999999999999996E-2</v>
      </c>
      <c r="G403" s="1">
        <v>191236509</v>
      </c>
      <c r="H403" s="1">
        <f t="shared" si="3"/>
        <v>248036.9766536965</v>
      </c>
      <c r="I403" s="1">
        <v>12529.543</v>
      </c>
      <c r="J403" s="1">
        <v>40.847000000000001</v>
      </c>
      <c r="K403" s="1">
        <v>13522.737999999999</v>
      </c>
      <c r="L403" s="1">
        <v>13563.585999999999</v>
      </c>
      <c r="M403" s="1" t="s">
        <v>35</v>
      </c>
    </row>
    <row r="404" spans="1:13" ht="13" x14ac:dyDescent="0.15">
      <c r="A404" s="1">
        <v>2</v>
      </c>
      <c r="B404" s="1">
        <v>3</v>
      </c>
      <c r="C404" s="1">
        <v>9</v>
      </c>
      <c r="D404" s="1" t="s">
        <v>25</v>
      </c>
      <c r="E404" s="1">
        <v>761</v>
      </c>
      <c r="F404" s="1">
        <v>7.2999999999999995E-2</v>
      </c>
      <c r="G404" s="1">
        <v>205651442</v>
      </c>
      <c r="H404" s="1">
        <f t="shared" si="3"/>
        <v>270238.42575558473</v>
      </c>
      <c r="I404" s="1">
        <v>14842.427</v>
      </c>
      <c r="J404" s="1">
        <v>40.752000000000002</v>
      </c>
      <c r="K404" s="1">
        <v>15960.03</v>
      </c>
      <c r="L404" s="1">
        <v>16000.784</v>
      </c>
      <c r="M404" s="1" t="s">
        <v>35</v>
      </c>
    </row>
    <row r="405" spans="1:13" ht="13" x14ac:dyDescent="0.15">
      <c r="A405" s="1">
        <v>2</v>
      </c>
      <c r="B405" s="1">
        <v>3</v>
      </c>
      <c r="C405" s="1">
        <v>10</v>
      </c>
      <c r="D405" s="1" t="s">
        <v>20</v>
      </c>
      <c r="E405" s="1">
        <v>814</v>
      </c>
      <c r="F405" s="1">
        <v>0.05</v>
      </c>
      <c r="G405" s="1">
        <v>176440723</v>
      </c>
      <c r="H405" s="1">
        <f t="shared" si="3"/>
        <v>216757.64496314497</v>
      </c>
      <c r="I405" s="1">
        <v>7345.8789999999999</v>
      </c>
      <c r="J405" s="1">
        <v>40.767000000000003</v>
      </c>
      <c r="K405" s="1">
        <v>8219.4449999999997</v>
      </c>
      <c r="L405" s="1">
        <v>8260.2150000000001</v>
      </c>
      <c r="M405" s="1" t="s">
        <v>35</v>
      </c>
    </row>
    <row r="406" spans="1:13" ht="13" x14ac:dyDescent="0.15">
      <c r="A406" s="1">
        <v>2</v>
      </c>
      <c r="B406" s="1">
        <v>3</v>
      </c>
      <c r="C406" s="1">
        <v>11</v>
      </c>
      <c r="D406" s="1" t="s">
        <v>24</v>
      </c>
      <c r="E406" s="1">
        <v>746</v>
      </c>
      <c r="F406" s="1">
        <v>5.6000000000000001E-2</v>
      </c>
      <c r="G406" s="1">
        <v>189232969</v>
      </c>
      <c r="H406" s="1">
        <f t="shared" si="3"/>
        <v>253663.49731903485</v>
      </c>
      <c r="I406" s="1">
        <v>10507.066000000001</v>
      </c>
      <c r="J406" s="1">
        <v>42.058999999999997</v>
      </c>
      <c r="K406" s="1">
        <v>11561.466</v>
      </c>
      <c r="L406" s="1">
        <v>11603.525</v>
      </c>
      <c r="M406" s="1" t="s">
        <v>35</v>
      </c>
    </row>
    <row r="407" spans="1:13" ht="13" x14ac:dyDescent="0.15">
      <c r="A407" s="1">
        <v>2</v>
      </c>
      <c r="B407" s="1">
        <v>3</v>
      </c>
      <c r="C407" s="1">
        <v>12</v>
      </c>
      <c r="D407" s="1" t="s">
        <v>24</v>
      </c>
      <c r="E407" s="1">
        <v>729</v>
      </c>
      <c r="F407" s="1">
        <v>8.3000000000000004E-2</v>
      </c>
      <c r="G407" s="1">
        <v>190986698</v>
      </c>
      <c r="H407" s="1">
        <f t="shared" si="3"/>
        <v>261984.49657064473</v>
      </c>
      <c r="I407" s="1">
        <v>10496.893</v>
      </c>
      <c r="J407" s="1">
        <v>41.932000000000002</v>
      </c>
      <c r="K407" s="1">
        <v>11515.402</v>
      </c>
      <c r="L407" s="1">
        <v>11557.334000000001</v>
      </c>
      <c r="M407" s="1" t="s">
        <v>35</v>
      </c>
    </row>
    <row r="408" spans="1:13" ht="13" x14ac:dyDescent="0.15">
      <c r="A408" s="1">
        <v>2</v>
      </c>
      <c r="B408" s="1">
        <v>3</v>
      </c>
      <c r="C408" s="1">
        <v>13</v>
      </c>
      <c r="D408" s="1" t="s">
        <v>39</v>
      </c>
      <c r="E408" s="1">
        <v>550</v>
      </c>
      <c r="F408" s="1">
        <v>0.04</v>
      </c>
      <c r="G408" s="1">
        <v>175495626</v>
      </c>
      <c r="H408" s="1">
        <f t="shared" si="3"/>
        <v>319082.95636363636</v>
      </c>
      <c r="I408" s="1">
        <v>9295.3819999999996</v>
      </c>
      <c r="J408" s="1">
        <v>40.728000000000002</v>
      </c>
      <c r="K408" s="1">
        <v>10262.406999999999</v>
      </c>
      <c r="L408" s="1">
        <v>10303.136</v>
      </c>
      <c r="M408" s="1" t="s">
        <v>35</v>
      </c>
    </row>
    <row r="409" spans="1:13" ht="13" x14ac:dyDescent="0.15">
      <c r="A409" s="1">
        <v>2</v>
      </c>
      <c r="B409" s="1">
        <v>3</v>
      </c>
      <c r="C409" s="1">
        <v>14</v>
      </c>
      <c r="D409" s="1" t="s">
        <v>30</v>
      </c>
      <c r="E409" s="1">
        <v>599</v>
      </c>
      <c r="F409" s="1">
        <v>0.06</v>
      </c>
      <c r="G409" s="1">
        <v>178209674</v>
      </c>
      <c r="H409" s="1">
        <f t="shared" si="3"/>
        <v>297511.97662771284</v>
      </c>
      <c r="I409" s="1">
        <v>10887.300999999999</v>
      </c>
      <c r="J409" s="1">
        <v>42.537999999999997</v>
      </c>
      <c r="K409" s="1">
        <v>11835.549000000001</v>
      </c>
      <c r="L409" s="1">
        <v>11878.087</v>
      </c>
      <c r="M409" s="1" t="s">
        <v>35</v>
      </c>
    </row>
    <row r="410" spans="1:13" ht="13" x14ac:dyDescent="0.15">
      <c r="A410" s="1">
        <v>2</v>
      </c>
      <c r="B410" s="1">
        <v>3</v>
      </c>
      <c r="C410" s="1">
        <v>15</v>
      </c>
      <c r="D410" s="1" t="s">
        <v>24</v>
      </c>
      <c r="E410" s="1">
        <v>454</v>
      </c>
      <c r="F410" s="1">
        <v>3.1E-2</v>
      </c>
      <c r="G410" s="1">
        <v>156610214</v>
      </c>
      <c r="H410" s="1">
        <f t="shared" si="3"/>
        <v>344956.41850220266</v>
      </c>
      <c r="I410" s="1">
        <v>3582.2570000000001</v>
      </c>
      <c r="J410" s="1">
        <v>41.207999999999998</v>
      </c>
      <c r="K410" s="1">
        <v>4433.9560000000001</v>
      </c>
      <c r="L410" s="1">
        <v>4475.1639999999998</v>
      </c>
      <c r="M410" s="1" t="s">
        <v>35</v>
      </c>
    </row>
    <row r="411" spans="1:13" ht="13" x14ac:dyDescent="0.15">
      <c r="A411" s="1">
        <v>2</v>
      </c>
      <c r="B411" s="1">
        <v>3</v>
      </c>
      <c r="C411" s="1">
        <v>16</v>
      </c>
      <c r="D411" s="1" t="s">
        <v>24</v>
      </c>
      <c r="E411" s="1">
        <v>761</v>
      </c>
      <c r="F411" s="1">
        <v>4.4999999999999998E-2</v>
      </c>
      <c r="G411" s="1">
        <v>186066167</v>
      </c>
      <c r="H411" s="1">
        <f t="shared" si="3"/>
        <v>244502.19053876479</v>
      </c>
      <c r="I411" s="1">
        <v>8766.0319999999992</v>
      </c>
      <c r="J411" s="1">
        <v>41.223999999999997</v>
      </c>
      <c r="K411" s="1">
        <v>9772.3590000000004</v>
      </c>
      <c r="L411" s="1">
        <v>9813.5830000000005</v>
      </c>
      <c r="M411" s="1" t="s">
        <v>35</v>
      </c>
    </row>
    <row r="412" spans="1:13" ht="13" x14ac:dyDescent="0.15">
      <c r="A412" s="1">
        <v>2</v>
      </c>
      <c r="B412" s="1">
        <v>3</v>
      </c>
      <c r="C412" s="1">
        <v>17</v>
      </c>
      <c r="D412" s="1" t="s">
        <v>21</v>
      </c>
      <c r="E412" s="1">
        <v>661</v>
      </c>
      <c r="F412" s="1">
        <v>4.7E-2</v>
      </c>
      <c r="G412" s="1">
        <v>197991914</v>
      </c>
      <c r="H412" s="1">
        <f t="shared" si="3"/>
        <v>299533.90922844177</v>
      </c>
      <c r="I412" s="1">
        <v>8787.9339999999993</v>
      </c>
      <c r="J412" s="1">
        <v>41.116999999999997</v>
      </c>
      <c r="K412" s="1">
        <v>9874.6419999999998</v>
      </c>
      <c r="L412" s="1">
        <v>9915.759</v>
      </c>
      <c r="M412" s="1" t="s">
        <v>35</v>
      </c>
    </row>
    <row r="413" spans="1:13" ht="13" x14ac:dyDescent="0.15">
      <c r="A413" s="1">
        <v>2</v>
      </c>
      <c r="B413" s="1">
        <v>3</v>
      </c>
      <c r="C413" s="1">
        <v>18</v>
      </c>
      <c r="D413" s="1" t="s">
        <v>24</v>
      </c>
      <c r="E413" s="1">
        <v>737</v>
      </c>
      <c r="F413" s="1">
        <v>3.3000000000000002E-2</v>
      </c>
      <c r="G413" s="1">
        <v>183219485</v>
      </c>
      <c r="H413" s="1">
        <f t="shared" si="3"/>
        <v>248601.7435549525</v>
      </c>
      <c r="I413" s="1">
        <v>5184.9269999999997</v>
      </c>
      <c r="J413" s="1">
        <v>42.843000000000004</v>
      </c>
      <c r="K413" s="1">
        <v>6152.6930000000002</v>
      </c>
      <c r="L413" s="1">
        <v>6195.5360000000001</v>
      </c>
      <c r="M413" s="1" t="s">
        <v>35</v>
      </c>
    </row>
    <row r="414" spans="1:13" ht="13" x14ac:dyDescent="0.15">
      <c r="A414" s="1">
        <v>2</v>
      </c>
      <c r="B414" s="1">
        <v>3</v>
      </c>
      <c r="C414" s="1">
        <v>19</v>
      </c>
      <c r="D414" s="1" t="s">
        <v>22</v>
      </c>
      <c r="E414" s="1">
        <v>702</v>
      </c>
      <c r="F414" s="1">
        <v>4.2999999999999997E-2</v>
      </c>
      <c r="G414" s="1">
        <v>186219876</v>
      </c>
      <c r="H414" s="1">
        <f t="shared" si="3"/>
        <v>265270.47863247863</v>
      </c>
      <c r="I414" s="1">
        <v>7547.5309999999999</v>
      </c>
      <c r="J414" s="1">
        <v>41.762</v>
      </c>
      <c r="K414" s="1">
        <v>8548.1190000000006</v>
      </c>
      <c r="L414" s="1">
        <v>8589.8809999999994</v>
      </c>
      <c r="M414" s="1" t="s">
        <v>35</v>
      </c>
    </row>
    <row r="415" spans="1:13" ht="13" x14ac:dyDescent="0.15">
      <c r="A415" s="1">
        <v>2</v>
      </c>
      <c r="B415" s="1">
        <v>3</v>
      </c>
      <c r="C415" s="1">
        <v>20</v>
      </c>
      <c r="D415" s="1" t="s">
        <v>24</v>
      </c>
      <c r="E415" s="1">
        <v>571</v>
      </c>
      <c r="F415" s="1">
        <v>3.4000000000000002E-2</v>
      </c>
      <c r="G415" s="1">
        <v>161220187</v>
      </c>
      <c r="H415" s="1">
        <f t="shared" si="3"/>
        <v>282347.08756567427</v>
      </c>
      <c r="I415" s="1">
        <v>6207.8249999999998</v>
      </c>
      <c r="J415" s="1">
        <v>40.194000000000003</v>
      </c>
      <c r="K415" s="1">
        <v>7059.0720000000001</v>
      </c>
      <c r="L415" s="1">
        <v>7099.2659999999996</v>
      </c>
      <c r="M415" s="1" t="s">
        <v>35</v>
      </c>
    </row>
    <row r="416" spans="1:13" ht="13" x14ac:dyDescent="0.15">
      <c r="A416" s="1">
        <v>3</v>
      </c>
      <c r="B416" s="1">
        <v>2</v>
      </c>
      <c r="C416" s="1">
        <v>1</v>
      </c>
      <c r="D416" s="1" t="s">
        <v>24</v>
      </c>
      <c r="E416" s="1">
        <v>534</v>
      </c>
      <c r="F416" s="1">
        <v>0.05</v>
      </c>
      <c r="G416" s="1">
        <v>162504507</v>
      </c>
      <c r="H416" s="1">
        <f t="shared" si="3"/>
        <v>304315.55617977527</v>
      </c>
      <c r="I416" s="1">
        <v>5027.875</v>
      </c>
      <c r="J416" s="1">
        <v>41.366999999999997</v>
      </c>
      <c r="K416" s="1">
        <v>5886.7820000000002</v>
      </c>
      <c r="L416" s="1">
        <v>5928.1490000000003</v>
      </c>
      <c r="M416" s="1" t="s">
        <v>35</v>
      </c>
    </row>
    <row r="417" spans="1:13" ht="13" x14ac:dyDescent="0.15">
      <c r="A417" s="1">
        <v>3</v>
      </c>
      <c r="B417" s="1">
        <v>2</v>
      </c>
      <c r="C417" s="1">
        <v>2</v>
      </c>
      <c r="D417" s="1" t="s">
        <v>24</v>
      </c>
      <c r="E417" s="1">
        <v>449</v>
      </c>
      <c r="F417" s="1">
        <v>9.1999999999999998E-2</v>
      </c>
      <c r="G417" s="1">
        <v>145674417</v>
      </c>
      <c r="H417" s="1">
        <f t="shared" si="3"/>
        <v>324441.90868596884</v>
      </c>
      <c r="I417" s="1">
        <v>3443.8339999999998</v>
      </c>
      <c r="J417" s="1">
        <v>39.673000000000002</v>
      </c>
      <c r="K417" s="1">
        <v>4168.7169999999996</v>
      </c>
      <c r="L417" s="1">
        <v>4208.3890000000001</v>
      </c>
      <c r="M417" s="1" t="s">
        <v>35</v>
      </c>
    </row>
    <row r="418" spans="1:13" ht="13" x14ac:dyDescent="0.15">
      <c r="A418" s="1">
        <v>3</v>
      </c>
      <c r="B418" s="1">
        <v>2</v>
      </c>
      <c r="C418" s="1">
        <v>3</v>
      </c>
      <c r="D418" s="1" t="s">
        <v>24</v>
      </c>
      <c r="E418" s="1">
        <v>878</v>
      </c>
      <c r="F418" s="1">
        <v>0.113</v>
      </c>
      <c r="G418" s="1">
        <v>195394438</v>
      </c>
      <c r="H418" s="1">
        <f t="shared" si="3"/>
        <v>222544.91799544418</v>
      </c>
      <c r="I418" s="1">
        <v>12954.873</v>
      </c>
      <c r="J418" s="1">
        <v>40.841000000000001</v>
      </c>
      <c r="K418" s="1">
        <v>13983.11</v>
      </c>
      <c r="L418" s="1">
        <v>14023.950999999999</v>
      </c>
      <c r="M418" s="1" t="s">
        <v>35</v>
      </c>
    </row>
    <row r="419" spans="1:13" ht="13" x14ac:dyDescent="0.15">
      <c r="A419" s="1">
        <v>3</v>
      </c>
      <c r="B419" s="1">
        <v>2</v>
      </c>
      <c r="C419" s="1">
        <v>4</v>
      </c>
      <c r="D419" s="1" t="s">
        <v>19</v>
      </c>
      <c r="E419" s="1">
        <v>678</v>
      </c>
      <c r="F419" s="1">
        <v>5.7000000000000002E-2</v>
      </c>
      <c r="G419" s="1">
        <v>179701098</v>
      </c>
      <c r="H419" s="1">
        <f t="shared" si="3"/>
        <v>265045.8672566372</v>
      </c>
      <c r="I419" s="1">
        <v>12631.662</v>
      </c>
      <c r="J419" s="1">
        <v>40.659999999999997</v>
      </c>
      <c r="K419" s="1">
        <v>13584.757</v>
      </c>
      <c r="L419" s="1">
        <v>13625.416999999999</v>
      </c>
      <c r="M419" s="1" t="s">
        <v>35</v>
      </c>
    </row>
    <row r="420" spans="1:13" ht="13" x14ac:dyDescent="0.15">
      <c r="A420" s="1">
        <v>3</v>
      </c>
      <c r="B420" s="1">
        <v>2</v>
      </c>
      <c r="C420" s="1">
        <v>5</v>
      </c>
      <c r="D420" s="1" t="s">
        <v>24</v>
      </c>
      <c r="E420" s="1">
        <v>524</v>
      </c>
      <c r="F420" s="1">
        <v>3.2000000000000001E-2</v>
      </c>
      <c r="G420" s="1">
        <v>166126193</v>
      </c>
      <c r="H420" s="1">
        <f t="shared" si="3"/>
        <v>317034.71946564887</v>
      </c>
      <c r="I420" s="1">
        <v>5745.0190000000002</v>
      </c>
      <c r="J420" s="1">
        <v>40.642000000000003</v>
      </c>
      <c r="K420" s="1">
        <v>6613.2139999999999</v>
      </c>
      <c r="L420" s="1">
        <v>6653.857</v>
      </c>
      <c r="M420" s="1" t="s">
        <v>35</v>
      </c>
    </row>
    <row r="421" spans="1:13" ht="13" x14ac:dyDescent="0.15">
      <c r="A421" s="1">
        <v>3</v>
      </c>
      <c r="B421" s="1">
        <v>2</v>
      </c>
      <c r="C421" s="1">
        <v>6</v>
      </c>
      <c r="D421" s="1" t="s">
        <v>24</v>
      </c>
      <c r="E421" s="1">
        <v>555</v>
      </c>
      <c r="F421" s="1">
        <v>2.5000000000000001E-2</v>
      </c>
      <c r="G421" s="1">
        <v>178148226</v>
      </c>
      <c r="H421" s="1">
        <f t="shared" si="3"/>
        <v>320987.79459459457</v>
      </c>
      <c r="I421" s="1">
        <v>4246.21</v>
      </c>
      <c r="J421" s="1">
        <v>40.847000000000001</v>
      </c>
      <c r="K421" s="1">
        <v>5164.6769999999997</v>
      </c>
      <c r="L421" s="1">
        <v>5205.527</v>
      </c>
      <c r="M421" s="1" t="s">
        <v>35</v>
      </c>
    </row>
    <row r="422" spans="1:13" ht="13" x14ac:dyDescent="0.15">
      <c r="A422" s="1">
        <v>3</v>
      </c>
      <c r="B422" s="1">
        <v>2</v>
      </c>
      <c r="C422" s="1">
        <v>7</v>
      </c>
      <c r="D422" s="1" t="s">
        <v>27</v>
      </c>
      <c r="E422" s="1">
        <v>643</v>
      </c>
      <c r="F422" s="1">
        <v>7.1999999999999995E-2</v>
      </c>
      <c r="G422" s="1">
        <v>172714359</v>
      </c>
      <c r="H422" s="1">
        <f t="shared" si="3"/>
        <v>268607.09020217729</v>
      </c>
      <c r="I422" s="1">
        <v>10265.474</v>
      </c>
      <c r="J422" s="1">
        <v>40.823999999999998</v>
      </c>
      <c r="K422" s="1">
        <v>11190.297</v>
      </c>
      <c r="L422" s="1">
        <v>11231.121999999999</v>
      </c>
      <c r="M422" s="1" t="s">
        <v>35</v>
      </c>
    </row>
    <row r="423" spans="1:13" ht="13" x14ac:dyDescent="0.15">
      <c r="A423" s="1">
        <v>3</v>
      </c>
      <c r="B423" s="1">
        <v>2</v>
      </c>
      <c r="C423" s="1">
        <v>8</v>
      </c>
      <c r="D423" s="1" t="s">
        <v>24</v>
      </c>
      <c r="E423" s="1">
        <v>771</v>
      </c>
      <c r="F423" s="1">
        <v>5.2999999999999999E-2</v>
      </c>
      <c r="G423" s="1">
        <v>189587974</v>
      </c>
      <c r="H423" s="1">
        <f t="shared" si="3"/>
        <v>245898.7989623865</v>
      </c>
      <c r="I423" s="1">
        <v>9584.2039999999997</v>
      </c>
      <c r="J423" s="1">
        <v>41.250999999999998</v>
      </c>
      <c r="K423" s="1">
        <v>10554.243</v>
      </c>
      <c r="L423" s="1">
        <v>10595.495000000001</v>
      </c>
      <c r="M423" s="1" t="s">
        <v>35</v>
      </c>
    </row>
    <row r="424" spans="1:13" ht="13" x14ac:dyDescent="0.15">
      <c r="A424" s="1">
        <v>3</v>
      </c>
      <c r="B424" s="1">
        <v>2</v>
      </c>
      <c r="C424" s="1">
        <v>9</v>
      </c>
      <c r="D424" s="1" t="s">
        <v>24</v>
      </c>
      <c r="E424" s="1">
        <v>761</v>
      </c>
      <c r="F424" s="1">
        <v>5.7000000000000002E-2</v>
      </c>
      <c r="G424" s="1">
        <v>205225682</v>
      </c>
      <c r="H424" s="1">
        <f t="shared" si="3"/>
        <v>269678.95137976349</v>
      </c>
      <c r="I424" s="1">
        <v>10426.445</v>
      </c>
      <c r="J424" s="1">
        <v>40.494999999999997</v>
      </c>
      <c r="K424" s="1">
        <v>11480.395</v>
      </c>
      <c r="L424" s="1">
        <v>11520.89</v>
      </c>
      <c r="M424" s="1" t="s">
        <v>35</v>
      </c>
    </row>
    <row r="425" spans="1:13" ht="13" x14ac:dyDescent="0.15">
      <c r="A425" s="1">
        <v>3</v>
      </c>
      <c r="B425" s="1">
        <v>2</v>
      </c>
      <c r="C425" s="1">
        <v>10</v>
      </c>
      <c r="D425" s="1" t="s">
        <v>20</v>
      </c>
      <c r="E425" s="1">
        <v>814</v>
      </c>
      <c r="F425" s="1">
        <v>4.5999999999999999E-2</v>
      </c>
      <c r="G425" s="1">
        <v>173594740</v>
      </c>
      <c r="H425" s="1">
        <f t="shared" si="3"/>
        <v>213261.35135135136</v>
      </c>
      <c r="I425" s="1">
        <v>6196.1819999999998</v>
      </c>
      <c r="J425" s="1">
        <v>40.656999999999996</v>
      </c>
      <c r="K425" s="1">
        <v>7141.2860000000001</v>
      </c>
      <c r="L425" s="1">
        <v>7181.9430000000002</v>
      </c>
      <c r="M425" s="1" t="s">
        <v>35</v>
      </c>
    </row>
    <row r="426" spans="1:13" ht="13" x14ac:dyDescent="0.15">
      <c r="A426" s="1">
        <v>3</v>
      </c>
      <c r="B426" s="1">
        <v>2</v>
      </c>
      <c r="C426" s="1">
        <v>11</v>
      </c>
      <c r="D426" s="1" t="s">
        <v>24</v>
      </c>
      <c r="E426" s="1">
        <v>746</v>
      </c>
      <c r="F426" s="1">
        <v>5.6000000000000001E-2</v>
      </c>
      <c r="G426" s="1">
        <v>186343929</v>
      </c>
      <c r="H426" s="1">
        <f t="shared" si="3"/>
        <v>249790.78954423591</v>
      </c>
      <c r="I426" s="1">
        <v>10363.735000000001</v>
      </c>
      <c r="J426" s="1">
        <v>42.459000000000003</v>
      </c>
      <c r="K426" s="1">
        <v>11372.401</v>
      </c>
      <c r="L426" s="1">
        <v>11414.862999999999</v>
      </c>
      <c r="M426" s="1" t="s">
        <v>35</v>
      </c>
    </row>
    <row r="427" spans="1:13" ht="13" x14ac:dyDescent="0.15">
      <c r="A427" s="1">
        <v>3</v>
      </c>
      <c r="B427" s="1">
        <v>2</v>
      </c>
      <c r="C427" s="1">
        <v>12</v>
      </c>
      <c r="D427" s="1" t="s">
        <v>24</v>
      </c>
      <c r="E427" s="1">
        <v>729</v>
      </c>
      <c r="F427" s="1">
        <v>4.5999999999999999E-2</v>
      </c>
      <c r="G427" s="1">
        <v>189595192</v>
      </c>
      <c r="H427" s="1">
        <f t="shared" si="3"/>
        <v>260075.70919067215</v>
      </c>
      <c r="I427" s="1">
        <v>8916.9869999999992</v>
      </c>
      <c r="J427" s="1">
        <v>41.707999999999998</v>
      </c>
      <c r="K427" s="1">
        <v>9936.9609999999993</v>
      </c>
      <c r="L427" s="1">
        <v>9978.6689999999999</v>
      </c>
      <c r="M427" s="1" t="s">
        <v>35</v>
      </c>
    </row>
    <row r="428" spans="1:13" ht="13" x14ac:dyDescent="0.15">
      <c r="A428" s="1">
        <v>3</v>
      </c>
      <c r="B428" s="1">
        <v>2</v>
      </c>
      <c r="C428" s="1">
        <v>13</v>
      </c>
      <c r="D428" s="1" t="s">
        <v>39</v>
      </c>
      <c r="E428" s="1">
        <v>550</v>
      </c>
      <c r="F428" s="1">
        <v>6.9000000000000006E-2</v>
      </c>
      <c r="G428" s="1">
        <v>176231461</v>
      </c>
      <c r="H428" s="1">
        <f t="shared" si="3"/>
        <v>320420.8381818182</v>
      </c>
      <c r="I428" s="1">
        <v>10343.656000000001</v>
      </c>
      <c r="J428" s="1">
        <v>40.201999999999998</v>
      </c>
      <c r="K428" s="1">
        <v>11310.343000000001</v>
      </c>
      <c r="L428" s="1">
        <v>11350.545</v>
      </c>
      <c r="M428" s="1" t="s">
        <v>35</v>
      </c>
    </row>
    <row r="429" spans="1:13" ht="13" x14ac:dyDescent="0.15">
      <c r="A429" s="1">
        <v>3</v>
      </c>
      <c r="B429" s="1">
        <v>2</v>
      </c>
      <c r="C429" s="1">
        <v>14</v>
      </c>
      <c r="D429" s="1" t="s">
        <v>30</v>
      </c>
      <c r="E429" s="1">
        <v>599</v>
      </c>
      <c r="F429" s="1">
        <v>5.0999999999999997E-2</v>
      </c>
      <c r="G429" s="1">
        <v>177775227</v>
      </c>
      <c r="H429" s="1">
        <f t="shared" si="3"/>
        <v>296786.6894824708</v>
      </c>
      <c r="I429" s="1">
        <v>10544.192999999999</v>
      </c>
      <c r="J429" s="1">
        <v>42.835999999999999</v>
      </c>
      <c r="K429" s="1">
        <v>11512.118</v>
      </c>
      <c r="L429" s="1">
        <v>11554.954</v>
      </c>
      <c r="M429" s="1" t="s">
        <v>35</v>
      </c>
    </row>
    <row r="430" spans="1:13" ht="13" x14ac:dyDescent="0.15">
      <c r="A430" s="1">
        <v>3</v>
      </c>
      <c r="B430" s="1">
        <v>2</v>
      </c>
      <c r="C430" s="1">
        <v>15</v>
      </c>
      <c r="D430" s="1" t="s">
        <v>24</v>
      </c>
      <c r="E430" s="1">
        <v>454</v>
      </c>
      <c r="F430" s="1">
        <v>2.1000000000000001E-2</v>
      </c>
      <c r="G430" s="1">
        <v>154361981</v>
      </c>
      <c r="H430" s="1">
        <f t="shared" si="3"/>
        <v>340004.36343612336</v>
      </c>
      <c r="I430" s="1">
        <v>3586.1680000000001</v>
      </c>
      <c r="J430" s="1">
        <v>40.786999999999999</v>
      </c>
      <c r="K430" s="1">
        <v>4396.6589999999997</v>
      </c>
      <c r="L430" s="1">
        <v>4437.4459999999999</v>
      </c>
      <c r="M430" s="1" t="s">
        <v>35</v>
      </c>
    </row>
    <row r="431" spans="1:13" ht="13" x14ac:dyDescent="0.15">
      <c r="A431" s="1">
        <v>3</v>
      </c>
      <c r="B431" s="1">
        <v>2</v>
      </c>
      <c r="C431" s="1">
        <v>16</v>
      </c>
      <c r="D431" s="1" t="s">
        <v>24</v>
      </c>
      <c r="E431" s="1">
        <v>761</v>
      </c>
      <c r="F431" s="1">
        <v>0.04</v>
      </c>
      <c r="G431" s="1">
        <v>185359302</v>
      </c>
      <c r="H431" s="1">
        <f t="shared" si="3"/>
        <v>243573.32720105126</v>
      </c>
      <c r="I431" s="1">
        <v>6947.5889999999999</v>
      </c>
      <c r="J431" s="1">
        <v>41.640999999999998</v>
      </c>
      <c r="K431" s="1">
        <v>7913.1149999999998</v>
      </c>
      <c r="L431" s="1">
        <v>7954.7560000000003</v>
      </c>
      <c r="M431" s="1" t="s">
        <v>35</v>
      </c>
    </row>
    <row r="432" spans="1:13" ht="13" x14ac:dyDescent="0.15">
      <c r="A432" s="1">
        <v>3</v>
      </c>
      <c r="B432" s="1">
        <v>2</v>
      </c>
      <c r="C432" s="1">
        <v>17</v>
      </c>
      <c r="D432" s="1" t="s">
        <v>21</v>
      </c>
      <c r="E432" s="1">
        <v>661</v>
      </c>
      <c r="F432" s="1">
        <v>6.3E-2</v>
      </c>
      <c r="G432" s="1">
        <v>195624516</v>
      </c>
      <c r="H432" s="1">
        <f t="shared" si="3"/>
        <v>295952.3691376702</v>
      </c>
      <c r="I432" s="1">
        <v>11850.967000000001</v>
      </c>
      <c r="J432" s="1">
        <v>41.073999999999998</v>
      </c>
      <c r="K432" s="1">
        <v>12923.027</v>
      </c>
      <c r="L432" s="1">
        <v>12964.102999999999</v>
      </c>
      <c r="M432" s="1" t="s">
        <v>35</v>
      </c>
    </row>
    <row r="433" spans="1:13" ht="13" x14ac:dyDescent="0.15">
      <c r="A433" s="1">
        <v>3</v>
      </c>
      <c r="B433" s="1">
        <v>2</v>
      </c>
      <c r="C433" s="1">
        <v>18</v>
      </c>
      <c r="D433" s="1" t="s">
        <v>24</v>
      </c>
      <c r="E433" s="1">
        <v>737</v>
      </c>
      <c r="F433" s="1">
        <v>5.3999999999999999E-2</v>
      </c>
      <c r="G433" s="1">
        <v>181625160</v>
      </c>
      <c r="H433" s="1">
        <f t="shared" si="3"/>
        <v>246438.48032564452</v>
      </c>
      <c r="I433" s="1">
        <v>10379.203</v>
      </c>
      <c r="J433" s="1">
        <v>42.61</v>
      </c>
      <c r="K433" s="1">
        <v>11340.799000000001</v>
      </c>
      <c r="L433" s="1">
        <v>11383.41</v>
      </c>
      <c r="M433" s="1" t="s">
        <v>35</v>
      </c>
    </row>
    <row r="434" spans="1:13" ht="13" x14ac:dyDescent="0.15">
      <c r="A434" s="1">
        <v>3</v>
      </c>
      <c r="B434" s="1">
        <v>2</v>
      </c>
      <c r="C434" s="1">
        <v>19</v>
      </c>
      <c r="D434" s="1" t="s">
        <v>22</v>
      </c>
      <c r="E434" s="1">
        <v>702</v>
      </c>
      <c r="F434" s="1">
        <v>4.4999999999999998E-2</v>
      </c>
      <c r="G434" s="1">
        <v>185145564</v>
      </c>
      <c r="H434" s="1">
        <f t="shared" si="3"/>
        <v>263740.11965811969</v>
      </c>
      <c r="I434" s="1">
        <v>7403.0029999999997</v>
      </c>
      <c r="J434" s="1">
        <v>41.143000000000001</v>
      </c>
      <c r="K434" s="1">
        <v>8383.9169999999995</v>
      </c>
      <c r="L434" s="1">
        <v>8425.0589999999993</v>
      </c>
      <c r="M434" s="1" t="s">
        <v>35</v>
      </c>
    </row>
    <row r="435" spans="1:13" ht="13" x14ac:dyDescent="0.15">
      <c r="A435" s="1">
        <v>3</v>
      </c>
      <c r="B435" s="1">
        <v>2</v>
      </c>
      <c r="C435" s="1">
        <v>20</v>
      </c>
      <c r="D435" s="1" t="s">
        <v>24</v>
      </c>
      <c r="E435" s="1">
        <v>571</v>
      </c>
      <c r="F435" s="1">
        <v>3.3000000000000002E-2</v>
      </c>
      <c r="G435" s="1">
        <v>160807503</v>
      </c>
      <c r="H435" s="1">
        <f t="shared" si="3"/>
        <v>281624.34851138352</v>
      </c>
      <c r="I435" s="1">
        <v>6411.8109999999997</v>
      </c>
      <c r="J435" s="1">
        <v>40.116999999999997</v>
      </c>
      <c r="K435" s="1">
        <v>7261.45</v>
      </c>
      <c r="L435" s="1">
        <v>7301.567</v>
      </c>
      <c r="M435" s="1" t="s">
        <v>35</v>
      </c>
    </row>
    <row r="436" spans="1:13" ht="13" x14ac:dyDescent="0.15">
      <c r="A436" s="5">
        <v>1</v>
      </c>
      <c r="B436" s="5">
        <v>5</v>
      </c>
      <c r="C436" s="5">
        <v>1</v>
      </c>
      <c r="D436" s="6" t="s">
        <v>24</v>
      </c>
      <c r="E436" s="5">
        <v>1378</v>
      </c>
      <c r="F436" s="5">
        <v>9.6000000000000002E-2</v>
      </c>
      <c r="G436" s="5">
        <v>746558335</v>
      </c>
      <c r="H436" s="1">
        <f t="shared" si="3"/>
        <v>541769.4738751814</v>
      </c>
      <c r="I436" s="5">
        <v>23549.852999999999</v>
      </c>
      <c r="J436" s="5">
        <v>90.25</v>
      </c>
      <c r="K436" s="5">
        <v>27675.901000000002</v>
      </c>
      <c r="L436" s="5">
        <v>27766.151000000002</v>
      </c>
      <c r="M436" s="6" t="s">
        <v>35</v>
      </c>
    </row>
    <row r="437" spans="1:13" ht="13" x14ac:dyDescent="0.15">
      <c r="A437" s="5">
        <v>5</v>
      </c>
      <c r="B437" s="5">
        <v>1</v>
      </c>
      <c r="C437" s="5">
        <v>1</v>
      </c>
      <c r="D437" s="6" t="s">
        <v>24</v>
      </c>
      <c r="E437" s="5">
        <v>1378</v>
      </c>
      <c r="F437" s="5">
        <v>0.111</v>
      </c>
      <c r="G437" s="5">
        <v>737419802</v>
      </c>
      <c r="H437" s="1">
        <f t="shared" si="3"/>
        <v>535137.73730043543</v>
      </c>
      <c r="I437" s="5">
        <v>32585.690999999999</v>
      </c>
      <c r="J437" s="5">
        <v>89.989000000000004</v>
      </c>
      <c r="K437" s="5">
        <v>36882.235999999997</v>
      </c>
      <c r="L437" s="5">
        <v>36972.224999999999</v>
      </c>
      <c r="M437" s="6" t="s">
        <v>35</v>
      </c>
    </row>
    <row r="438" spans="1:13" ht="13" x14ac:dyDescent="0.15">
      <c r="A438" s="5">
        <v>2</v>
      </c>
      <c r="B438" s="5">
        <v>4</v>
      </c>
      <c r="C438" s="5">
        <v>1</v>
      </c>
      <c r="D438" s="6" t="s">
        <v>24</v>
      </c>
      <c r="E438" s="5">
        <v>1378</v>
      </c>
      <c r="F438" s="5">
        <v>0.16</v>
      </c>
      <c r="G438" s="5">
        <v>802312819</v>
      </c>
      <c r="H438" s="1">
        <f t="shared" si="3"/>
        <v>582229.91219158203</v>
      </c>
      <c r="I438" s="5">
        <v>47212.228000000003</v>
      </c>
      <c r="J438" s="5">
        <v>88.965000000000003</v>
      </c>
      <c r="K438" s="5">
        <v>51663.377</v>
      </c>
      <c r="L438" s="5">
        <v>51752.343999999997</v>
      </c>
      <c r="M438" s="6" t="s">
        <v>35</v>
      </c>
    </row>
    <row r="439" spans="1:13" ht="13" x14ac:dyDescent="0.15">
      <c r="A439" s="5">
        <v>4</v>
      </c>
      <c r="B439" s="5">
        <v>2</v>
      </c>
      <c r="C439" s="5">
        <v>1</v>
      </c>
      <c r="D439" s="6" t="s">
        <v>24</v>
      </c>
      <c r="E439" s="5">
        <v>1378</v>
      </c>
      <c r="F439" s="5">
        <v>0.13700000000000001</v>
      </c>
      <c r="G439" s="5">
        <v>795304945</v>
      </c>
      <c r="H439" s="1">
        <f t="shared" si="3"/>
        <v>577144.37227866473</v>
      </c>
      <c r="I439" s="5">
        <v>36941.500999999997</v>
      </c>
      <c r="J439" s="5">
        <v>90.16</v>
      </c>
      <c r="K439" s="5">
        <v>41412.021999999997</v>
      </c>
      <c r="L439" s="5">
        <v>41502.182000000001</v>
      </c>
      <c r="M439" s="6" t="s">
        <v>35</v>
      </c>
    </row>
    <row r="440" spans="1:13" ht="13" x14ac:dyDescent="0.15">
      <c r="A440" s="5">
        <v>3</v>
      </c>
      <c r="B440" s="5">
        <v>3</v>
      </c>
      <c r="C440" s="5">
        <v>1</v>
      </c>
      <c r="D440" s="6" t="s">
        <v>24</v>
      </c>
      <c r="E440" s="5">
        <v>1378</v>
      </c>
      <c r="F440" s="5">
        <v>0.14799999999999999</v>
      </c>
      <c r="G440" s="5">
        <v>798114116</v>
      </c>
      <c r="H440" s="1">
        <f t="shared" si="3"/>
        <v>579182.95791001455</v>
      </c>
      <c r="I440" s="5">
        <v>39378.807999999997</v>
      </c>
      <c r="J440" s="5">
        <v>89.453000000000003</v>
      </c>
      <c r="K440" s="5">
        <v>43882.909</v>
      </c>
      <c r="L440" s="5">
        <v>43972.362000000001</v>
      </c>
      <c r="M440" s="6" t="s">
        <v>35</v>
      </c>
    </row>
    <row r="441" spans="1:13" ht="13" x14ac:dyDescent="0.15">
      <c r="A441" s="5">
        <v>5</v>
      </c>
      <c r="B441" s="5">
        <v>1</v>
      </c>
      <c r="C441" s="5">
        <v>2</v>
      </c>
      <c r="D441" s="6" t="s">
        <v>24</v>
      </c>
      <c r="E441" s="5">
        <v>1004</v>
      </c>
      <c r="F441" s="5">
        <v>6.3E-2</v>
      </c>
      <c r="G441" s="5">
        <v>674212526</v>
      </c>
      <c r="H441" s="1">
        <f t="shared" si="3"/>
        <v>671526.42031872505</v>
      </c>
      <c r="I441" s="5">
        <v>20611.972000000002</v>
      </c>
      <c r="J441" s="5">
        <v>86.882000000000005</v>
      </c>
      <c r="K441" s="5">
        <v>24375.969000000001</v>
      </c>
      <c r="L441" s="5">
        <v>24462.852999999999</v>
      </c>
      <c r="M441" s="6" t="s">
        <v>35</v>
      </c>
    </row>
    <row r="442" spans="1:13" ht="13" x14ac:dyDescent="0.15">
      <c r="A442" s="5">
        <v>1</v>
      </c>
      <c r="B442" s="5">
        <v>5</v>
      </c>
      <c r="C442" s="5">
        <v>2</v>
      </c>
      <c r="D442" s="6" t="s">
        <v>24</v>
      </c>
      <c r="E442" s="5">
        <v>1004</v>
      </c>
      <c r="F442" s="5">
        <v>7.2999999999999995E-2</v>
      </c>
      <c r="G442" s="5">
        <v>680212384</v>
      </c>
      <c r="H442" s="1">
        <f t="shared" si="3"/>
        <v>677502.37450199202</v>
      </c>
      <c r="I442" s="5">
        <v>26582.33</v>
      </c>
      <c r="J442" s="5">
        <v>87.406000000000006</v>
      </c>
      <c r="K442" s="5">
        <v>30152.638999999999</v>
      </c>
      <c r="L442" s="5">
        <v>30240.044999999998</v>
      </c>
      <c r="M442" s="6" t="s">
        <v>35</v>
      </c>
    </row>
    <row r="443" spans="1:13" ht="13" x14ac:dyDescent="0.15">
      <c r="A443" s="5">
        <v>2</v>
      </c>
      <c r="B443" s="5">
        <v>4</v>
      </c>
      <c r="C443" s="5">
        <v>2</v>
      </c>
      <c r="D443" s="6" t="s">
        <v>24</v>
      </c>
      <c r="E443" s="5">
        <v>1004</v>
      </c>
      <c r="F443" s="5">
        <v>0.08</v>
      </c>
      <c r="G443" s="5">
        <v>725389771</v>
      </c>
      <c r="H443" s="1">
        <f t="shared" si="3"/>
        <v>722499.77191235055</v>
      </c>
      <c r="I443" s="5">
        <v>29749.297999999999</v>
      </c>
      <c r="J443" s="5">
        <v>87.05</v>
      </c>
      <c r="K443" s="5">
        <v>33680.135000000002</v>
      </c>
      <c r="L443" s="5">
        <v>33767.184999999998</v>
      </c>
      <c r="M443" s="6" t="s">
        <v>35</v>
      </c>
    </row>
    <row r="444" spans="1:13" ht="13" x14ac:dyDescent="0.15">
      <c r="A444" s="5">
        <v>4</v>
      </c>
      <c r="B444" s="5">
        <v>2</v>
      </c>
      <c r="C444" s="5">
        <v>2</v>
      </c>
      <c r="D444" s="6" t="s">
        <v>24</v>
      </c>
      <c r="E444" s="5">
        <v>1004</v>
      </c>
      <c r="F444" s="5">
        <v>7.2999999999999995E-2</v>
      </c>
      <c r="G444" s="5">
        <v>714878335</v>
      </c>
      <c r="H444" s="1">
        <f t="shared" si="3"/>
        <v>712030.21414342627</v>
      </c>
      <c r="I444" s="5">
        <v>26116.631000000001</v>
      </c>
      <c r="J444" s="5">
        <v>87.168000000000006</v>
      </c>
      <c r="K444" s="5">
        <v>30019.671999999999</v>
      </c>
      <c r="L444" s="5">
        <v>30106.84</v>
      </c>
      <c r="M444" s="6" t="s">
        <v>35</v>
      </c>
    </row>
    <row r="445" spans="1:13" ht="13" x14ac:dyDescent="0.15">
      <c r="A445" s="5">
        <v>3</v>
      </c>
      <c r="B445" s="5">
        <v>3</v>
      </c>
      <c r="C445" s="5">
        <v>2</v>
      </c>
      <c r="D445" s="6" t="s">
        <v>24</v>
      </c>
      <c r="E445" s="5">
        <v>1004</v>
      </c>
      <c r="F445" s="5">
        <v>7.8E-2</v>
      </c>
      <c r="G445" s="5">
        <v>711734715</v>
      </c>
      <c r="H445" s="1">
        <f t="shared" si="3"/>
        <v>708899.11852589645</v>
      </c>
      <c r="I445" s="5">
        <v>25760.423999999999</v>
      </c>
      <c r="J445" s="5">
        <v>88.058000000000007</v>
      </c>
      <c r="K445" s="5">
        <v>29554.886999999999</v>
      </c>
      <c r="L445" s="5">
        <v>29642.946</v>
      </c>
      <c r="M445" s="6" t="s">
        <v>35</v>
      </c>
    </row>
    <row r="446" spans="1:13" ht="13" x14ac:dyDescent="0.15">
      <c r="A446" s="5">
        <v>5</v>
      </c>
      <c r="B446" s="5">
        <v>1</v>
      </c>
      <c r="C446" s="5">
        <v>3</v>
      </c>
      <c r="D446" s="6" t="s">
        <v>24</v>
      </c>
      <c r="E446" s="5">
        <v>1779</v>
      </c>
      <c r="F446" s="5">
        <v>0.14199999999999999</v>
      </c>
      <c r="G446" s="5">
        <v>823019015</v>
      </c>
      <c r="H446" s="1">
        <f t="shared" si="3"/>
        <v>462630.13771781902</v>
      </c>
      <c r="I446" s="5">
        <v>28558.777999999998</v>
      </c>
      <c r="J446" s="5">
        <v>91.266999999999996</v>
      </c>
      <c r="K446" s="5">
        <v>33511.915000000001</v>
      </c>
      <c r="L446" s="5">
        <v>33603.182000000001</v>
      </c>
      <c r="M446" s="6" t="s">
        <v>35</v>
      </c>
    </row>
    <row r="447" spans="1:13" ht="13" x14ac:dyDescent="0.15">
      <c r="A447" s="5">
        <v>1</v>
      </c>
      <c r="B447" s="5">
        <v>5</v>
      </c>
      <c r="C447" s="5">
        <v>3</v>
      </c>
      <c r="D447" s="6" t="s">
        <v>24</v>
      </c>
      <c r="E447" s="5">
        <v>1779</v>
      </c>
      <c r="F447" s="5">
        <v>0.155</v>
      </c>
      <c r="G447" s="5">
        <v>821856647</v>
      </c>
      <c r="H447" s="1">
        <f t="shared" si="3"/>
        <v>461976.75491849356</v>
      </c>
      <c r="I447" s="5">
        <v>41884.103000000003</v>
      </c>
      <c r="J447" s="5">
        <v>91.093999999999994</v>
      </c>
      <c r="K447" s="5">
        <v>46570.432999999997</v>
      </c>
      <c r="L447" s="5">
        <v>46661.527000000002</v>
      </c>
      <c r="M447" s="6" t="s">
        <v>35</v>
      </c>
    </row>
    <row r="448" spans="1:13" ht="13" x14ac:dyDescent="0.15">
      <c r="A448" s="5">
        <v>2</v>
      </c>
      <c r="B448" s="5">
        <v>4</v>
      </c>
      <c r="C448" s="5">
        <v>3</v>
      </c>
      <c r="D448" s="6" t="s">
        <v>24</v>
      </c>
      <c r="E448" s="5">
        <v>1779</v>
      </c>
      <c r="F448" s="5">
        <v>0.20799999999999999</v>
      </c>
      <c r="G448" s="5">
        <v>893835701</v>
      </c>
      <c r="H448" s="1">
        <f t="shared" si="3"/>
        <v>502437.15626756602</v>
      </c>
      <c r="I448" s="5">
        <v>50869.15</v>
      </c>
      <c r="J448" s="5">
        <v>90.787000000000006</v>
      </c>
      <c r="K448" s="5">
        <v>56122.118999999999</v>
      </c>
      <c r="L448" s="5">
        <v>56212.906000000003</v>
      </c>
      <c r="M448" s="6" t="s">
        <v>35</v>
      </c>
    </row>
    <row r="449" spans="1:13" ht="13" x14ac:dyDescent="0.15">
      <c r="A449" s="5">
        <v>4</v>
      </c>
      <c r="B449" s="5">
        <v>2</v>
      </c>
      <c r="C449" s="5">
        <v>3</v>
      </c>
      <c r="D449" s="6" t="s">
        <v>24</v>
      </c>
      <c r="E449" s="5">
        <v>1779</v>
      </c>
      <c r="F449" s="5">
        <v>0.23</v>
      </c>
      <c r="G449" s="5">
        <v>887145046</v>
      </c>
      <c r="H449" s="1">
        <f t="shared" si="3"/>
        <v>498676.24845418776</v>
      </c>
      <c r="I449" s="5">
        <v>63624.413</v>
      </c>
      <c r="J449" s="5">
        <v>89.912000000000006</v>
      </c>
      <c r="K449" s="5">
        <v>68831.339000000007</v>
      </c>
      <c r="L449" s="5">
        <v>68921.289999999994</v>
      </c>
      <c r="M449" s="6" t="s">
        <v>35</v>
      </c>
    </row>
    <row r="450" spans="1:13" ht="13" x14ac:dyDescent="0.15">
      <c r="A450" s="5">
        <v>5</v>
      </c>
      <c r="B450" s="5">
        <v>1</v>
      </c>
      <c r="C450" s="5">
        <v>4</v>
      </c>
      <c r="D450" s="6" t="s">
        <v>24</v>
      </c>
      <c r="E450" s="5">
        <v>1380</v>
      </c>
      <c r="F450" s="5">
        <v>0.11600000000000001</v>
      </c>
      <c r="G450" s="5">
        <v>776734419</v>
      </c>
      <c r="H450" s="1">
        <f t="shared" si="3"/>
        <v>562851.02826086956</v>
      </c>
      <c r="I450" s="5">
        <v>34796.841999999997</v>
      </c>
      <c r="J450" s="5">
        <v>89.963999999999999</v>
      </c>
      <c r="K450" s="5">
        <v>39300.048000000003</v>
      </c>
      <c r="L450" s="5">
        <v>39390.027999999998</v>
      </c>
      <c r="M450" s="6" t="s">
        <v>35</v>
      </c>
    </row>
    <row r="451" spans="1:13" ht="13" x14ac:dyDescent="0.15">
      <c r="A451" s="5">
        <v>1</v>
      </c>
      <c r="B451" s="5">
        <v>5</v>
      </c>
      <c r="C451" s="5">
        <v>4</v>
      </c>
      <c r="D451" s="6" t="s">
        <v>23</v>
      </c>
      <c r="E451" s="5">
        <v>1380</v>
      </c>
      <c r="F451" s="5">
        <v>0.127</v>
      </c>
      <c r="G451" s="5">
        <v>777993469</v>
      </c>
      <c r="H451" s="1">
        <f t="shared" si="3"/>
        <v>563763.3833333333</v>
      </c>
      <c r="I451" s="5">
        <v>49735.033000000003</v>
      </c>
      <c r="J451" s="5">
        <v>90.188000000000002</v>
      </c>
      <c r="K451" s="5">
        <v>54041.877</v>
      </c>
      <c r="L451" s="5">
        <v>54132.065000000002</v>
      </c>
      <c r="M451" s="6" t="s">
        <v>35</v>
      </c>
    </row>
    <row r="452" spans="1:13" ht="13" x14ac:dyDescent="0.15">
      <c r="A452" s="5">
        <v>2</v>
      </c>
      <c r="B452" s="5">
        <v>4</v>
      </c>
      <c r="C452" s="5">
        <v>4</v>
      </c>
      <c r="D452" s="6" t="s">
        <v>23</v>
      </c>
      <c r="E452" s="5">
        <v>1380</v>
      </c>
      <c r="F452" s="5">
        <v>0.13300000000000001</v>
      </c>
      <c r="G452" s="5">
        <v>837930044</v>
      </c>
      <c r="H452" s="1">
        <f t="shared" si="3"/>
        <v>607195.684057971</v>
      </c>
      <c r="I452" s="5">
        <v>54204.883000000002</v>
      </c>
      <c r="J452" s="5">
        <v>90.096999999999994</v>
      </c>
      <c r="K452" s="5">
        <v>59208.995000000003</v>
      </c>
      <c r="L452" s="5">
        <v>59299.091999999997</v>
      </c>
      <c r="M452" s="6" t="s">
        <v>35</v>
      </c>
    </row>
    <row r="453" spans="1:13" ht="13" x14ac:dyDescent="0.15">
      <c r="A453" s="5">
        <v>4</v>
      </c>
      <c r="B453" s="5">
        <v>2</v>
      </c>
      <c r="C453" s="5">
        <v>4</v>
      </c>
      <c r="D453" s="6" t="s">
        <v>24</v>
      </c>
      <c r="E453" s="5">
        <v>1380</v>
      </c>
      <c r="F453" s="5">
        <v>0.11799999999999999</v>
      </c>
      <c r="G453" s="5">
        <v>833035114</v>
      </c>
      <c r="H453" s="1">
        <f t="shared" si="3"/>
        <v>603648.6333333333</v>
      </c>
      <c r="I453" s="5">
        <v>37549.747000000003</v>
      </c>
      <c r="J453" s="5">
        <v>90.3</v>
      </c>
      <c r="K453" s="5">
        <v>42473.637999999999</v>
      </c>
      <c r="L453" s="5">
        <v>42563.938999999998</v>
      </c>
      <c r="M453" s="6" t="s">
        <v>35</v>
      </c>
    </row>
    <row r="454" spans="1:13" ht="13" x14ac:dyDescent="0.15">
      <c r="A454" s="5">
        <v>3</v>
      </c>
      <c r="B454" s="5">
        <v>3</v>
      </c>
      <c r="C454" s="5">
        <v>4</v>
      </c>
      <c r="D454" s="6" t="s">
        <v>23</v>
      </c>
      <c r="E454" s="5">
        <v>1380</v>
      </c>
      <c r="F454" s="5">
        <v>0.13600000000000001</v>
      </c>
      <c r="G454" s="5">
        <v>834212056</v>
      </c>
      <c r="H454" s="1">
        <f t="shared" si="3"/>
        <v>604501.48985507246</v>
      </c>
      <c r="I454" s="5">
        <v>55565.222000000002</v>
      </c>
      <c r="J454" s="5">
        <v>89.906000000000006</v>
      </c>
      <c r="K454" s="5">
        <v>60513.095000000001</v>
      </c>
      <c r="L454" s="5">
        <v>60603.008999999998</v>
      </c>
      <c r="M454" s="6" t="s">
        <v>35</v>
      </c>
    </row>
    <row r="455" spans="1:13" ht="13" x14ac:dyDescent="0.15">
      <c r="A455" s="5">
        <v>5</v>
      </c>
      <c r="B455" s="5">
        <v>1</v>
      </c>
      <c r="C455" s="5">
        <v>5</v>
      </c>
      <c r="D455" s="6" t="s">
        <v>24</v>
      </c>
      <c r="E455" s="5">
        <v>1216</v>
      </c>
      <c r="F455" s="5">
        <v>0.125</v>
      </c>
      <c r="G455" s="5">
        <v>755741062</v>
      </c>
      <c r="H455" s="1">
        <f t="shared" si="3"/>
        <v>621497.58388157899</v>
      </c>
      <c r="I455" s="5">
        <v>53765.142</v>
      </c>
      <c r="J455" s="5">
        <v>90.478999999999999</v>
      </c>
      <c r="K455" s="5">
        <v>58165.673999999999</v>
      </c>
      <c r="L455" s="5">
        <v>58256.154999999999</v>
      </c>
      <c r="M455" s="6" t="s">
        <v>35</v>
      </c>
    </row>
    <row r="456" spans="1:13" ht="13" x14ac:dyDescent="0.15">
      <c r="A456" s="5">
        <v>1</v>
      </c>
      <c r="B456" s="5">
        <v>5</v>
      </c>
      <c r="C456" s="5">
        <v>5</v>
      </c>
      <c r="D456" s="6" t="s">
        <v>24</v>
      </c>
      <c r="E456" s="5">
        <v>1216</v>
      </c>
      <c r="F456" s="5">
        <v>8.8999999999999996E-2</v>
      </c>
      <c r="G456" s="5">
        <v>716440094</v>
      </c>
      <c r="H456" s="1">
        <f t="shared" si="3"/>
        <v>589177.70888157899</v>
      </c>
      <c r="I456" s="5">
        <v>19357.386999999999</v>
      </c>
      <c r="J456" s="5">
        <v>91.983999999999995</v>
      </c>
      <c r="K456" s="5">
        <v>23437.744999999999</v>
      </c>
      <c r="L456" s="5">
        <v>23529.73</v>
      </c>
      <c r="M456" s="6" t="s">
        <v>35</v>
      </c>
    </row>
    <row r="457" spans="1:13" ht="13" x14ac:dyDescent="0.15">
      <c r="A457" s="5">
        <v>2</v>
      </c>
      <c r="B457" s="5">
        <v>4</v>
      </c>
      <c r="C457" s="5">
        <v>5</v>
      </c>
      <c r="D457" s="6" t="s">
        <v>24</v>
      </c>
      <c r="E457" s="5">
        <v>1216</v>
      </c>
      <c r="F457" s="5">
        <v>6.7000000000000004E-2</v>
      </c>
      <c r="G457" s="5">
        <v>797687651</v>
      </c>
      <c r="H457" s="1">
        <f t="shared" si="3"/>
        <v>655993.13404605258</v>
      </c>
      <c r="I457" s="5">
        <v>24081.164000000001</v>
      </c>
      <c r="J457" s="5">
        <v>90.515000000000001</v>
      </c>
      <c r="K457" s="5">
        <v>28471.32</v>
      </c>
      <c r="L457" s="5">
        <v>28561.834999999999</v>
      </c>
      <c r="M457" s="6" t="s">
        <v>35</v>
      </c>
    </row>
    <row r="458" spans="1:13" ht="13" x14ac:dyDescent="0.15">
      <c r="A458" s="5">
        <v>4</v>
      </c>
      <c r="B458" s="5">
        <v>2</v>
      </c>
      <c r="C458" s="5">
        <v>5</v>
      </c>
      <c r="D458" s="6" t="s">
        <v>24</v>
      </c>
      <c r="E458" s="5">
        <v>1216</v>
      </c>
      <c r="F458" s="5">
        <v>0.14599999999999999</v>
      </c>
      <c r="G458" s="5">
        <v>795713771</v>
      </c>
      <c r="H458" s="1">
        <f t="shared" si="3"/>
        <v>654369.87746710528</v>
      </c>
      <c r="I458" s="5">
        <v>60935.478000000003</v>
      </c>
      <c r="J458" s="5">
        <v>89.951999999999998</v>
      </c>
      <c r="K458" s="5">
        <v>65162.572999999997</v>
      </c>
      <c r="L458" s="5">
        <v>65252.527000000002</v>
      </c>
      <c r="M458" s="6" t="s">
        <v>35</v>
      </c>
    </row>
    <row r="459" spans="1:13" ht="13" x14ac:dyDescent="0.15">
      <c r="A459" s="5">
        <v>3</v>
      </c>
      <c r="B459" s="5">
        <v>3</v>
      </c>
      <c r="C459" s="5">
        <v>5</v>
      </c>
      <c r="D459" s="6" t="s">
        <v>24</v>
      </c>
      <c r="E459" s="5">
        <v>1216</v>
      </c>
      <c r="F459" s="5">
        <v>6.6000000000000003E-2</v>
      </c>
      <c r="G459" s="5">
        <v>796934142</v>
      </c>
      <c r="H459" s="1">
        <f t="shared" si="3"/>
        <v>655373.47203947371</v>
      </c>
      <c r="I459" s="5">
        <v>34204.14</v>
      </c>
      <c r="J459" s="5">
        <v>90.305999999999997</v>
      </c>
      <c r="K459" s="5">
        <v>38750.908000000003</v>
      </c>
      <c r="L459" s="5">
        <v>38841.214</v>
      </c>
      <c r="M459" s="6" t="s">
        <v>35</v>
      </c>
    </row>
    <row r="460" spans="1:13" ht="13" x14ac:dyDescent="0.15">
      <c r="A460" s="5">
        <v>5</v>
      </c>
      <c r="B460" s="5">
        <v>1</v>
      </c>
      <c r="C460" s="5">
        <v>6</v>
      </c>
      <c r="D460" s="6" t="s">
        <v>24</v>
      </c>
      <c r="E460" s="5">
        <v>1259</v>
      </c>
      <c r="F460" s="5">
        <v>9.1999999999999998E-2</v>
      </c>
      <c r="G460" s="5">
        <v>764154026</v>
      </c>
      <c r="H460" s="1">
        <f t="shared" si="3"/>
        <v>606953.15806195396</v>
      </c>
      <c r="I460" s="5">
        <v>30562.862000000001</v>
      </c>
      <c r="J460" s="5">
        <v>91.135999999999996</v>
      </c>
      <c r="K460" s="5">
        <v>34989.959000000003</v>
      </c>
      <c r="L460" s="5">
        <v>35081.095999999998</v>
      </c>
      <c r="M460" s="6" t="s">
        <v>35</v>
      </c>
    </row>
    <row r="461" spans="1:13" ht="13" x14ac:dyDescent="0.15">
      <c r="A461" s="5">
        <v>1</v>
      </c>
      <c r="B461" s="5">
        <v>5</v>
      </c>
      <c r="C461" s="5">
        <v>6</v>
      </c>
      <c r="D461" s="6" t="s">
        <v>24</v>
      </c>
      <c r="E461" s="5">
        <v>1259</v>
      </c>
      <c r="F461" s="5">
        <v>8.5000000000000006E-2</v>
      </c>
      <c r="G461" s="5">
        <v>776980446</v>
      </c>
      <c r="H461" s="1">
        <f t="shared" si="3"/>
        <v>617140.94201747421</v>
      </c>
      <c r="I461" s="5">
        <v>21703.996999999999</v>
      </c>
      <c r="J461" s="5">
        <v>90.686000000000007</v>
      </c>
      <c r="K461" s="5">
        <v>26227.742999999999</v>
      </c>
      <c r="L461" s="5">
        <v>26318.432000000001</v>
      </c>
      <c r="M461" s="6" t="s">
        <v>35</v>
      </c>
    </row>
    <row r="462" spans="1:13" ht="13" x14ac:dyDescent="0.15">
      <c r="A462" s="5">
        <v>2</v>
      </c>
      <c r="B462" s="5">
        <v>4</v>
      </c>
      <c r="C462" s="5">
        <v>6</v>
      </c>
      <c r="D462" s="6" t="s">
        <v>24</v>
      </c>
      <c r="E462" s="5">
        <v>1259</v>
      </c>
      <c r="F462" s="5">
        <v>7.6999999999999999E-2</v>
      </c>
      <c r="G462" s="5">
        <v>822372564</v>
      </c>
      <c r="H462" s="1">
        <f t="shared" si="3"/>
        <v>653195.04686258931</v>
      </c>
      <c r="I462" s="5">
        <v>25709.467000000001</v>
      </c>
      <c r="J462" s="5">
        <v>90.593000000000004</v>
      </c>
      <c r="K462" s="5">
        <v>30784.095000000001</v>
      </c>
      <c r="L462" s="5">
        <v>30874.687999999998</v>
      </c>
      <c r="M462" s="6" t="s">
        <v>35</v>
      </c>
    </row>
    <row r="463" spans="1:13" ht="13" x14ac:dyDescent="0.15">
      <c r="A463" s="5">
        <v>4</v>
      </c>
      <c r="B463" s="5">
        <v>2</v>
      </c>
      <c r="C463" s="5">
        <v>6</v>
      </c>
      <c r="D463" s="6" t="s">
        <v>24</v>
      </c>
      <c r="E463" s="5">
        <v>1259</v>
      </c>
      <c r="F463" s="5">
        <v>9.5000000000000001E-2</v>
      </c>
      <c r="G463" s="5">
        <v>818755950</v>
      </c>
      <c r="H463" s="1">
        <f t="shared" si="3"/>
        <v>650322.43844320893</v>
      </c>
      <c r="I463" s="5">
        <v>34490.076999999997</v>
      </c>
      <c r="J463" s="5">
        <v>90.019000000000005</v>
      </c>
      <c r="K463" s="5">
        <v>39176.362999999998</v>
      </c>
      <c r="L463" s="5">
        <v>39266.381999999998</v>
      </c>
      <c r="M463" s="6" t="s">
        <v>35</v>
      </c>
    </row>
    <row r="464" spans="1:13" ht="13" x14ac:dyDescent="0.15">
      <c r="A464" s="5">
        <v>3</v>
      </c>
      <c r="B464" s="5">
        <v>3</v>
      </c>
      <c r="C464" s="5">
        <v>6</v>
      </c>
      <c r="D464" s="6" t="s">
        <v>24</v>
      </c>
      <c r="E464" s="5">
        <v>1259</v>
      </c>
      <c r="F464" s="5">
        <v>8.5000000000000006E-2</v>
      </c>
      <c r="G464" s="5">
        <v>824417755</v>
      </c>
      <c r="H464" s="1">
        <f t="shared" si="3"/>
        <v>654819.50357426528</v>
      </c>
      <c r="I464" s="5">
        <v>28587.095000000001</v>
      </c>
      <c r="J464" s="5">
        <v>90.53</v>
      </c>
      <c r="K464" s="5">
        <v>33401.160000000003</v>
      </c>
      <c r="L464" s="5">
        <v>33491.709000000003</v>
      </c>
      <c r="M464" s="6" t="s">
        <v>35</v>
      </c>
    </row>
    <row r="465" spans="1:13" ht="13" x14ac:dyDescent="0.15">
      <c r="A465" s="5">
        <v>5</v>
      </c>
      <c r="B465" s="5">
        <v>1</v>
      </c>
      <c r="C465" s="5">
        <v>7</v>
      </c>
      <c r="D465" s="6" t="s">
        <v>24</v>
      </c>
      <c r="E465" s="5">
        <v>1407</v>
      </c>
      <c r="F465" s="5">
        <v>0.13800000000000001</v>
      </c>
      <c r="G465" s="5">
        <v>780171684</v>
      </c>
      <c r="H465" s="1">
        <f t="shared" si="3"/>
        <v>554493.02345415775</v>
      </c>
      <c r="I465" s="5">
        <v>56310.569000000003</v>
      </c>
      <c r="J465" s="5">
        <v>89.143000000000001</v>
      </c>
      <c r="K465" s="5">
        <v>60715.33</v>
      </c>
      <c r="L465" s="5">
        <v>60804.472999999998</v>
      </c>
      <c r="M465" s="6" t="s">
        <v>35</v>
      </c>
    </row>
    <row r="466" spans="1:13" ht="13" x14ac:dyDescent="0.15">
      <c r="A466" s="5">
        <v>1</v>
      </c>
      <c r="B466" s="5">
        <v>5</v>
      </c>
      <c r="C466" s="5">
        <v>7</v>
      </c>
      <c r="D466" s="6" t="s">
        <v>24</v>
      </c>
      <c r="E466" s="5">
        <v>1407</v>
      </c>
      <c r="F466" s="5">
        <v>0.14399999999999999</v>
      </c>
      <c r="G466" s="5">
        <v>780892461</v>
      </c>
      <c r="H466" s="1">
        <f t="shared" si="3"/>
        <v>555005.30277185503</v>
      </c>
      <c r="I466" s="5">
        <v>32457.42</v>
      </c>
      <c r="J466" s="5">
        <v>90.403000000000006</v>
      </c>
      <c r="K466" s="5">
        <v>36641.69</v>
      </c>
      <c r="L466" s="5">
        <v>36732.095000000001</v>
      </c>
      <c r="M466" s="6" t="s">
        <v>35</v>
      </c>
    </row>
    <row r="467" spans="1:13" ht="13" x14ac:dyDescent="0.15">
      <c r="A467" s="5">
        <v>2</v>
      </c>
      <c r="B467" s="5">
        <v>4</v>
      </c>
      <c r="C467" s="5">
        <v>7</v>
      </c>
      <c r="D467" s="6" t="s">
        <v>24</v>
      </c>
      <c r="E467" s="5">
        <v>1407</v>
      </c>
      <c r="F467" s="5">
        <v>8.8999999999999996E-2</v>
      </c>
      <c r="G467" s="5">
        <v>842336036</v>
      </c>
      <c r="H467" s="1">
        <f t="shared" si="3"/>
        <v>598675.22103766876</v>
      </c>
      <c r="I467" s="5">
        <v>44726.976999999999</v>
      </c>
      <c r="J467" s="5">
        <v>88.951999999999998</v>
      </c>
      <c r="K467" s="5">
        <v>50056.987000000001</v>
      </c>
      <c r="L467" s="5">
        <v>50145.966</v>
      </c>
      <c r="M467" s="6" t="s">
        <v>35</v>
      </c>
    </row>
    <row r="468" spans="1:13" ht="13" x14ac:dyDescent="0.15">
      <c r="A468" s="5">
        <v>4</v>
      </c>
      <c r="B468" s="5">
        <v>2</v>
      </c>
      <c r="C468" s="5">
        <v>7</v>
      </c>
      <c r="D468" s="6" t="s">
        <v>34</v>
      </c>
      <c r="E468" s="5">
        <v>1407</v>
      </c>
      <c r="F468" s="5">
        <v>0.124</v>
      </c>
      <c r="G468" s="5">
        <v>836375645</v>
      </c>
      <c r="H468" s="1">
        <f t="shared" si="3"/>
        <v>594438.98009950249</v>
      </c>
      <c r="I468" s="5">
        <v>55800.231</v>
      </c>
      <c r="J468" s="5">
        <v>90.424000000000007</v>
      </c>
      <c r="K468" s="5">
        <v>60691.652999999998</v>
      </c>
      <c r="L468" s="5">
        <v>60782.078999999998</v>
      </c>
      <c r="M468" s="6" t="s">
        <v>35</v>
      </c>
    </row>
    <row r="469" spans="1:13" ht="13" x14ac:dyDescent="0.15">
      <c r="A469" s="5">
        <v>3</v>
      </c>
      <c r="B469" s="5">
        <v>3</v>
      </c>
      <c r="C469" s="5">
        <v>7</v>
      </c>
      <c r="D469" s="6" t="s">
        <v>33</v>
      </c>
      <c r="E469" s="5">
        <v>1407</v>
      </c>
      <c r="F469" s="5">
        <v>0.11899999999999999</v>
      </c>
      <c r="G469" s="5">
        <v>833075025</v>
      </c>
      <c r="H469" s="1">
        <f t="shared" si="3"/>
        <v>592093.1236673774</v>
      </c>
      <c r="I469" s="5">
        <v>55756.116999999998</v>
      </c>
      <c r="J469" s="5">
        <v>90.468999999999994</v>
      </c>
      <c r="K469" s="5">
        <v>60677.525000000001</v>
      </c>
      <c r="L469" s="5">
        <v>60767.993999999999</v>
      </c>
      <c r="M469" s="6" t="s">
        <v>35</v>
      </c>
    </row>
    <row r="470" spans="1:13" ht="13" x14ac:dyDescent="0.15">
      <c r="A470" s="1">
        <v>1</v>
      </c>
      <c r="B470" s="1">
        <v>1</v>
      </c>
      <c r="C470" s="1">
        <v>1</v>
      </c>
      <c r="D470" s="1" t="s">
        <v>24</v>
      </c>
      <c r="E470" s="1">
        <v>16</v>
      </c>
      <c r="F470" s="1">
        <v>0</v>
      </c>
      <c r="G470" s="1">
        <v>6507</v>
      </c>
      <c r="H470" s="1">
        <f t="shared" si="3"/>
        <v>406.6875</v>
      </c>
      <c r="I470" s="1">
        <v>8.4000000000000005E-2</v>
      </c>
      <c r="J470" s="1">
        <v>0.47299999999999998</v>
      </c>
      <c r="K470" s="1">
        <v>0.104</v>
      </c>
      <c r="L470" s="1">
        <v>0.57699999999999996</v>
      </c>
      <c r="M470" s="1" t="s">
        <v>41</v>
      </c>
    </row>
    <row r="471" spans="1:13" ht="13" x14ac:dyDescent="0.15">
      <c r="A471" s="1">
        <v>1</v>
      </c>
      <c r="B471" s="1">
        <v>1</v>
      </c>
      <c r="C471" s="1">
        <v>2</v>
      </c>
      <c r="D471" s="1" t="s">
        <v>24</v>
      </c>
      <c r="E471" s="1">
        <v>20</v>
      </c>
      <c r="F471" s="1">
        <v>0</v>
      </c>
      <c r="G471" s="1">
        <v>7053</v>
      </c>
      <c r="H471" s="1">
        <f t="shared" si="3"/>
        <v>352.65</v>
      </c>
      <c r="I471" s="1">
        <v>0.114</v>
      </c>
      <c r="J471" s="1">
        <v>0.46300000000000002</v>
      </c>
      <c r="K471" s="1">
        <v>0.13300000000000001</v>
      </c>
      <c r="L471" s="1">
        <v>0.59599999999999997</v>
      </c>
      <c r="M471" s="1" t="s">
        <v>41</v>
      </c>
    </row>
    <row r="472" spans="1:13" ht="13" x14ac:dyDescent="0.15">
      <c r="A472" s="1">
        <v>1</v>
      </c>
      <c r="B472" s="1">
        <v>1</v>
      </c>
      <c r="C472" s="1">
        <v>3</v>
      </c>
      <c r="D472" s="1" t="s">
        <v>24</v>
      </c>
      <c r="E472" s="1">
        <v>27</v>
      </c>
      <c r="F472" s="1">
        <v>1E-3</v>
      </c>
      <c r="G472" s="1">
        <v>8905</v>
      </c>
      <c r="H472" s="1">
        <f t="shared" si="3"/>
        <v>329.81481481481484</v>
      </c>
      <c r="I472" s="1">
        <v>0.251</v>
      </c>
      <c r="J472" s="1">
        <v>0.45400000000000001</v>
      </c>
      <c r="K472" s="1">
        <v>0.28100000000000003</v>
      </c>
      <c r="L472" s="1">
        <v>0.73499999999999999</v>
      </c>
      <c r="M472" s="1" t="s">
        <v>41</v>
      </c>
    </row>
    <row r="473" spans="1:13" ht="13" x14ac:dyDescent="0.15">
      <c r="A473" s="1">
        <v>1</v>
      </c>
      <c r="B473" s="1">
        <v>1</v>
      </c>
      <c r="C473" s="1">
        <v>4</v>
      </c>
      <c r="D473" s="1" t="s">
        <v>24</v>
      </c>
      <c r="E473" s="1">
        <v>21</v>
      </c>
      <c r="F473" s="1">
        <v>1E-3</v>
      </c>
      <c r="G473" s="1">
        <v>7704</v>
      </c>
      <c r="H473" s="1">
        <f t="shared" si="3"/>
        <v>366.85714285714283</v>
      </c>
      <c r="I473" s="1">
        <v>0.24399999999999999</v>
      </c>
      <c r="J473" s="1">
        <v>0.44400000000000001</v>
      </c>
      <c r="K473" s="1">
        <v>0.28599999999999998</v>
      </c>
      <c r="L473" s="1">
        <v>0.73</v>
      </c>
      <c r="M473" s="1" t="s">
        <v>41</v>
      </c>
    </row>
    <row r="474" spans="1:13" ht="13" x14ac:dyDescent="0.15">
      <c r="A474" s="1">
        <v>1</v>
      </c>
      <c r="B474" s="1">
        <v>1</v>
      </c>
      <c r="C474" s="1">
        <v>5</v>
      </c>
      <c r="D474" s="1" t="s">
        <v>24</v>
      </c>
      <c r="E474" s="1">
        <v>18</v>
      </c>
      <c r="F474" s="1">
        <v>0</v>
      </c>
      <c r="G474" s="1">
        <v>2156</v>
      </c>
      <c r="H474" s="1">
        <f t="shared" si="3"/>
        <v>119.77777777777777</v>
      </c>
      <c r="I474" s="1">
        <v>2.5999999999999999E-2</v>
      </c>
      <c r="J474" s="1">
        <v>0.56100000000000005</v>
      </c>
      <c r="K474" s="1">
        <v>3.2000000000000001E-2</v>
      </c>
      <c r="L474" s="1">
        <v>0.59199999999999997</v>
      </c>
      <c r="M474" s="1" t="s">
        <v>41</v>
      </c>
    </row>
    <row r="475" spans="1:13" ht="13" x14ac:dyDescent="0.15">
      <c r="A475" s="1">
        <v>1</v>
      </c>
      <c r="B475" s="1">
        <v>1</v>
      </c>
      <c r="C475" s="1">
        <v>6</v>
      </c>
      <c r="D475" s="1" t="s">
        <v>24</v>
      </c>
      <c r="E475" s="1">
        <v>15</v>
      </c>
      <c r="F475" s="1">
        <v>0</v>
      </c>
      <c r="G475" s="1">
        <v>4228</v>
      </c>
      <c r="H475" s="1">
        <f t="shared" si="3"/>
        <v>281.86666666666667</v>
      </c>
      <c r="I475" s="1">
        <v>4.5999999999999999E-2</v>
      </c>
      <c r="J475" s="1">
        <v>0.40899999999999997</v>
      </c>
      <c r="K475" s="1">
        <v>0.06</v>
      </c>
      <c r="L475" s="1">
        <v>0.46899999999999997</v>
      </c>
      <c r="M475" s="1" t="s">
        <v>41</v>
      </c>
    </row>
    <row r="476" spans="1:13" ht="13" x14ac:dyDescent="0.15">
      <c r="A476" s="1">
        <v>1</v>
      </c>
      <c r="B476" s="1">
        <v>1</v>
      </c>
      <c r="C476" s="1">
        <v>7</v>
      </c>
      <c r="D476" s="1" t="s">
        <v>24</v>
      </c>
      <c r="E476" s="1">
        <v>16</v>
      </c>
      <c r="F476" s="1">
        <v>0</v>
      </c>
      <c r="G476" s="1">
        <v>5063</v>
      </c>
      <c r="H476" s="1">
        <f t="shared" si="3"/>
        <v>316.4375</v>
      </c>
      <c r="I476" s="1">
        <v>6.8000000000000005E-2</v>
      </c>
      <c r="J476" s="1">
        <v>0.47099999999999997</v>
      </c>
      <c r="K476" s="1">
        <v>8.5000000000000006E-2</v>
      </c>
      <c r="L476" s="1">
        <v>0.55500000000000005</v>
      </c>
      <c r="M476" s="1" t="s">
        <v>41</v>
      </c>
    </row>
    <row r="477" spans="1:13" ht="13" x14ac:dyDescent="0.15">
      <c r="A477" s="1">
        <v>1</v>
      </c>
      <c r="B477" s="1">
        <v>1</v>
      </c>
      <c r="C477" s="1">
        <v>8</v>
      </c>
      <c r="D477" s="1" t="s">
        <v>24</v>
      </c>
      <c r="E477" s="1">
        <v>24</v>
      </c>
      <c r="F477" s="1">
        <v>1E-3</v>
      </c>
      <c r="G477" s="1">
        <v>8072</v>
      </c>
      <c r="H477" s="1">
        <f t="shared" si="3"/>
        <v>336.33333333333331</v>
      </c>
      <c r="I477" s="1">
        <v>0.28399999999999997</v>
      </c>
      <c r="J477" s="1">
        <v>0.44</v>
      </c>
      <c r="K477" s="1">
        <v>0.32700000000000001</v>
      </c>
      <c r="L477" s="1">
        <v>0.76800000000000002</v>
      </c>
      <c r="M477" s="1" t="s">
        <v>41</v>
      </c>
    </row>
    <row r="478" spans="1:13" ht="13" x14ac:dyDescent="0.15">
      <c r="A478" s="1">
        <v>1</v>
      </c>
      <c r="B478" s="1">
        <v>1</v>
      </c>
      <c r="C478" s="1">
        <v>9</v>
      </c>
      <c r="D478" s="1" t="s">
        <v>13</v>
      </c>
      <c r="E478" s="1">
        <v>27</v>
      </c>
      <c r="F478" s="1">
        <v>7.0000000000000001E-3</v>
      </c>
      <c r="G478" s="1">
        <v>8608</v>
      </c>
      <c r="H478" s="1">
        <f t="shared" si="3"/>
        <v>318.81481481481484</v>
      </c>
      <c r="I478" s="1">
        <v>0.42699999999999999</v>
      </c>
      <c r="J478" s="1">
        <v>0.435</v>
      </c>
      <c r="K478" s="1">
        <v>0.45600000000000002</v>
      </c>
      <c r="L478" s="1">
        <v>0.89100000000000001</v>
      </c>
      <c r="M478" s="1" t="s">
        <v>41</v>
      </c>
    </row>
    <row r="479" spans="1:13" ht="13" x14ac:dyDescent="0.15">
      <c r="A479" s="1">
        <v>1</v>
      </c>
      <c r="B479" s="1">
        <v>1</v>
      </c>
      <c r="C479" s="1">
        <v>10</v>
      </c>
      <c r="D479" s="1" t="s">
        <v>24</v>
      </c>
      <c r="E479" s="1">
        <v>21</v>
      </c>
      <c r="F479" s="1">
        <v>1E-3</v>
      </c>
      <c r="G479" s="1">
        <v>7957</v>
      </c>
      <c r="H479" s="1">
        <f t="shared" si="3"/>
        <v>378.90476190476193</v>
      </c>
      <c r="I479" s="1">
        <v>0.121</v>
      </c>
      <c r="J479" s="1">
        <v>0.434</v>
      </c>
      <c r="K479" s="1">
        <v>0.16200000000000001</v>
      </c>
      <c r="L479" s="1">
        <v>0.59599999999999997</v>
      </c>
      <c r="M479" s="1" t="s">
        <v>41</v>
      </c>
    </row>
    <row r="480" spans="1:13" ht="13" x14ac:dyDescent="0.15">
      <c r="A480" s="1">
        <v>1</v>
      </c>
      <c r="B480" s="1">
        <v>1</v>
      </c>
      <c r="C480" s="1">
        <v>11</v>
      </c>
      <c r="D480" s="1" t="s">
        <v>15</v>
      </c>
      <c r="E480" s="1">
        <v>18</v>
      </c>
      <c r="F480" s="1">
        <v>1E-3</v>
      </c>
      <c r="G480" s="1">
        <v>7491</v>
      </c>
      <c r="H480" s="1">
        <f t="shared" si="3"/>
        <v>416.16666666666669</v>
      </c>
      <c r="I480" s="1">
        <v>0.44800000000000001</v>
      </c>
      <c r="J480" s="1">
        <v>0.40699999999999997</v>
      </c>
      <c r="K480" s="1">
        <v>0.47399999999999998</v>
      </c>
      <c r="L480" s="1">
        <v>0.88100000000000001</v>
      </c>
      <c r="M480" s="1" t="s">
        <v>41</v>
      </c>
    </row>
    <row r="481" spans="1:13" ht="13" x14ac:dyDescent="0.15">
      <c r="A481" s="1">
        <v>1</v>
      </c>
      <c r="B481" s="1">
        <v>1</v>
      </c>
      <c r="C481" s="1">
        <v>12</v>
      </c>
      <c r="D481" s="1" t="s">
        <v>24</v>
      </c>
      <c r="E481" s="1">
        <v>19</v>
      </c>
      <c r="F481" s="1">
        <v>0</v>
      </c>
      <c r="G481" s="1">
        <v>5489</v>
      </c>
      <c r="H481" s="1">
        <f t="shared" si="3"/>
        <v>288.89473684210526</v>
      </c>
      <c r="I481" s="1">
        <v>6.3E-2</v>
      </c>
      <c r="J481" s="1">
        <v>0.443</v>
      </c>
      <c r="K481" s="1">
        <v>8.4000000000000005E-2</v>
      </c>
      <c r="L481" s="1">
        <v>0.52600000000000002</v>
      </c>
      <c r="M481" s="1" t="s">
        <v>41</v>
      </c>
    </row>
    <row r="482" spans="1:13" ht="13" x14ac:dyDescent="0.15">
      <c r="A482" s="1">
        <v>1</v>
      </c>
      <c r="B482" s="1">
        <v>1</v>
      </c>
      <c r="C482" s="1">
        <v>13</v>
      </c>
      <c r="D482" s="1" t="s">
        <v>24</v>
      </c>
      <c r="E482" s="1">
        <v>15</v>
      </c>
      <c r="F482" s="1">
        <v>0</v>
      </c>
      <c r="G482" s="1">
        <v>4695</v>
      </c>
      <c r="H482" s="1">
        <f t="shared" si="3"/>
        <v>313</v>
      </c>
      <c r="I482" s="1">
        <v>6.0999999999999999E-2</v>
      </c>
      <c r="J482" s="1">
        <v>0.438</v>
      </c>
      <c r="K482" s="1">
        <v>9.1999999999999998E-2</v>
      </c>
      <c r="L482" s="1">
        <v>0.53</v>
      </c>
      <c r="M482" s="1" t="s">
        <v>41</v>
      </c>
    </row>
    <row r="483" spans="1:13" ht="13" x14ac:dyDescent="0.15">
      <c r="A483" s="1">
        <v>1</v>
      </c>
      <c r="B483" s="1">
        <v>1</v>
      </c>
      <c r="C483" s="1">
        <v>14</v>
      </c>
      <c r="D483" s="1" t="s">
        <v>24</v>
      </c>
      <c r="E483" s="1">
        <v>15</v>
      </c>
      <c r="F483" s="1">
        <v>0</v>
      </c>
      <c r="G483" s="1">
        <v>5022</v>
      </c>
      <c r="H483" s="1">
        <f t="shared" si="3"/>
        <v>334.8</v>
      </c>
      <c r="I483" s="1">
        <v>6.5000000000000002E-2</v>
      </c>
      <c r="J483" s="1">
        <v>0.42599999999999999</v>
      </c>
      <c r="K483" s="1">
        <v>9.8000000000000004E-2</v>
      </c>
      <c r="L483" s="1">
        <v>0.52300000000000002</v>
      </c>
      <c r="M483" s="1" t="s">
        <v>41</v>
      </c>
    </row>
    <row r="484" spans="1:13" ht="13" x14ac:dyDescent="0.15">
      <c r="A484" s="1">
        <v>1</v>
      </c>
      <c r="B484" s="1">
        <v>1</v>
      </c>
      <c r="C484" s="1">
        <v>15</v>
      </c>
      <c r="D484" s="1" t="s">
        <v>24</v>
      </c>
      <c r="E484" s="1">
        <v>15</v>
      </c>
      <c r="F484" s="1">
        <v>0</v>
      </c>
      <c r="G484" s="1">
        <v>3652</v>
      </c>
      <c r="H484" s="1">
        <f t="shared" si="3"/>
        <v>243.46666666666667</v>
      </c>
      <c r="I484" s="1">
        <v>0.03</v>
      </c>
      <c r="J484" s="1">
        <v>0.42099999999999999</v>
      </c>
      <c r="K484" s="1">
        <v>4.4999999999999998E-2</v>
      </c>
      <c r="L484" s="1">
        <v>0.46600000000000003</v>
      </c>
      <c r="M484" s="1" t="s">
        <v>41</v>
      </c>
    </row>
    <row r="485" spans="1:13" ht="13" x14ac:dyDescent="0.15">
      <c r="A485" s="1">
        <v>1</v>
      </c>
      <c r="B485" s="1">
        <v>1</v>
      </c>
      <c r="C485" s="1">
        <v>16</v>
      </c>
      <c r="D485" s="1" t="s">
        <v>24</v>
      </c>
      <c r="E485" s="1">
        <v>21</v>
      </c>
      <c r="F485" s="1">
        <v>1E-3</v>
      </c>
      <c r="G485" s="1">
        <v>8293</v>
      </c>
      <c r="H485" s="1">
        <f t="shared" si="3"/>
        <v>394.90476190476193</v>
      </c>
      <c r="I485" s="1">
        <v>0.433</v>
      </c>
      <c r="J485" s="1">
        <v>0.438</v>
      </c>
      <c r="K485" s="1">
        <v>0.46400000000000002</v>
      </c>
      <c r="L485" s="1">
        <v>0.90200000000000002</v>
      </c>
      <c r="M485" s="1" t="s">
        <v>41</v>
      </c>
    </row>
    <row r="486" spans="1:13" ht="13" x14ac:dyDescent="0.15">
      <c r="A486" s="1">
        <v>1</v>
      </c>
      <c r="B486" s="1">
        <v>1</v>
      </c>
      <c r="C486" s="1">
        <v>17</v>
      </c>
      <c r="D486" s="1" t="s">
        <v>24</v>
      </c>
      <c r="E486" s="1">
        <v>15</v>
      </c>
      <c r="F486" s="1">
        <v>0</v>
      </c>
      <c r="G486" s="1">
        <v>5526</v>
      </c>
      <c r="H486" s="1">
        <f t="shared" si="3"/>
        <v>368.4</v>
      </c>
      <c r="I486" s="1">
        <v>6.6000000000000003E-2</v>
      </c>
      <c r="J486" s="1">
        <v>0.42799999999999999</v>
      </c>
      <c r="K486" s="1">
        <v>8.5000000000000006E-2</v>
      </c>
      <c r="L486" s="1">
        <v>0.51300000000000001</v>
      </c>
      <c r="M486" s="1" t="s">
        <v>41</v>
      </c>
    </row>
    <row r="487" spans="1:13" ht="13" x14ac:dyDescent="0.15">
      <c r="A487" s="1">
        <v>1</v>
      </c>
      <c r="B487" s="1">
        <v>1</v>
      </c>
      <c r="C487" s="1">
        <v>18</v>
      </c>
      <c r="D487" s="1" t="s">
        <v>24</v>
      </c>
      <c r="E487" s="1">
        <v>20</v>
      </c>
      <c r="F487" s="1">
        <v>0</v>
      </c>
      <c r="G487" s="1">
        <v>4397</v>
      </c>
      <c r="H487" s="1">
        <f t="shared" si="3"/>
        <v>219.85</v>
      </c>
      <c r="I487" s="1">
        <v>5.0999999999999997E-2</v>
      </c>
      <c r="J487" s="1">
        <v>0.53700000000000003</v>
      </c>
      <c r="K487" s="1">
        <v>6.3E-2</v>
      </c>
      <c r="L487" s="1">
        <v>0.60099999999999998</v>
      </c>
      <c r="M487" s="1" t="s">
        <v>41</v>
      </c>
    </row>
    <row r="488" spans="1:13" ht="13" x14ac:dyDescent="0.15">
      <c r="A488" s="1">
        <v>1</v>
      </c>
      <c r="B488" s="1">
        <v>1</v>
      </c>
      <c r="C488" s="1">
        <v>19</v>
      </c>
      <c r="D488" s="1" t="s">
        <v>24</v>
      </c>
      <c r="E488" s="1">
        <v>19</v>
      </c>
      <c r="F488" s="1">
        <v>0</v>
      </c>
      <c r="G488" s="1">
        <v>4204</v>
      </c>
      <c r="H488" s="1">
        <f t="shared" si="3"/>
        <v>221.26315789473685</v>
      </c>
      <c r="I488" s="1">
        <v>4.2999999999999997E-2</v>
      </c>
      <c r="J488" s="1">
        <v>0.46200000000000002</v>
      </c>
      <c r="K488" s="1">
        <v>5.8999999999999997E-2</v>
      </c>
      <c r="L488" s="1">
        <v>0.52100000000000002</v>
      </c>
      <c r="M488" s="1" t="s">
        <v>41</v>
      </c>
    </row>
    <row r="489" spans="1:13" ht="13" x14ac:dyDescent="0.15">
      <c r="A489" s="1">
        <v>1</v>
      </c>
      <c r="B489" s="1">
        <v>1</v>
      </c>
      <c r="C489" s="1">
        <v>20</v>
      </c>
      <c r="D489" s="1" t="s">
        <v>24</v>
      </c>
      <c r="E489" s="1">
        <v>16</v>
      </c>
      <c r="F489" s="1">
        <v>0</v>
      </c>
      <c r="G489" s="1">
        <v>4460</v>
      </c>
      <c r="H489" s="1">
        <f t="shared" si="3"/>
        <v>278.75</v>
      </c>
      <c r="I489" s="1">
        <v>0.06</v>
      </c>
      <c r="J489" s="1">
        <v>0.48199999999999998</v>
      </c>
      <c r="K489" s="1">
        <v>7.3999999999999996E-2</v>
      </c>
      <c r="L489" s="1">
        <v>0.55600000000000005</v>
      </c>
      <c r="M489" s="1" t="s">
        <v>41</v>
      </c>
    </row>
    <row r="490" spans="1:13" ht="13" x14ac:dyDescent="0.15">
      <c r="A490" s="1">
        <v>1</v>
      </c>
      <c r="B490" s="1">
        <v>2</v>
      </c>
      <c r="C490" s="1">
        <v>1</v>
      </c>
      <c r="D490" s="1" t="s">
        <v>24</v>
      </c>
      <c r="E490" s="1">
        <v>84</v>
      </c>
      <c r="F490" s="1">
        <v>2E-3</v>
      </c>
      <c r="G490" s="1">
        <v>286524</v>
      </c>
      <c r="H490" s="1">
        <f t="shared" si="3"/>
        <v>3411</v>
      </c>
      <c r="I490" s="1">
        <v>6.0839999999999996</v>
      </c>
      <c r="J490" s="1">
        <v>3.2850000000000001</v>
      </c>
      <c r="K490" s="1">
        <v>7.1150000000000002</v>
      </c>
      <c r="L490" s="1">
        <v>10.401</v>
      </c>
      <c r="M490" s="1" t="s">
        <v>41</v>
      </c>
    </row>
    <row r="491" spans="1:13" ht="13" x14ac:dyDescent="0.15">
      <c r="A491" s="1">
        <v>1</v>
      </c>
      <c r="B491" s="1">
        <v>2</v>
      </c>
      <c r="C491" s="1">
        <v>2</v>
      </c>
      <c r="D491" s="1" t="s">
        <v>24</v>
      </c>
      <c r="E491" s="1">
        <v>93</v>
      </c>
      <c r="F491" s="1">
        <v>3.0000000000000001E-3</v>
      </c>
      <c r="G491" s="1">
        <v>123394</v>
      </c>
      <c r="H491" s="1">
        <f t="shared" si="3"/>
        <v>1326.8172043010752</v>
      </c>
      <c r="I491" s="1">
        <v>2.8330000000000002</v>
      </c>
      <c r="J491" s="1">
        <v>3.3450000000000002</v>
      </c>
      <c r="K491" s="1">
        <v>3.306</v>
      </c>
      <c r="L491" s="1">
        <v>6.6509999999999998</v>
      </c>
      <c r="M491" s="1" t="s">
        <v>41</v>
      </c>
    </row>
    <row r="492" spans="1:13" ht="13" x14ac:dyDescent="0.15">
      <c r="A492" s="1">
        <v>1</v>
      </c>
      <c r="B492" s="1">
        <v>2</v>
      </c>
      <c r="C492" s="1">
        <v>3</v>
      </c>
      <c r="D492" s="1" t="s">
        <v>24</v>
      </c>
      <c r="E492" s="1">
        <v>130</v>
      </c>
      <c r="F492" s="1">
        <v>8.9999999999999993E-3</v>
      </c>
      <c r="G492" s="1">
        <v>433358</v>
      </c>
      <c r="H492" s="1">
        <f t="shared" si="3"/>
        <v>3333.523076923077</v>
      </c>
      <c r="I492" s="1">
        <v>34.805999999999997</v>
      </c>
      <c r="J492" s="1">
        <v>3.097</v>
      </c>
      <c r="K492" s="1">
        <v>36.652999999999999</v>
      </c>
      <c r="L492" s="1">
        <v>39.75</v>
      </c>
      <c r="M492" s="1" t="s">
        <v>41</v>
      </c>
    </row>
    <row r="493" spans="1:13" ht="13" x14ac:dyDescent="0.15">
      <c r="A493" s="1">
        <v>1</v>
      </c>
      <c r="B493" s="1">
        <v>2</v>
      </c>
      <c r="C493" s="1">
        <v>4</v>
      </c>
      <c r="D493" s="1" t="s">
        <v>24</v>
      </c>
      <c r="E493" s="1">
        <v>102</v>
      </c>
      <c r="F493" s="1">
        <v>4.0000000000000001E-3</v>
      </c>
      <c r="G493" s="1">
        <v>231263</v>
      </c>
      <c r="H493" s="1">
        <f t="shared" si="3"/>
        <v>2267.2843137254904</v>
      </c>
      <c r="I493" s="1">
        <v>7.3550000000000004</v>
      </c>
      <c r="J493" s="1">
        <v>3.016</v>
      </c>
      <c r="K493" s="1">
        <v>8.3650000000000002</v>
      </c>
      <c r="L493" s="1">
        <v>11.382</v>
      </c>
      <c r="M493" s="1" t="s">
        <v>41</v>
      </c>
    </row>
    <row r="494" spans="1:13" ht="13" x14ac:dyDescent="0.15">
      <c r="A494" s="1">
        <v>1</v>
      </c>
      <c r="B494" s="1">
        <v>2</v>
      </c>
      <c r="C494" s="1">
        <v>5</v>
      </c>
      <c r="D494" s="1" t="s">
        <v>24</v>
      </c>
      <c r="E494" s="1">
        <v>63</v>
      </c>
      <c r="F494" s="1">
        <v>2E-3</v>
      </c>
      <c r="G494" s="1">
        <v>124067</v>
      </c>
      <c r="H494" s="1">
        <f t="shared" si="3"/>
        <v>1969.3174603174602</v>
      </c>
      <c r="I494" s="1">
        <v>2.2669999999999999</v>
      </c>
      <c r="J494" s="1">
        <v>3.5649999999999999</v>
      </c>
      <c r="K494" s="1">
        <v>2.6440000000000001</v>
      </c>
      <c r="L494" s="1">
        <v>6.2080000000000002</v>
      </c>
      <c r="M494" s="1" t="s">
        <v>41</v>
      </c>
    </row>
    <row r="495" spans="1:13" ht="13" x14ac:dyDescent="0.15">
      <c r="A495" s="1">
        <v>1</v>
      </c>
      <c r="B495" s="1">
        <v>2</v>
      </c>
      <c r="C495" s="1">
        <v>6</v>
      </c>
      <c r="D495" s="1" t="s">
        <v>24</v>
      </c>
      <c r="E495" s="1">
        <v>74</v>
      </c>
      <c r="F495" s="1">
        <v>2E-3</v>
      </c>
      <c r="G495" s="1">
        <v>191347</v>
      </c>
      <c r="H495" s="1">
        <f t="shared" si="3"/>
        <v>2585.7702702702704</v>
      </c>
      <c r="I495" s="1">
        <v>3.161</v>
      </c>
      <c r="J495" s="1">
        <v>3.3980000000000001</v>
      </c>
      <c r="K495" s="1">
        <v>3.8090000000000002</v>
      </c>
      <c r="L495" s="1">
        <v>7.2069999999999999</v>
      </c>
      <c r="M495" s="1" t="s">
        <v>41</v>
      </c>
    </row>
    <row r="496" spans="1:13" ht="13" x14ac:dyDescent="0.15">
      <c r="A496" s="1">
        <v>1</v>
      </c>
      <c r="B496" s="1">
        <v>2</v>
      </c>
      <c r="C496" s="1">
        <v>7</v>
      </c>
      <c r="D496" s="1" t="s">
        <v>24</v>
      </c>
      <c r="E496" s="1">
        <v>92</v>
      </c>
      <c r="F496" s="1">
        <v>3.0000000000000001E-3</v>
      </c>
      <c r="G496" s="1">
        <v>265455</v>
      </c>
      <c r="H496" s="1">
        <f t="shared" si="3"/>
        <v>2885.3804347826085</v>
      </c>
      <c r="I496" s="1">
        <v>5.6989999999999998</v>
      </c>
      <c r="J496" s="1">
        <v>3.1259999999999999</v>
      </c>
      <c r="K496" s="1">
        <v>6.9429999999999996</v>
      </c>
      <c r="L496" s="1">
        <v>10.069000000000001</v>
      </c>
      <c r="M496" s="1" t="s">
        <v>41</v>
      </c>
    </row>
    <row r="497" spans="1:13" ht="13" x14ac:dyDescent="0.15">
      <c r="A497" s="1">
        <v>1</v>
      </c>
      <c r="B497" s="1">
        <v>2</v>
      </c>
      <c r="C497" s="1">
        <v>8</v>
      </c>
      <c r="D497" s="1" t="s">
        <v>24</v>
      </c>
      <c r="E497" s="1">
        <v>115</v>
      </c>
      <c r="F497" s="1">
        <v>5.0000000000000001E-3</v>
      </c>
      <c r="G497" s="1">
        <v>303654</v>
      </c>
      <c r="H497" s="1">
        <f t="shared" si="3"/>
        <v>2640.4695652173914</v>
      </c>
      <c r="I497" s="1">
        <v>12.234999999999999</v>
      </c>
      <c r="J497" s="1">
        <v>3.2</v>
      </c>
      <c r="K497" s="1">
        <v>13.608000000000001</v>
      </c>
      <c r="L497" s="1">
        <v>16.806999999999999</v>
      </c>
      <c r="M497" s="1" t="s">
        <v>41</v>
      </c>
    </row>
    <row r="498" spans="1:13" ht="13" x14ac:dyDescent="0.15">
      <c r="A498" s="1">
        <v>1</v>
      </c>
      <c r="B498" s="1">
        <v>2</v>
      </c>
      <c r="C498" s="1">
        <v>9</v>
      </c>
      <c r="D498" s="1" t="s">
        <v>16</v>
      </c>
      <c r="E498" s="1">
        <v>119</v>
      </c>
      <c r="F498" s="1">
        <v>8.0000000000000002E-3</v>
      </c>
      <c r="G498" s="1">
        <v>441938</v>
      </c>
      <c r="H498" s="1">
        <f t="shared" si="3"/>
        <v>3713.7647058823532</v>
      </c>
      <c r="I498" s="1">
        <v>29.486000000000001</v>
      </c>
      <c r="J498" s="1">
        <v>2.948</v>
      </c>
      <c r="K498" s="1">
        <v>31.422999999999998</v>
      </c>
      <c r="L498" s="1">
        <v>34.371000000000002</v>
      </c>
      <c r="M498" s="1" t="s">
        <v>41</v>
      </c>
    </row>
    <row r="499" spans="1:13" ht="13" x14ac:dyDescent="0.15">
      <c r="A499" s="1">
        <v>1</v>
      </c>
      <c r="B499" s="1">
        <v>2</v>
      </c>
      <c r="C499" s="1">
        <v>10</v>
      </c>
      <c r="D499" s="1" t="s">
        <v>17</v>
      </c>
      <c r="E499" s="1">
        <v>131</v>
      </c>
      <c r="F499" s="1">
        <v>5.0000000000000001E-3</v>
      </c>
      <c r="G499" s="1">
        <v>387828</v>
      </c>
      <c r="H499" s="1">
        <f t="shared" si="3"/>
        <v>2960.5190839694656</v>
      </c>
      <c r="I499" s="1">
        <v>13.835000000000001</v>
      </c>
      <c r="J499" s="1">
        <v>3.0019999999999998</v>
      </c>
      <c r="K499" s="1">
        <v>15.816000000000001</v>
      </c>
      <c r="L499" s="1">
        <v>18.817</v>
      </c>
      <c r="M499" s="1" t="s">
        <v>41</v>
      </c>
    </row>
    <row r="500" spans="1:13" ht="13" x14ac:dyDescent="0.15">
      <c r="A500" s="1">
        <v>1</v>
      </c>
      <c r="B500" s="1">
        <v>2</v>
      </c>
      <c r="C500" s="1">
        <v>11</v>
      </c>
      <c r="D500" s="1" t="s">
        <v>18</v>
      </c>
      <c r="E500" s="1">
        <v>101</v>
      </c>
      <c r="F500" s="1">
        <v>8.9999999999999993E-3</v>
      </c>
      <c r="G500" s="1">
        <v>363782</v>
      </c>
      <c r="H500" s="1">
        <f t="shared" si="3"/>
        <v>3601.8019801980199</v>
      </c>
      <c r="I500" s="1">
        <v>28.283999999999999</v>
      </c>
      <c r="J500" s="1">
        <v>2.8690000000000002</v>
      </c>
      <c r="K500" s="1">
        <v>30.277000000000001</v>
      </c>
      <c r="L500" s="1">
        <v>33.146000000000001</v>
      </c>
      <c r="M500" s="1" t="s">
        <v>41</v>
      </c>
    </row>
    <row r="501" spans="1:13" ht="13" x14ac:dyDescent="0.15">
      <c r="A501" s="1">
        <v>1</v>
      </c>
      <c r="B501" s="1">
        <v>2</v>
      </c>
      <c r="C501" s="1">
        <v>12</v>
      </c>
      <c r="D501" s="1" t="s">
        <v>24</v>
      </c>
      <c r="E501" s="1">
        <v>107</v>
      </c>
      <c r="F501" s="1">
        <v>3.0000000000000001E-3</v>
      </c>
      <c r="G501" s="1">
        <v>293749</v>
      </c>
      <c r="H501" s="1">
        <f t="shared" si="3"/>
        <v>2745.3177570093458</v>
      </c>
      <c r="I501" s="1">
        <v>6.3529999999999998</v>
      </c>
      <c r="J501" s="1">
        <v>2.9710000000000001</v>
      </c>
      <c r="K501" s="1">
        <v>7.5839999999999996</v>
      </c>
      <c r="L501" s="1">
        <v>10.555</v>
      </c>
      <c r="M501" s="1" t="s">
        <v>41</v>
      </c>
    </row>
    <row r="502" spans="1:13" ht="13" x14ac:dyDescent="0.15">
      <c r="A502" s="1">
        <v>1</v>
      </c>
      <c r="B502" s="1">
        <v>2</v>
      </c>
      <c r="C502" s="1">
        <v>13</v>
      </c>
      <c r="D502" s="1" t="s">
        <v>24</v>
      </c>
      <c r="E502" s="1">
        <v>64</v>
      </c>
      <c r="F502" s="1">
        <v>2E-3</v>
      </c>
      <c r="G502" s="1">
        <v>209604</v>
      </c>
      <c r="H502" s="1">
        <f t="shared" si="3"/>
        <v>3275.0625</v>
      </c>
      <c r="I502" s="1">
        <v>4.5049999999999999</v>
      </c>
      <c r="J502" s="1">
        <v>3.1150000000000002</v>
      </c>
      <c r="K502" s="1">
        <v>5.4850000000000003</v>
      </c>
      <c r="L502" s="1">
        <v>8.5990000000000002</v>
      </c>
      <c r="M502" s="1" t="s">
        <v>41</v>
      </c>
    </row>
    <row r="503" spans="1:13" ht="13" x14ac:dyDescent="0.15">
      <c r="A503" s="1">
        <v>1</v>
      </c>
      <c r="B503" s="1">
        <v>2</v>
      </c>
      <c r="C503" s="1">
        <v>14</v>
      </c>
      <c r="D503" s="1" t="s">
        <v>24</v>
      </c>
      <c r="E503" s="1">
        <v>81</v>
      </c>
      <c r="F503" s="1">
        <v>2E-3</v>
      </c>
      <c r="G503" s="1">
        <v>229123</v>
      </c>
      <c r="H503" s="1">
        <f t="shared" si="3"/>
        <v>2828.679012345679</v>
      </c>
      <c r="I503" s="1">
        <v>5.585</v>
      </c>
      <c r="J503" s="1">
        <v>3.081</v>
      </c>
      <c r="K503" s="1">
        <v>6.8460000000000001</v>
      </c>
      <c r="L503" s="1">
        <v>9.9269999999999996</v>
      </c>
      <c r="M503" s="1" t="s">
        <v>41</v>
      </c>
    </row>
    <row r="504" spans="1:13" ht="13" x14ac:dyDescent="0.15">
      <c r="A504" s="1">
        <v>1</v>
      </c>
      <c r="B504" s="1">
        <v>2</v>
      </c>
      <c r="C504" s="1">
        <v>15</v>
      </c>
      <c r="D504" s="1" t="s">
        <v>24</v>
      </c>
      <c r="E504" s="1">
        <v>83</v>
      </c>
      <c r="F504" s="1">
        <v>2E-3</v>
      </c>
      <c r="G504" s="1">
        <v>204732</v>
      </c>
      <c r="H504" s="1">
        <f t="shared" si="3"/>
        <v>2466.6506024096384</v>
      </c>
      <c r="I504" s="1">
        <v>4.1959999999999997</v>
      </c>
      <c r="J504" s="1">
        <v>3.0649999999999999</v>
      </c>
      <c r="K504" s="1">
        <v>5.2460000000000004</v>
      </c>
      <c r="L504" s="1">
        <v>8.3109999999999999</v>
      </c>
      <c r="M504" s="1" t="s">
        <v>41</v>
      </c>
    </row>
    <row r="505" spans="1:13" ht="13" x14ac:dyDescent="0.15">
      <c r="A505" s="1">
        <v>1</v>
      </c>
      <c r="B505" s="1">
        <v>2</v>
      </c>
      <c r="C505" s="1">
        <v>16</v>
      </c>
      <c r="D505" s="1" t="s">
        <v>24</v>
      </c>
      <c r="E505" s="1">
        <v>95</v>
      </c>
      <c r="F505" s="1">
        <v>4.0000000000000001E-3</v>
      </c>
      <c r="G505" s="1">
        <v>275716</v>
      </c>
      <c r="H505" s="1">
        <f t="shared" si="3"/>
        <v>2902.2736842105264</v>
      </c>
      <c r="I505" s="1">
        <v>11.603</v>
      </c>
      <c r="J505" s="1">
        <v>2.97</v>
      </c>
      <c r="K505" s="1">
        <v>12.872</v>
      </c>
      <c r="L505" s="1">
        <v>15.840999999999999</v>
      </c>
      <c r="M505" s="1" t="s">
        <v>41</v>
      </c>
    </row>
    <row r="506" spans="1:13" ht="13" x14ac:dyDescent="0.15">
      <c r="A506" s="1">
        <v>1</v>
      </c>
      <c r="B506" s="1">
        <v>2</v>
      </c>
      <c r="C506" s="1">
        <v>17</v>
      </c>
      <c r="D506" s="1" t="s">
        <v>24</v>
      </c>
      <c r="E506" s="1">
        <v>84</v>
      </c>
      <c r="F506" s="1">
        <v>3.0000000000000001E-3</v>
      </c>
      <c r="G506" s="1">
        <v>223359</v>
      </c>
      <c r="H506" s="1">
        <f t="shared" si="3"/>
        <v>2659.0357142857142</v>
      </c>
      <c r="I506" s="1">
        <v>5.8540000000000001</v>
      </c>
      <c r="J506" s="1">
        <v>2.9279999999999999</v>
      </c>
      <c r="K506" s="1">
        <v>6.6840000000000002</v>
      </c>
      <c r="L506" s="1">
        <v>9.6110000000000007</v>
      </c>
      <c r="M506" s="1" t="s">
        <v>41</v>
      </c>
    </row>
    <row r="507" spans="1:13" ht="13" x14ac:dyDescent="0.15">
      <c r="A507" s="1">
        <v>1</v>
      </c>
      <c r="B507" s="1">
        <v>2</v>
      </c>
      <c r="C507" s="1">
        <v>18</v>
      </c>
      <c r="D507" s="1" t="s">
        <v>24</v>
      </c>
      <c r="E507" s="1">
        <v>84</v>
      </c>
      <c r="F507" s="1">
        <v>3.0000000000000001E-3</v>
      </c>
      <c r="G507" s="1">
        <v>238642</v>
      </c>
      <c r="H507" s="1">
        <f t="shared" si="3"/>
        <v>2840.9761904761904</v>
      </c>
      <c r="I507" s="1">
        <v>6.2430000000000003</v>
      </c>
      <c r="J507" s="1">
        <v>3.54</v>
      </c>
      <c r="K507" s="1">
        <v>6.9740000000000002</v>
      </c>
      <c r="L507" s="1">
        <v>10.513999999999999</v>
      </c>
      <c r="M507" s="1" t="s">
        <v>41</v>
      </c>
    </row>
    <row r="508" spans="1:13" ht="13" x14ac:dyDescent="0.15">
      <c r="A508" s="1">
        <v>1</v>
      </c>
      <c r="B508" s="1">
        <v>2</v>
      </c>
      <c r="C508" s="1">
        <v>19</v>
      </c>
      <c r="D508" s="1" t="s">
        <v>24</v>
      </c>
      <c r="E508" s="1">
        <v>95</v>
      </c>
      <c r="F508" s="1">
        <v>3.0000000000000001E-3</v>
      </c>
      <c r="G508" s="1">
        <v>239790</v>
      </c>
      <c r="H508" s="1">
        <f t="shared" si="3"/>
        <v>2524.1052631578946</v>
      </c>
      <c r="I508" s="1">
        <v>5.0620000000000003</v>
      </c>
      <c r="J508" s="1">
        <v>3.2959999999999998</v>
      </c>
      <c r="K508" s="1">
        <v>5.883</v>
      </c>
      <c r="L508" s="1">
        <v>9.1790000000000003</v>
      </c>
      <c r="M508" s="1" t="s">
        <v>41</v>
      </c>
    </row>
    <row r="509" spans="1:13" ht="13" x14ac:dyDescent="0.15">
      <c r="A509" s="1">
        <v>1</v>
      </c>
      <c r="B509" s="1">
        <v>2</v>
      </c>
      <c r="C509" s="1">
        <v>20</v>
      </c>
      <c r="D509" s="1" t="s">
        <v>24</v>
      </c>
      <c r="E509" s="1">
        <v>97</v>
      </c>
      <c r="F509" s="1">
        <v>3.0000000000000001E-3</v>
      </c>
      <c r="G509" s="1">
        <v>217104</v>
      </c>
      <c r="H509" s="1">
        <f t="shared" si="3"/>
        <v>2238.1855670103091</v>
      </c>
      <c r="I509" s="1">
        <v>5.423</v>
      </c>
      <c r="J509" s="1">
        <v>3.1139999999999999</v>
      </c>
      <c r="K509" s="1">
        <v>6.1840000000000002</v>
      </c>
      <c r="L509" s="1">
        <v>9.2970000000000006</v>
      </c>
      <c r="M509" s="1" t="s">
        <v>41</v>
      </c>
    </row>
    <row r="510" spans="1:13" ht="13" x14ac:dyDescent="0.15">
      <c r="A510" s="1">
        <v>2</v>
      </c>
      <c r="B510" s="1">
        <v>1</v>
      </c>
      <c r="C510" s="1">
        <v>1</v>
      </c>
      <c r="D510" s="1" t="s">
        <v>24</v>
      </c>
      <c r="E510" s="1">
        <v>84</v>
      </c>
      <c r="F510" s="1">
        <v>4.0000000000000001E-3</v>
      </c>
      <c r="G510" s="1">
        <v>293462</v>
      </c>
      <c r="H510" s="1">
        <f t="shared" si="3"/>
        <v>3493.5952380952381</v>
      </c>
      <c r="I510" s="1">
        <v>16.63</v>
      </c>
      <c r="J510" s="1">
        <v>3.2879999999999998</v>
      </c>
      <c r="K510" s="1">
        <v>17.652000000000001</v>
      </c>
      <c r="L510" s="1">
        <v>20.94</v>
      </c>
      <c r="M510" s="1" t="s">
        <v>41</v>
      </c>
    </row>
    <row r="511" spans="1:13" ht="13" x14ac:dyDescent="0.15">
      <c r="A511" s="1">
        <v>2</v>
      </c>
      <c r="B511" s="1">
        <v>1</v>
      </c>
      <c r="C511" s="1">
        <v>2</v>
      </c>
      <c r="D511" s="1" t="s">
        <v>24</v>
      </c>
      <c r="E511" s="1">
        <v>93</v>
      </c>
      <c r="F511" s="1">
        <v>3.0000000000000001E-3</v>
      </c>
      <c r="G511" s="1">
        <v>187588</v>
      </c>
      <c r="H511" s="1">
        <f t="shared" si="3"/>
        <v>2017.0752688172042</v>
      </c>
      <c r="I511" s="1">
        <v>4.0670000000000002</v>
      </c>
      <c r="J511" s="1">
        <v>3.2679999999999998</v>
      </c>
      <c r="K511" s="1">
        <v>4.8230000000000004</v>
      </c>
      <c r="L511" s="1">
        <v>8.0909999999999993</v>
      </c>
      <c r="M511" s="1" t="s">
        <v>41</v>
      </c>
    </row>
    <row r="512" spans="1:13" ht="13" x14ac:dyDescent="0.15">
      <c r="A512" s="1">
        <v>2</v>
      </c>
      <c r="B512" s="1">
        <v>1</v>
      </c>
      <c r="C512" s="1">
        <v>3</v>
      </c>
      <c r="D512" s="1" t="s">
        <v>24</v>
      </c>
      <c r="E512" s="1">
        <v>130</v>
      </c>
      <c r="F512" s="1">
        <v>8.0000000000000002E-3</v>
      </c>
      <c r="G512" s="1">
        <v>392232</v>
      </c>
      <c r="H512" s="1">
        <f t="shared" ref="H512:H703" si="4">G512/E512</f>
        <v>3017.1692307692306</v>
      </c>
      <c r="I512" s="1">
        <v>25.748999999999999</v>
      </c>
      <c r="J512" s="1">
        <v>3.0609999999999999</v>
      </c>
      <c r="K512" s="1">
        <v>27.745999999999999</v>
      </c>
      <c r="L512" s="1">
        <v>30.806999999999999</v>
      </c>
      <c r="M512" s="1" t="s">
        <v>41</v>
      </c>
    </row>
    <row r="513" spans="1:13" ht="13" x14ac:dyDescent="0.15">
      <c r="A513" s="1">
        <v>2</v>
      </c>
      <c r="B513" s="1">
        <v>1</v>
      </c>
      <c r="C513" s="1">
        <v>4</v>
      </c>
      <c r="D513" s="1" t="s">
        <v>24</v>
      </c>
      <c r="E513" s="1">
        <v>102</v>
      </c>
      <c r="F513" s="1">
        <v>3.0000000000000001E-3</v>
      </c>
      <c r="G513" s="1">
        <v>247824</v>
      </c>
      <c r="H513" s="1">
        <f t="shared" si="4"/>
        <v>2429.6470588235293</v>
      </c>
      <c r="I513" s="1">
        <v>4.1120000000000001</v>
      </c>
      <c r="J513" s="1">
        <v>3.0190000000000001</v>
      </c>
      <c r="K513" s="1">
        <v>5.1689999999999996</v>
      </c>
      <c r="L513" s="1">
        <v>8.1880000000000006</v>
      </c>
      <c r="M513" s="1" t="s">
        <v>41</v>
      </c>
    </row>
    <row r="514" spans="1:13" ht="13" x14ac:dyDescent="0.15">
      <c r="A514" s="1">
        <v>2</v>
      </c>
      <c r="B514" s="1">
        <v>1</v>
      </c>
      <c r="C514" s="1">
        <v>5</v>
      </c>
      <c r="D514" s="1" t="s">
        <v>24</v>
      </c>
      <c r="E514" s="1">
        <v>63</v>
      </c>
      <c r="F514" s="1">
        <v>1E-3</v>
      </c>
      <c r="G514" s="1">
        <v>163779</v>
      </c>
      <c r="H514" s="1">
        <f t="shared" si="4"/>
        <v>2599.6666666666665</v>
      </c>
      <c r="I514" s="1">
        <v>2.645</v>
      </c>
      <c r="J514" s="1">
        <v>3.5830000000000002</v>
      </c>
      <c r="K514" s="1">
        <v>3.153</v>
      </c>
      <c r="L514" s="1">
        <v>6.7359999999999998</v>
      </c>
      <c r="M514" s="1" t="s">
        <v>41</v>
      </c>
    </row>
    <row r="515" spans="1:13" ht="13" x14ac:dyDescent="0.15">
      <c r="A515" s="1">
        <v>2</v>
      </c>
      <c r="B515" s="1">
        <v>1</v>
      </c>
      <c r="C515" s="1">
        <v>6</v>
      </c>
      <c r="D515" s="1" t="s">
        <v>24</v>
      </c>
      <c r="E515" s="1">
        <v>74</v>
      </c>
      <c r="F515" s="1">
        <v>2E-3</v>
      </c>
      <c r="G515" s="1">
        <v>131017</v>
      </c>
      <c r="H515" s="1">
        <f t="shared" si="4"/>
        <v>1770.5</v>
      </c>
      <c r="I515" s="1">
        <v>2.3210000000000002</v>
      </c>
      <c r="J515" s="1">
        <v>3.3940000000000001</v>
      </c>
      <c r="K515" s="1">
        <v>2.8540000000000001</v>
      </c>
      <c r="L515" s="1">
        <v>6.2480000000000002</v>
      </c>
      <c r="M515" s="1" t="s">
        <v>41</v>
      </c>
    </row>
    <row r="516" spans="1:13" ht="13" x14ac:dyDescent="0.15">
      <c r="A516" s="1">
        <v>2</v>
      </c>
      <c r="B516" s="1">
        <v>1</v>
      </c>
      <c r="C516" s="1">
        <v>7</v>
      </c>
      <c r="D516" s="1" t="s">
        <v>24</v>
      </c>
      <c r="E516" s="1">
        <v>92</v>
      </c>
      <c r="F516" s="1">
        <v>3.0000000000000001E-3</v>
      </c>
      <c r="G516" s="1">
        <v>269358</v>
      </c>
      <c r="H516" s="1">
        <f t="shared" si="4"/>
        <v>2927.804347826087</v>
      </c>
      <c r="I516" s="1">
        <v>6.9530000000000003</v>
      </c>
      <c r="J516" s="1">
        <v>3.1120000000000001</v>
      </c>
      <c r="K516" s="1">
        <v>8.1470000000000002</v>
      </c>
      <c r="L516" s="1">
        <v>11.259</v>
      </c>
      <c r="M516" s="1" t="s">
        <v>41</v>
      </c>
    </row>
    <row r="517" spans="1:13" ht="13" x14ac:dyDescent="0.15">
      <c r="A517" s="1">
        <v>2</v>
      </c>
      <c r="B517" s="1">
        <v>1</v>
      </c>
      <c r="C517" s="1">
        <v>8</v>
      </c>
      <c r="D517" s="1" t="s">
        <v>24</v>
      </c>
      <c r="E517" s="1">
        <v>115</v>
      </c>
      <c r="F517" s="1">
        <v>3.0000000000000001E-3</v>
      </c>
      <c r="G517" s="1">
        <v>289698</v>
      </c>
      <c r="H517" s="1">
        <f t="shared" si="4"/>
        <v>2519.1130434782608</v>
      </c>
      <c r="I517" s="1">
        <v>5.8879999999999999</v>
      </c>
      <c r="J517" s="1">
        <v>3.1760000000000002</v>
      </c>
      <c r="K517" s="1">
        <v>7.1260000000000003</v>
      </c>
      <c r="L517" s="1">
        <v>10.302</v>
      </c>
      <c r="M517" s="1" t="s">
        <v>41</v>
      </c>
    </row>
    <row r="518" spans="1:13" ht="13" x14ac:dyDescent="0.15">
      <c r="A518" s="1">
        <v>2</v>
      </c>
      <c r="B518" s="1">
        <v>1</v>
      </c>
      <c r="C518" s="1">
        <v>9</v>
      </c>
      <c r="D518" s="1" t="s">
        <v>25</v>
      </c>
      <c r="E518" s="1">
        <v>119</v>
      </c>
      <c r="F518" s="1">
        <v>8.0000000000000002E-3</v>
      </c>
      <c r="G518" s="1">
        <v>410947</v>
      </c>
      <c r="H518" s="1">
        <f t="shared" si="4"/>
        <v>3453.3361344537816</v>
      </c>
      <c r="I518" s="1">
        <v>30.777000000000001</v>
      </c>
      <c r="J518" s="1">
        <v>3.0539999999999998</v>
      </c>
      <c r="K518" s="1">
        <v>32.557000000000002</v>
      </c>
      <c r="L518" s="1">
        <v>35.610999999999997</v>
      </c>
      <c r="M518" s="1" t="s">
        <v>41</v>
      </c>
    </row>
    <row r="519" spans="1:13" ht="13" x14ac:dyDescent="0.15">
      <c r="A519" s="1">
        <v>2</v>
      </c>
      <c r="B519" s="1">
        <v>1</v>
      </c>
      <c r="C519" s="1">
        <v>10</v>
      </c>
      <c r="D519" s="1" t="s">
        <v>17</v>
      </c>
      <c r="E519" s="1">
        <v>131</v>
      </c>
      <c r="F519" s="1">
        <v>7.0000000000000001E-3</v>
      </c>
      <c r="G519" s="1">
        <v>364694</v>
      </c>
      <c r="H519" s="1">
        <f t="shared" si="4"/>
        <v>2783.9236641221373</v>
      </c>
      <c r="I519" s="1">
        <v>17.391999999999999</v>
      </c>
      <c r="J519" s="1">
        <v>3.0409999999999999</v>
      </c>
      <c r="K519" s="1">
        <v>19.199000000000002</v>
      </c>
      <c r="L519" s="1">
        <v>22.24</v>
      </c>
      <c r="M519" s="1" t="s">
        <v>41</v>
      </c>
    </row>
    <row r="520" spans="1:13" ht="13" x14ac:dyDescent="0.15">
      <c r="A520" s="1">
        <v>2</v>
      </c>
      <c r="B520" s="1">
        <v>1</v>
      </c>
      <c r="C520" s="1">
        <v>11</v>
      </c>
      <c r="D520" s="1" t="s">
        <v>24</v>
      </c>
      <c r="E520" s="1">
        <v>101</v>
      </c>
      <c r="F520" s="1">
        <v>5.0000000000000001E-3</v>
      </c>
      <c r="G520" s="1">
        <v>363446</v>
      </c>
      <c r="H520" s="1">
        <f t="shared" si="4"/>
        <v>3598.4752475247524</v>
      </c>
      <c r="I520" s="1">
        <v>15.441000000000001</v>
      </c>
      <c r="J520" s="1">
        <v>2.8860000000000001</v>
      </c>
      <c r="K520" s="1">
        <v>17.257000000000001</v>
      </c>
      <c r="L520" s="1">
        <v>20.143000000000001</v>
      </c>
      <c r="M520" s="1" t="s">
        <v>41</v>
      </c>
    </row>
    <row r="521" spans="1:13" ht="13" x14ac:dyDescent="0.15">
      <c r="A521" s="1">
        <v>2</v>
      </c>
      <c r="B521" s="1">
        <v>1</v>
      </c>
      <c r="C521" s="1">
        <v>12</v>
      </c>
      <c r="D521" s="1" t="s">
        <v>24</v>
      </c>
      <c r="E521" s="1">
        <v>107</v>
      </c>
      <c r="F521" s="1">
        <v>4.0000000000000001E-3</v>
      </c>
      <c r="G521" s="1">
        <v>288223</v>
      </c>
      <c r="H521" s="1">
        <f t="shared" si="4"/>
        <v>2693.6728971962616</v>
      </c>
      <c r="I521" s="1">
        <v>7.5190000000000001</v>
      </c>
      <c r="J521" s="1">
        <v>3.0030000000000001</v>
      </c>
      <c r="K521" s="1">
        <v>9.0210000000000008</v>
      </c>
      <c r="L521" s="1">
        <v>12.023999999999999</v>
      </c>
      <c r="M521" s="1" t="s">
        <v>41</v>
      </c>
    </row>
    <row r="522" spans="1:13" ht="13" x14ac:dyDescent="0.15">
      <c r="A522" s="1">
        <v>2</v>
      </c>
      <c r="B522" s="1">
        <v>1</v>
      </c>
      <c r="C522" s="1">
        <v>13</v>
      </c>
      <c r="D522" s="1" t="s">
        <v>24</v>
      </c>
      <c r="E522" s="1">
        <v>64</v>
      </c>
      <c r="F522" s="1">
        <v>2E-3</v>
      </c>
      <c r="G522" s="1">
        <v>219043</v>
      </c>
      <c r="H522" s="1">
        <f t="shared" si="4"/>
        <v>3422.546875</v>
      </c>
      <c r="I522" s="1">
        <v>4.4660000000000002</v>
      </c>
      <c r="J522" s="1">
        <v>3.137</v>
      </c>
      <c r="K522" s="1">
        <v>5.492</v>
      </c>
      <c r="L522" s="1">
        <v>8.6289999999999996</v>
      </c>
      <c r="M522" s="1" t="s">
        <v>41</v>
      </c>
    </row>
    <row r="523" spans="1:13" ht="13" x14ac:dyDescent="0.15">
      <c r="A523" s="1">
        <v>2</v>
      </c>
      <c r="B523" s="1">
        <v>1</v>
      </c>
      <c r="C523" s="1">
        <v>14</v>
      </c>
      <c r="D523" s="1" t="s">
        <v>24</v>
      </c>
      <c r="E523" s="1">
        <v>81</v>
      </c>
      <c r="F523" s="1">
        <v>2E-3</v>
      </c>
      <c r="G523" s="1">
        <v>223447</v>
      </c>
      <c r="H523" s="1">
        <f t="shared" si="4"/>
        <v>2758.6049382716051</v>
      </c>
      <c r="I523" s="1">
        <v>4.6719999999999997</v>
      </c>
      <c r="J523" s="1">
        <v>3.1139999999999999</v>
      </c>
      <c r="K523" s="1">
        <v>5.8479999999999999</v>
      </c>
      <c r="L523" s="1">
        <v>8.9610000000000003</v>
      </c>
      <c r="M523" s="1" t="s">
        <v>41</v>
      </c>
    </row>
    <row r="524" spans="1:13" ht="13" x14ac:dyDescent="0.15">
      <c r="A524" s="1">
        <v>2</v>
      </c>
      <c r="B524" s="1">
        <v>1</v>
      </c>
      <c r="C524" s="1">
        <v>15</v>
      </c>
      <c r="D524" s="1" t="s">
        <v>24</v>
      </c>
      <c r="E524" s="1">
        <v>83</v>
      </c>
      <c r="F524" s="1">
        <v>2E-3</v>
      </c>
      <c r="G524" s="1">
        <v>185779</v>
      </c>
      <c r="H524" s="1">
        <f t="shared" si="4"/>
        <v>2238.3012048192772</v>
      </c>
      <c r="I524" s="1">
        <v>3.956</v>
      </c>
      <c r="J524" s="1">
        <v>3.0880000000000001</v>
      </c>
      <c r="K524" s="1">
        <v>4.7300000000000004</v>
      </c>
      <c r="L524" s="1">
        <v>7.8179999999999996</v>
      </c>
      <c r="M524" s="1" t="s">
        <v>41</v>
      </c>
    </row>
    <row r="525" spans="1:13" ht="13" x14ac:dyDescent="0.15">
      <c r="A525" s="1">
        <v>2</v>
      </c>
      <c r="B525" s="1">
        <v>1</v>
      </c>
      <c r="C525" s="1">
        <v>16</v>
      </c>
      <c r="D525" s="1" t="s">
        <v>24</v>
      </c>
      <c r="E525" s="1">
        <v>95</v>
      </c>
      <c r="F525" s="1">
        <v>3.0000000000000001E-3</v>
      </c>
      <c r="G525" s="1">
        <v>250010</v>
      </c>
      <c r="H525" s="1">
        <f t="shared" si="4"/>
        <v>2631.6842105263158</v>
      </c>
      <c r="I525" s="1">
        <v>8.2590000000000003</v>
      </c>
      <c r="J525" s="1">
        <v>3.0640000000000001</v>
      </c>
      <c r="K525" s="1">
        <v>9.2260000000000009</v>
      </c>
      <c r="L525" s="1">
        <v>12.289</v>
      </c>
      <c r="M525" s="1" t="s">
        <v>41</v>
      </c>
    </row>
    <row r="526" spans="1:13" ht="13" x14ac:dyDescent="0.15">
      <c r="A526" s="1">
        <v>2</v>
      </c>
      <c r="B526" s="1">
        <v>1</v>
      </c>
      <c r="C526" s="1">
        <v>17</v>
      </c>
      <c r="D526" s="1" t="s">
        <v>24</v>
      </c>
      <c r="E526" s="1">
        <v>84</v>
      </c>
      <c r="F526" s="1">
        <v>2E-3</v>
      </c>
      <c r="G526" s="1">
        <v>211615</v>
      </c>
      <c r="H526" s="1">
        <f t="shared" si="4"/>
        <v>2519.2261904761904</v>
      </c>
      <c r="I526" s="1">
        <v>5.2969999999999997</v>
      </c>
      <c r="J526" s="1">
        <v>2.9609999999999999</v>
      </c>
      <c r="K526" s="1">
        <v>6.0880000000000001</v>
      </c>
      <c r="L526" s="1">
        <v>9.0489999999999995</v>
      </c>
      <c r="M526" s="1" t="s">
        <v>41</v>
      </c>
    </row>
    <row r="527" spans="1:13" ht="13" x14ac:dyDescent="0.15">
      <c r="A527" s="1">
        <v>2</v>
      </c>
      <c r="B527" s="1">
        <v>1</v>
      </c>
      <c r="C527" s="1">
        <v>18</v>
      </c>
      <c r="D527" s="1" t="s">
        <v>24</v>
      </c>
      <c r="E527" s="1">
        <v>84</v>
      </c>
      <c r="F527" s="1">
        <v>3.0000000000000001E-3</v>
      </c>
      <c r="G527" s="1">
        <v>237984</v>
      </c>
      <c r="H527" s="1">
        <f t="shared" si="4"/>
        <v>2833.1428571428573</v>
      </c>
      <c r="I527" s="1">
        <v>6.5860000000000003</v>
      </c>
      <c r="J527" s="1">
        <v>3.6030000000000002</v>
      </c>
      <c r="K527" s="1">
        <v>7.3129999999999997</v>
      </c>
      <c r="L527" s="1">
        <v>10.916</v>
      </c>
      <c r="M527" s="1" t="s">
        <v>41</v>
      </c>
    </row>
    <row r="528" spans="1:13" ht="13" x14ac:dyDescent="0.15">
      <c r="A528" s="1">
        <v>2</v>
      </c>
      <c r="B528" s="1">
        <v>1</v>
      </c>
      <c r="C528" s="1">
        <v>19</v>
      </c>
      <c r="D528" s="1" t="s">
        <v>26</v>
      </c>
      <c r="E528" s="1">
        <v>95</v>
      </c>
      <c r="F528" s="1">
        <v>7.0000000000000001E-3</v>
      </c>
      <c r="G528" s="1">
        <v>245719</v>
      </c>
      <c r="H528" s="1">
        <f t="shared" si="4"/>
        <v>2586.5157894736844</v>
      </c>
      <c r="I528" s="1">
        <v>17.559000000000001</v>
      </c>
      <c r="J528" s="1">
        <v>3.2869999999999999</v>
      </c>
      <c r="K528" s="1">
        <v>18.792999999999999</v>
      </c>
      <c r="L528" s="1">
        <v>22.081</v>
      </c>
      <c r="M528" s="1" t="s">
        <v>41</v>
      </c>
    </row>
    <row r="529" spans="1:13" ht="13" x14ac:dyDescent="0.15">
      <c r="A529" s="1">
        <v>2</v>
      </c>
      <c r="B529" s="1">
        <v>1</v>
      </c>
      <c r="C529" s="1">
        <v>20</v>
      </c>
      <c r="D529" s="1" t="s">
        <v>24</v>
      </c>
      <c r="E529" s="1">
        <v>97</v>
      </c>
      <c r="F529" s="1">
        <v>4.0000000000000001E-3</v>
      </c>
      <c r="G529" s="1">
        <v>247482</v>
      </c>
      <c r="H529" s="1">
        <f t="shared" si="4"/>
        <v>2551.3608247422681</v>
      </c>
      <c r="I529" s="1">
        <v>8.3689999999999998</v>
      </c>
      <c r="J529" s="1">
        <v>3.1840000000000002</v>
      </c>
      <c r="K529" s="1">
        <v>9.1859999999999999</v>
      </c>
      <c r="L529" s="1">
        <v>12.37</v>
      </c>
      <c r="M529" s="1" t="s">
        <v>41</v>
      </c>
    </row>
    <row r="530" spans="1:13" ht="13" x14ac:dyDescent="0.15">
      <c r="A530" s="1">
        <v>2</v>
      </c>
      <c r="B530" s="1">
        <v>2</v>
      </c>
      <c r="C530" s="1">
        <v>1</v>
      </c>
      <c r="D530" s="1" t="s">
        <v>24</v>
      </c>
      <c r="E530" s="1">
        <v>231</v>
      </c>
      <c r="F530" s="1">
        <v>1.2999999999999999E-2</v>
      </c>
      <c r="G530" s="1">
        <v>3541413</v>
      </c>
      <c r="H530" s="1">
        <f t="shared" si="4"/>
        <v>15330.792207792209</v>
      </c>
      <c r="I530" s="1">
        <v>205.488</v>
      </c>
      <c r="J530" s="1">
        <v>12.135</v>
      </c>
      <c r="K530" s="1">
        <v>221.761</v>
      </c>
      <c r="L530" s="1">
        <v>233.89599999999999</v>
      </c>
      <c r="M530" s="1" t="s">
        <v>41</v>
      </c>
    </row>
    <row r="531" spans="1:13" ht="13" x14ac:dyDescent="0.15">
      <c r="A531" s="1">
        <v>2</v>
      </c>
      <c r="B531" s="1">
        <v>2</v>
      </c>
      <c r="C531" s="1">
        <v>2</v>
      </c>
      <c r="D531" s="1" t="s">
        <v>24</v>
      </c>
      <c r="E531" s="1">
        <v>221</v>
      </c>
      <c r="F531" s="1">
        <v>8.0000000000000002E-3</v>
      </c>
      <c r="G531" s="1">
        <v>1878144</v>
      </c>
      <c r="H531" s="1">
        <f t="shared" si="4"/>
        <v>8498.3891402714926</v>
      </c>
      <c r="I531" s="1">
        <v>49.423999999999999</v>
      </c>
      <c r="J531" s="1">
        <v>11.984</v>
      </c>
      <c r="K531" s="1">
        <v>58.301000000000002</v>
      </c>
      <c r="L531" s="1">
        <v>70.284000000000006</v>
      </c>
      <c r="M531" s="1" t="s">
        <v>41</v>
      </c>
    </row>
    <row r="532" spans="1:13" ht="13" x14ac:dyDescent="0.15">
      <c r="A532" s="1">
        <v>2</v>
      </c>
      <c r="B532" s="1">
        <v>2</v>
      </c>
      <c r="C532" s="1">
        <v>3</v>
      </c>
      <c r="D532" s="1" t="s">
        <v>24</v>
      </c>
      <c r="E532" s="1">
        <v>381</v>
      </c>
      <c r="F532" s="1">
        <v>2.7E-2</v>
      </c>
      <c r="G532" s="1">
        <v>5317881</v>
      </c>
      <c r="H532" s="1">
        <f t="shared" si="4"/>
        <v>13957.692913385827</v>
      </c>
      <c r="I532" s="1">
        <v>357.45600000000002</v>
      </c>
      <c r="J532" s="1">
        <v>11.368</v>
      </c>
      <c r="K532" s="1">
        <v>379.27699999999999</v>
      </c>
      <c r="L532" s="1">
        <v>390.64499999999998</v>
      </c>
      <c r="M532" s="1" t="s">
        <v>41</v>
      </c>
    </row>
    <row r="533" spans="1:13" ht="13" x14ac:dyDescent="0.15">
      <c r="A533" s="1">
        <v>2</v>
      </c>
      <c r="B533" s="1">
        <v>2</v>
      </c>
      <c r="C533" s="1">
        <v>4</v>
      </c>
      <c r="D533" s="1" t="s">
        <v>19</v>
      </c>
      <c r="E533" s="1">
        <v>314</v>
      </c>
      <c r="F533" s="1">
        <v>2.5999999999999999E-2</v>
      </c>
      <c r="G533" s="1">
        <v>3757398</v>
      </c>
      <c r="H533" s="1">
        <f t="shared" si="4"/>
        <v>11966.235668789808</v>
      </c>
      <c r="I533" s="1">
        <v>292.61399999999998</v>
      </c>
      <c r="J533" s="1">
        <v>11.497</v>
      </c>
      <c r="K533" s="1">
        <v>306.76499999999999</v>
      </c>
      <c r="L533" s="1">
        <v>318.262</v>
      </c>
      <c r="M533" s="1" t="s">
        <v>41</v>
      </c>
    </row>
    <row r="534" spans="1:13" ht="13" x14ac:dyDescent="0.15">
      <c r="A534" s="1">
        <v>2</v>
      </c>
      <c r="B534" s="1">
        <v>2</v>
      </c>
      <c r="C534" s="1">
        <v>5</v>
      </c>
      <c r="D534" s="1" t="s">
        <v>24</v>
      </c>
      <c r="E534" s="1">
        <v>216</v>
      </c>
      <c r="F534" s="1">
        <v>8.9999999999999993E-3</v>
      </c>
      <c r="G534" s="1">
        <v>3003303</v>
      </c>
      <c r="H534" s="1">
        <f t="shared" si="4"/>
        <v>13904.180555555555</v>
      </c>
      <c r="I534" s="1">
        <v>98.899000000000001</v>
      </c>
      <c r="J534" s="1">
        <v>12.379</v>
      </c>
      <c r="K534" s="1">
        <v>108.93899999999999</v>
      </c>
      <c r="L534" s="1">
        <v>121.318</v>
      </c>
      <c r="M534" s="1" t="s">
        <v>41</v>
      </c>
    </row>
    <row r="535" spans="1:13" ht="13" x14ac:dyDescent="0.15">
      <c r="A535" s="1">
        <v>2</v>
      </c>
      <c r="B535" s="1">
        <v>2</v>
      </c>
      <c r="C535" s="1">
        <v>6</v>
      </c>
      <c r="D535" s="1" t="s">
        <v>24</v>
      </c>
      <c r="E535" s="1">
        <v>213</v>
      </c>
      <c r="F535" s="1">
        <v>6.0000000000000001E-3</v>
      </c>
      <c r="G535" s="1">
        <v>2210721</v>
      </c>
      <c r="H535" s="1">
        <f t="shared" si="4"/>
        <v>10378.971830985916</v>
      </c>
      <c r="I535" s="1">
        <v>50.136000000000003</v>
      </c>
      <c r="J535" s="1">
        <v>12.035</v>
      </c>
      <c r="K535" s="1">
        <v>57.444000000000003</v>
      </c>
      <c r="L535" s="1">
        <v>69.477999999999994</v>
      </c>
      <c r="M535" s="1" t="s">
        <v>41</v>
      </c>
    </row>
    <row r="536" spans="1:13" ht="13" x14ac:dyDescent="0.15">
      <c r="A536" s="1">
        <v>2</v>
      </c>
      <c r="B536" s="1">
        <v>2</v>
      </c>
      <c r="C536" s="1">
        <v>7</v>
      </c>
      <c r="D536" s="1" t="s">
        <v>27</v>
      </c>
      <c r="E536" s="1">
        <v>272</v>
      </c>
      <c r="F536" s="1">
        <v>1.2999999999999999E-2</v>
      </c>
      <c r="G536" s="1">
        <v>3332270</v>
      </c>
      <c r="H536" s="1">
        <f t="shared" si="4"/>
        <v>12250.992647058823</v>
      </c>
      <c r="I536" s="1">
        <v>156.03200000000001</v>
      </c>
      <c r="J536" s="1">
        <v>11.930999999999999</v>
      </c>
      <c r="K536" s="1">
        <v>168.65</v>
      </c>
      <c r="L536" s="1">
        <v>180.58199999999999</v>
      </c>
      <c r="M536" s="1" t="s">
        <v>41</v>
      </c>
    </row>
    <row r="537" spans="1:13" ht="13" x14ac:dyDescent="0.15">
      <c r="A537" s="1">
        <v>2</v>
      </c>
      <c r="B537" s="1">
        <v>2</v>
      </c>
      <c r="C537" s="1">
        <v>8</v>
      </c>
      <c r="D537" s="1" t="s">
        <v>24</v>
      </c>
      <c r="E537" s="1">
        <v>364</v>
      </c>
      <c r="F537" s="1">
        <v>1.7999999999999999E-2</v>
      </c>
      <c r="G537" s="1">
        <v>4044195</v>
      </c>
      <c r="H537" s="1">
        <f t="shared" si="4"/>
        <v>11110.425824175823</v>
      </c>
      <c r="I537" s="1">
        <v>191.608</v>
      </c>
      <c r="J537" s="1">
        <v>11.712999999999999</v>
      </c>
      <c r="K537" s="1">
        <v>207.892</v>
      </c>
      <c r="L537" s="1">
        <v>219.60599999999999</v>
      </c>
      <c r="M537" s="1" t="s">
        <v>41</v>
      </c>
    </row>
    <row r="538" spans="1:13" ht="13" x14ac:dyDescent="0.15">
      <c r="A538" s="1">
        <v>2</v>
      </c>
      <c r="B538" s="1">
        <v>2</v>
      </c>
      <c r="C538" s="1">
        <v>9</v>
      </c>
      <c r="D538" s="1" t="s">
        <v>25</v>
      </c>
      <c r="E538" s="1">
        <v>379</v>
      </c>
      <c r="F538" s="1">
        <v>3.5000000000000003E-2</v>
      </c>
      <c r="G538" s="1">
        <v>5703176</v>
      </c>
      <c r="H538" s="1">
        <f t="shared" si="4"/>
        <v>15047.957783641161</v>
      </c>
      <c r="I538" s="1">
        <v>499.73599999999999</v>
      </c>
      <c r="J538" s="1">
        <v>10.936</v>
      </c>
      <c r="K538" s="1">
        <v>525.86400000000003</v>
      </c>
      <c r="L538" s="1">
        <v>536.79999999999995</v>
      </c>
      <c r="M538" s="1" t="s">
        <v>41</v>
      </c>
    </row>
    <row r="539" spans="1:13" ht="13" x14ac:dyDescent="0.15">
      <c r="A539" s="1">
        <v>2</v>
      </c>
      <c r="B539" s="1">
        <v>2</v>
      </c>
      <c r="C539" s="1">
        <v>10</v>
      </c>
      <c r="D539" s="1" t="s">
        <v>20</v>
      </c>
      <c r="E539" s="1">
        <v>358</v>
      </c>
      <c r="F539" s="1">
        <v>1.7000000000000001E-2</v>
      </c>
      <c r="G539" s="1">
        <v>4285912</v>
      </c>
      <c r="H539" s="1">
        <f t="shared" si="4"/>
        <v>11971.82122905028</v>
      </c>
      <c r="I539" s="1">
        <v>193.99700000000001</v>
      </c>
      <c r="J539" s="1">
        <v>11.619</v>
      </c>
      <c r="K539" s="1">
        <v>212.03399999999999</v>
      </c>
      <c r="L539" s="1">
        <v>223.654</v>
      </c>
      <c r="M539" s="1" t="s">
        <v>41</v>
      </c>
    </row>
    <row r="540" spans="1:13" ht="13" x14ac:dyDescent="0.15">
      <c r="A540" s="1">
        <v>2</v>
      </c>
      <c r="B540" s="1">
        <v>2</v>
      </c>
      <c r="C540" s="1">
        <v>11</v>
      </c>
      <c r="D540" s="1" t="s">
        <v>24</v>
      </c>
      <c r="E540" s="1">
        <v>290</v>
      </c>
      <c r="F540" s="1">
        <v>1.7999999999999999E-2</v>
      </c>
      <c r="G540" s="1">
        <v>4281760</v>
      </c>
      <c r="H540" s="1">
        <f t="shared" si="4"/>
        <v>14764.689655172413</v>
      </c>
      <c r="I540" s="1">
        <v>239.26</v>
      </c>
      <c r="J540" s="1">
        <v>11.493</v>
      </c>
      <c r="K540" s="1">
        <v>256.40499999999997</v>
      </c>
      <c r="L540" s="1">
        <v>267.899</v>
      </c>
      <c r="M540" s="1" t="s">
        <v>41</v>
      </c>
    </row>
    <row r="541" spans="1:13" ht="13" x14ac:dyDescent="0.15">
      <c r="A541" s="1">
        <v>2</v>
      </c>
      <c r="B541" s="1">
        <v>2</v>
      </c>
      <c r="C541" s="1">
        <v>12</v>
      </c>
      <c r="D541" s="1" t="s">
        <v>24</v>
      </c>
      <c r="E541" s="1">
        <v>296</v>
      </c>
      <c r="F541" s="1">
        <v>1.4E-2</v>
      </c>
      <c r="G541" s="1">
        <v>3119495</v>
      </c>
      <c r="H541" s="1">
        <f t="shared" si="4"/>
        <v>10538.83445945946</v>
      </c>
      <c r="I541" s="1">
        <v>118.202</v>
      </c>
      <c r="J541" s="1">
        <v>11.349</v>
      </c>
      <c r="K541" s="1">
        <v>130.62</v>
      </c>
      <c r="L541" s="1">
        <v>141.96899999999999</v>
      </c>
      <c r="M541" s="1" t="s">
        <v>41</v>
      </c>
    </row>
    <row r="542" spans="1:13" ht="13" x14ac:dyDescent="0.15">
      <c r="A542" s="1">
        <v>2</v>
      </c>
      <c r="B542" s="1">
        <v>2</v>
      </c>
      <c r="C542" s="1">
        <v>13</v>
      </c>
      <c r="D542" s="1" t="s">
        <v>28</v>
      </c>
      <c r="E542" s="1">
        <v>242</v>
      </c>
      <c r="F542" s="1">
        <v>1.7999999999999999E-2</v>
      </c>
      <c r="G542" s="1">
        <v>3517742</v>
      </c>
      <c r="H542" s="1">
        <f t="shared" si="4"/>
        <v>14536.123966942148</v>
      </c>
      <c r="I542" s="1">
        <v>255.43700000000001</v>
      </c>
      <c r="J542" s="1">
        <v>10.952999999999999</v>
      </c>
      <c r="K542" s="1">
        <v>272.54000000000002</v>
      </c>
      <c r="L542" s="1">
        <v>283.49400000000003</v>
      </c>
      <c r="M542" s="1" t="s">
        <v>41</v>
      </c>
    </row>
    <row r="543" spans="1:13" ht="13" x14ac:dyDescent="0.15">
      <c r="A543" s="1">
        <v>2</v>
      </c>
      <c r="B543" s="1">
        <v>2</v>
      </c>
      <c r="C543" s="1">
        <v>14</v>
      </c>
      <c r="D543" s="1" t="s">
        <v>24</v>
      </c>
      <c r="E543" s="1">
        <v>219</v>
      </c>
      <c r="F543" s="1">
        <v>8.0000000000000002E-3</v>
      </c>
      <c r="G543" s="1">
        <v>2460136</v>
      </c>
      <c r="H543" s="1">
        <f t="shared" si="4"/>
        <v>11233.497716894977</v>
      </c>
      <c r="I543" s="1">
        <v>78.111999999999995</v>
      </c>
      <c r="J543" s="1">
        <v>11.612</v>
      </c>
      <c r="K543" s="1">
        <v>87.555999999999997</v>
      </c>
      <c r="L543" s="1">
        <v>99.167000000000002</v>
      </c>
      <c r="M543" s="1" t="s">
        <v>41</v>
      </c>
    </row>
    <row r="544" spans="1:13" ht="13" x14ac:dyDescent="0.15">
      <c r="A544" s="1">
        <v>2</v>
      </c>
      <c r="B544" s="1">
        <v>2</v>
      </c>
      <c r="C544" s="1">
        <v>15</v>
      </c>
      <c r="D544" s="1" t="s">
        <v>24</v>
      </c>
      <c r="E544" s="1">
        <v>219</v>
      </c>
      <c r="F544" s="1">
        <v>6.0000000000000001E-3</v>
      </c>
      <c r="G544" s="1">
        <v>2321200</v>
      </c>
      <c r="H544" s="1">
        <f t="shared" si="4"/>
        <v>10599.086757990868</v>
      </c>
      <c r="I544" s="1">
        <v>51.732999999999997</v>
      </c>
      <c r="J544" s="1">
        <v>11.576000000000001</v>
      </c>
      <c r="K544" s="1">
        <v>59.927</v>
      </c>
      <c r="L544" s="1">
        <v>71.501999999999995</v>
      </c>
      <c r="M544" s="1" t="s">
        <v>41</v>
      </c>
    </row>
    <row r="545" spans="1:13" ht="13" x14ac:dyDescent="0.15">
      <c r="A545" s="1">
        <v>2</v>
      </c>
      <c r="B545" s="1">
        <v>2</v>
      </c>
      <c r="C545" s="1">
        <v>16</v>
      </c>
      <c r="D545" s="1" t="s">
        <v>24</v>
      </c>
      <c r="E545" s="1">
        <v>302</v>
      </c>
      <c r="F545" s="1">
        <v>1.2E-2</v>
      </c>
      <c r="G545" s="1">
        <v>2928900</v>
      </c>
      <c r="H545" s="1">
        <f t="shared" si="4"/>
        <v>9698.3443708609266</v>
      </c>
      <c r="I545" s="1">
        <v>94.757000000000005</v>
      </c>
      <c r="J545" s="1">
        <v>11.315</v>
      </c>
      <c r="K545" s="1">
        <v>110.057</v>
      </c>
      <c r="L545" s="1">
        <v>121.372</v>
      </c>
      <c r="M545" s="1" t="s">
        <v>41</v>
      </c>
    </row>
    <row r="546" spans="1:13" ht="13" x14ac:dyDescent="0.15">
      <c r="A546" s="1">
        <v>2</v>
      </c>
      <c r="B546" s="1">
        <v>2</v>
      </c>
      <c r="C546" s="1">
        <v>17</v>
      </c>
      <c r="D546" s="1" t="s">
        <v>24</v>
      </c>
      <c r="E546" s="1">
        <v>259</v>
      </c>
      <c r="F546" s="1">
        <v>0.01</v>
      </c>
      <c r="G546" s="1">
        <v>3054073</v>
      </c>
      <c r="H546" s="1">
        <f t="shared" si="4"/>
        <v>11791.787644787644</v>
      </c>
      <c r="I546" s="1">
        <v>96.338999999999999</v>
      </c>
      <c r="J546" s="1">
        <v>11.041</v>
      </c>
      <c r="K546" s="1">
        <v>109.825</v>
      </c>
      <c r="L546" s="1">
        <v>120.866</v>
      </c>
      <c r="M546" s="1" t="s">
        <v>41</v>
      </c>
    </row>
    <row r="547" spans="1:13" ht="13" x14ac:dyDescent="0.15">
      <c r="A547" s="1">
        <v>2</v>
      </c>
      <c r="B547" s="1">
        <v>2</v>
      </c>
      <c r="C547" s="1">
        <v>18</v>
      </c>
      <c r="D547" s="1" t="s">
        <v>24</v>
      </c>
      <c r="E547" s="1">
        <v>281</v>
      </c>
      <c r="F547" s="1">
        <v>8.9999999999999993E-3</v>
      </c>
      <c r="G547" s="1">
        <v>3285683</v>
      </c>
      <c r="H547" s="1">
        <f t="shared" si="4"/>
        <v>11692.82206405694</v>
      </c>
      <c r="I547" s="1">
        <v>81.061999999999998</v>
      </c>
      <c r="J547" s="1">
        <v>12.321</v>
      </c>
      <c r="K547" s="1">
        <v>94.631</v>
      </c>
      <c r="L547" s="1">
        <v>106.952</v>
      </c>
      <c r="M547" s="1" t="s">
        <v>41</v>
      </c>
    </row>
    <row r="548" spans="1:13" ht="13" x14ac:dyDescent="0.15">
      <c r="A548" s="1">
        <v>2</v>
      </c>
      <c r="B548" s="1">
        <v>2</v>
      </c>
      <c r="C548" s="1">
        <v>19</v>
      </c>
      <c r="D548" s="1" t="s">
        <v>29</v>
      </c>
      <c r="E548" s="1">
        <v>282</v>
      </c>
      <c r="F548" s="1">
        <v>1.6E-2</v>
      </c>
      <c r="G548" s="1">
        <v>3503069</v>
      </c>
      <c r="H548" s="1">
        <f t="shared" si="4"/>
        <v>12422.2304964539</v>
      </c>
      <c r="I548" s="1">
        <v>198.55</v>
      </c>
      <c r="J548" s="1">
        <v>11.683</v>
      </c>
      <c r="K548" s="1">
        <v>212.827</v>
      </c>
      <c r="L548" s="1">
        <v>224.50899999999999</v>
      </c>
      <c r="M548" s="1" t="s">
        <v>41</v>
      </c>
    </row>
    <row r="549" spans="1:13" ht="13" x14ac:dyDescent="0.15">
      <c r="A549" s="1">
        <v>2</v>
      </c>
      <c r="B549" s="1">
        <v>2</v>
      </c>
      <c r="C549" s="1">
        <v>20</v>
      </c>
      <c r="D549" s="1" t="s">
        <v>24</v>
      </c>
      <c r="E549" s="1">
        <v>296</v>
      </c>
      <c r="F549" s="1">
        <v>1.2999999999999999E-2</v>
      </c>
      <c r="G549" s="1">
        <v>2850379</v>
      </c>
      <c r="H549" s="1">
        <f t="shared" si="4"/>
        <v>9629.6587837837833</v>
      </c>
      <c r="I549" s="1">
        <v>109.259</v>
      </c>
      <c r="J549" s="1">
        <v>11.672000000000001</v>
      </c>
      <c r="K549" s="1">
        <v>120.36799999999999</v>
      </c>
      <c r="L549" s="1">
        <v>132.04</v>
      </c>
      <c r="M549" s="1" t="s">
        <v>41</v>
      </c>
    </row>
    <row r="550" spans="1:13" ht="13" x14ac:dyDescent="0.15">
      <c r="A550" s="1">
        <v>1</v>
      </c>
      <c r="B550" s="1">
        <v>3</v>
      </c>
      <c r="C550" s="1">
        <v>1</v>
      </c>
      <c r="D550" s="1" t="s">
        <v>24</v>
      </c>
      <c r="E550" s="1">
        <v>231</v>
      </c>
      <c r="F550" s="1">
        <v>8.0000000000000002E-3</v>
      </c>
      <c r="G550" s="1">
        <v>3680225</v>
      </c>
      <c r="H550" s="1">
        <f t="shared" si="4"/>
        <v>15931.709956709956</v>
      </c>
      <c r="I550" s="1">
        <v>106.69</v>
      </c>
      <c r="J550" s="1">
        <v>12.154</v>
      </c>
      <c r="K550" s="1">
        <v>123.905</v>
      </c>
      <c r="L550" s="1">
        <v>136.06</v>
      </c>
      <c r="M550" s="1" t="s">
        <v>41</v>
      </c>
    </row>
    <row r="551" spans="1:13" ht="13" x14ac:dyDescent="0.15">
      <c r="A551" s="1">
        <v>1</v>
      </c>
      <c r="B551" s="1">
        <v>3</v>
      </c>
      <c r="C551" s="1">
        <v>2</v>
      </c>
      <c r="D551" s="1" t="s">
        <v>24</v>
      </c>
      <c r="E551" s="1">
        <v>221</v>
      </c>
      <c r="F551" s="1">
        <v>6.0000000000000001E-3</v>
      </c>
      <c r="G551" s="1">
        <v>1581547</v>
      </c>
      <c r="H551" s="1">
        <f t="shared" si="4"/>
        <v>7156.3212669683262</v>
      </c>
      <c r="I551" s="1">
        <v>34.546999999999997</v>
      </c>
      <c r="J551" s="1">
        <v>12.483000000000001</v>
      </c>
      <c r="K551" s="1">
        <v>39.433999999999997</v>
      </c>
      <c r="L551" s="1">
        <v>51.917999999999999</v>
      </c>
      <c r="M551" s="1" t="s">
        <v>41</v>
      </c>
    </row>
    <row r="552" spans="1:13" ht="13" x14ac:dyDescent="0.15">
      <c r="A552" s="1">
        <v>1</v>
      </c>
      <c r="B552" s="1">
        <v>3</v>
      </c>
      <c r="C552" s="1">
        <v>3</v>
      </c>
      <c r="D552" s="1" t="s">
        <v>24</v>
      </c>
      <c r="E552" s="1">
        <v>381</v>
      </c>
      <c r="F552" s="1">
        <v>2.5000000000000001E-2</v>
      </c>
      <c r="G552" s="1">
        <v>5778486</v>
      </c>
      <c r="H552" s="1">
        <f t="shared" si="4"/>
        <v>15166.629921259842</v>
      </c>
      <c r="I552" s="1">
        <v>356.50700000000001</v>
      </c>
      <c r="J552" s="1">
        <v>11.516</v>
      </c>
      <c r="K552" s="1">
        <v>380.08499999999998</v>
      </c>
      <c r="L552" s="1">
        <v>391.60199999999998</v>
      </c>
      <c r="M552" s="1" t="s">
        <v>41</v>
      </c>
    </row>
    <row r="553" spans="1:13" ht="13" x14ac:dyDescent="0.15">
      <c r="A553" s="1">
        <v>1</v>
      </c>
      <c r="B553" s="1">
        <v>3</v>
      </c>
      <c r="C553" s="1">
        <v>4</v>
      </c>
      <c r="D553" s="1" t="s">
        <v>19</v>
      </c>
      <c r="E553" s="1">
        <v>314</v>
      </c>
      <c r="F553" s="1">
        <v>3.1E-2</v>
      </c>
      <c r="G553" s="1">
        <v>3852435</v>
      </c>
      <c r="H553" s="1">
        <f t="shared" si="4"/>
        <v>12268.901273885351</v>
      </c>
      <c r="I553" s="1">
        <v>358.10199999999998</v>
      </c>
      <c r="J553" s="1">
        <v>11.436999999999999</v>
      </c>
      <c r="K553" s="1">
        <v>373.78899999999999</v>
      </c>
      <c r="L553" s="1">
        <v>385.226</v>
      </c>
      <c r="M553" s="1" t="s">
        <v>41</v>
      </c>
    </row>
    <row r="554" spans="1:13" ht="13" x14ac:dyDescent="0.15">
      <c r="A554" s="1">
        <v>1</v>
      </c>
      <c r="B554" s="1">
        <v>3</v>
      </c>
      <c r="C554" s="1">
        <v>5</v>
      </c>
      <c r="D554" s="1" t="s">
        <v>24</v>
      </c>
      <c r="E554" s="1">
        <v>216</v>
      </c>
      <c r="F554" s="1">
        <v>7.0000000000000001E-3</v>
      </c>
      <c r="G554" s="1">
        <v>2680610</v>
      </c>
      <c r="H554" s="1">
        <f t="shared" si="4"/>
        <v>12410.231481481482</v>
      </c>
      <c r="I554" s="1">
        <v>69.102999999999994</v>
      </c>
      <c r="J554" s="1">
        <v>12.198</v>
      </c>
      <c r="K554" s="1">
        <v>82.822999999999993</v>
      </c>
      <c r="L554" s="1">
        <v>95.021000000000001</v>
      </c>
      <c r="M554" s="1" t="s">
        <v>41</v>
      </c>
    </row>
    <row r="555" spans="1:13" ht="13" x14ac:dyDescent="0.15">
      <c r="A555" s="1">
        <v>1</v>
      </c>
      <c r="B555" s="1">
        <v>3</v>
      </c>
      <c r="C555" s="1">
        <v>6</v>
      </c>
      <c r="D555" s="1" t="s">
        <v>24</v>
      </c>
      <c r="E555" s="1">
        <v>213</v>
      </c>
      <c r="F555" s="1">
        <v>5.0000000000000001E-3</v>
      </c>
      <c r="G555" s="1">
        <v>2538394</v>
      </c>
      <c r="H555" s="1">
        <f t="shared" si="4"/>
        <v>11917.342723004695</v>
      </c>
      <c r="I555" s="1">
        <v>48.12</v>
      </c>
      <c r="J555" s="1">
        <v>12.125999999999999</v>
      </c>
      <c r="K555" s="1">
        <v>57.78</v>
      </c>
      <c r="L555" s="1">
        <v>69.906000000000006</v>
      </c>
      <c r="M555" s="1" t="s">
        <v>41</v>
      </c>
    </row>
    <row r="556" spans="1:13" ht="13" x14ac:dyDescent="0.15">
      <c r="A556" s="1">
        <v>1</v>
      </c>
      <c r="B556" s="1">
        <v>3</v>
      </c>
      <c r="C556" s="1">
        <v>7</v>
      </c>
      <c r="D556" s="1" t="s">
        <v>24</v>
      </c>
      <c r="E556" s="1">
        <v>272</v>
      </c>
      <c r="F556" s="1">
        <v>8.0000000000000002E-3</v>
      </c>
      <c r="G556" s="1">
        <v>3234778</v>
      </c>
      <c r="H556" s="1">
        <f t="shared" si="4"/>
        <v>11892.566176470587</v>
      </c>
      <c r="I556" s="1">
        <v>79.790000000000006</v>
      </c>
      <c r="J556" s="1">
        <v>11.959</v>
      </c>
      <c r="K556" s="1">
        <v>91.971000000000004</v>
      </c>
      <c r="L556" s="1">
        <v>103.93</v>
      </c>
      <c r="M556" s="1" t="s">
        <v>41</v>
      </c>
    </row>
    <row r="557" spans="1:13" ht="13" x14ac:dyDescent="0.15">
      <c r="A557" s="1">
        <v>1</v>
      </c>
      <c r="B557" s="1">
        <v>3</v>
      </c>
      <c r="C557" s="1">
        <v>8</v>
      </c>
      <c r="D557" s="1" t="s">
        <v>24</v>
      </c>
      <c r="E557" s="1">
        <v>364</v>
      </c>
      <c r="F557" s="1">
        <v>1.7000000000000001E-2</v>
      </c>
      <c r="G557" s="1">
        <v>4196618</v>
      </c>
      <c r="H557" s="1">
        <f t="shared" si="4"/>
        <v>11529.170329670329</v>
      </c>
      <c r="I557" s="1">
        <v>178.32400000000001</v>
      </c>
      <c r="J557" s="1">
        <v>11.766999999999999</v>
      </c>
      <c r="K557" s="1">
        <v>195.81200000000001</v>
      </c>
      <c r="L557" s="1">
        <v>207.57900000000001</v>
      </c>
      <c r="M557" s="1" t="s">
        <v>41</v>
      </c>
    </row>
    <row r="558" spans="1:13" ht="13" x14ac:dyDescent="0.15">
      <c r="A558" s="1">
        <v>1</v>
      </c>
      <c r="B558" s="1">
        <v>3</v>
      </c>
      <c r="C558" s="1">
        <v>9</v>
      </c>
      <c r="D558" s="1" t="s">
        <v>16</v>
      </c>
      <c r="E558" s="1">
        <v>379</v>
      </c>
      <c r="F558" s="1">
        <v>2.7E-2</v>
      </c>
      <c r="G558" s="1">
        <v>5975533</v>
      </c>
      <c r="H558" s="1">
        <f t="shared" si="4"/>
        <v>15766.57783641161</v>
      </c>
      <c r="I558" s="1">
        <v>426.92899999999997</v>
      </c>
      <c r="J558" s="1">
        <v>11.276</v>
      </c>
      <c r="K558" s="1">
        <v>455.18</v>
      </c>
      <c r="L558" s="1">
        <v>466.45600000000002</v>
      </c>
      <c r="M558" s="1" t="s">
        <v>41</v>
      </c>
    </row>
    <row r="559" spans="1:13" ht="13" x14ac:dyDescent="0.15">
      <c r="A559" s="1">
        <v>1</v>
      </c>
      <c r="B559" s="1">
        <v>3</v>
      </c>
      <c r="C559" s="1">
        <v>10</v>
      </c>
      <c r="D559" s="1" t="s">
        <v>20</v>
      </c>
      <c r="E559" s="1">
        <v>358</v>
      </c>
      <c r="F559" s="1">
        <v>1.2999999999999999E-2</v>
      </c>
      <c r="G559" s="1">
        <v>4695511</v>
      </c>
      <c r="H559" s="1">
        <f t="shared" si="4"/>
        <v>13115.95251396648</v>
      </c>
      <c r="I559" s="1">
        <v>156.387</v>
      </c>
      <c r="J559" s="1">
        <v>11.395</v>
      </c>
      <c r="K559" s="1">
        <v>177.1</v>
      </c>
      <c r="L559" s="1">
        <v>188.495</v>
      </c>
      <c r="M559" s="1" t="s">
        <v>41</v>
      </c>
    </row>
    <row r="560" spans="1:13" ht="13" x14ac:dyDescent="0.15">
      <c r="A560" s="1">
        <v>1</v>
      </c>
      <c r="B560" s="1">
        <v>3</v>
      </c>
      <c r="C560" s="1">
        <v>11</v>
      </c>
      <c r="D560" s="1" t="s">
        <v>18</v>
      </c>
      <c r="E560" s="1">
        <v>290</v>
      </c>
      <c r="F560" s="1">
        <v>2.3E-2</v>
      </c>
      <c r="G560" s="1">
        <v>4395777</v>
      </c>
      <c r="H560" s="1">
        <f t="shared" si="4"/>
        <v>15157.85172413793</v>
      </c>
      <c r="I560" s="1">
        <v>294.82499999999999</v>
      </c>
      <c r="J560" s="1">
        <v>11.599</v>
      </c>
      <c r="K560" s="1">
        <v>312.95299999999997</v>
      </c>
      <c r="L560" s="1">
        <v>324.553</v>
      </c>
      <c r="M560" s="1" t="s">
        <v>41</v>
      </c>
    </row>
    <row r="561" spans="1:13" ht="13" x14ac:dyDescent="0.15">
      <c r="A561" s="1">
        <v>1</v>
      </c>
      <c r="B561" s="1">
        <v>3</v>
      </c>
      <c r="C561" s="1">
        <v>12</v>
      </c>
      <c r="D561" s="1" t="s">
        <v>24</v>
      </c>
      <c r="E561" s="1">
        <v>296</v>
      </c>
      <c r="F561" s="1">
        <v>1.2E-2</v>
      </c>
      <c r="G561" s="1">
        <v>3383205</v>
      </c>
      <c r="H561" s="1">
        <f t="shared" si="4"/>
        <v>11429.746621621622</v>
      </c>
      <c r="I561" s="1">
        <v>113.86799999999999</v>
      </c>
      <c r="J561" s="1">
        <v>11.265000000000001</v>
      </c>
      <c r="K561" s="1">
        <v>127.57</v>
      </c>
      <c r="L561" s="1">
        <v>138.83500000000001</v>
      </c>
      <c r="M561" s="1" t="s">
        <v>41</v>
      </c>
    </row>
    <row r="562" spans="1:13" ht="13" x14ac:dyDescent="0.15">
      <c r="A562" s="1">
        <v>1</v>
      </c>
      <c r="B562" s="1">
        <v>3</v>
      </c>
      <c r="C562" s="1">
        <v>13</v>
      </c>
      <c r="D562" s="1" t="s">
        <v>24</v>
      </c>
      <c r="E562" s="1">
        <v>242</v>
      </c>
      <c r="F562" s="1">
        <v>1.0999999999999999E-2</v>
      </c>
      <c r="G562" s="1">
        <v>3564098</v>
      </c>
      <c r="H562" s="1">
        <f t="shared" si="4"/>
        <v>14727.677685950413</v>
      </c>
      <c r="I562" s="1">
        <v>150.17500000000001</v>
      </c>
      <c r="J562" s="1">
        <v>11.019</v>
      </c>
      <c r="K562" s="1">
        <v>163.41399999999999</v>
      </c>
      <c r="L562" s="1">
        <v>174.43299999999999</v>
      </c>
      <c r="M562" s="1" t="s">
        <v>41</v>
      </c>
    </row>
    <row r="563" spans="1:13" ht="13" x14ac:dyDescent="0.15">
      <c r="A563" s="1">
        <v>1</v>
      </c>
      <c r="B563" s="1">
        <v>3</v>
      </c>
      <c r="C563" s="1">
        <v>14</v>
      </c>
      <c r="D563" s="1" t="s">
        <v>24</v>
      </c>
      <c r="E563" s="1">
        <v>219</v>
      </c>
      <c r="F563" s="1">
        <v>7.0000000000000001E-3</v>
      </c>
      <c r="G563" s="1">
        <v>2553165</v>
      </c>
      <c r="H563" s="1">
        <f t="shared" si="4"/>
        <v>11658.287671232876</v>
      </c>
      <c r="I563" s="1">
        <v>69.144000000000005</v>
      </c>
      <c r="J563" s="1">
        <v>11.696</v>
      </c>
      <c r="K563" s="1">
        <v>78.795000000000002</v>
      </c>
      <c r="L563" s="1">
        <v>90.491</v>
      </c>
      <c r="M563" s="1" t="s">
        <v>41</v>
      </c>
    </row>
    <row r="564" spans="1:13" ht="13" x14ac:dyDescent="0.15">
      <c r="A564" s="1">
        <v>1</v>
      </c>
      <c r="B564" s="1">
        <v>3</v>
      </c>
      <c r="C564" s="1">
        <v>15</v>
      </c>
      <c r="D564" s="1" t="s">
        <v>24</v>
      </c>
      <c r="E564" s="1">
        <v>219</v>
      </c>
      <c r="F564" s="1">
        <v>6.0000000000000001E-3</v>
      </c>
      <c r="G564" s="1">
        <v>2623116</v>
      </c>
      <c r="H564" s="1">
        <f t="shared" si="4"/>
        <v>11977.698630136987</v>
      </c>
      <c r="I564" s="1">
        <v>56.003</v>
      </c>
      <c r="J564" s="1">
        <v>11.483000000000001</v>
      </c>
      <c r="K564" s="1">
        <v>65.786000000000001</v>
      </c>
      <c r="L564" s="1">
        <v>77.269000000000005</v>
      </c>
      <c r="M564" s="1" t="s">
        <v>41</v>
      </c>
    </row>
    <row r="565" spans="1:13" ht="13" x14ac:dyDescent="0.15">
      <c r="A565" s="1">
        <v>1</v>
      </c>
      <c r="B565" s="1">
        <v>3</v>
      </c>
      <c r="C565" s="1">
        <v>16</v>
      </c>
      <c r="D565" s="1" t="s">
        <v>24</v>
      </c>
      <c r="E565" s="1">
        <v>302</v>
      </c>
      <c r="F565" s="1">
        <v>1.4999999999999999E-2</v>
      </c>
      <c r="G565" s="1">
        <v>3241352</v>
      </c>
      <c r="H565" s="1">
        <f t="shared" si="4"/>
        <v>10732.953642384105</v>
      </c>
      <c r="I565" s="1">
        <v>166.91399999999999</v>
      </c>
      <c r="J565" s="1">
        <v>11.33</v>
      </c>
      <c r="K565" s="1">
        <v>179.93299999999999</v>
      </c>
      <c r="L565" s="1">
        <v>191.26400000000001</v>
      </c>
      <c r="M565" s="1" t="s">
        <v>41</v>
      </c>
    </row>
    <row r="566" spans="1:13" ht="13" x14ac:dyDescent="0.15">
      <c r="A566" s="1">
        <v>1</v>
      </c>
      <c r="B566" s="1">
        <v>3</v>
      </c>
      <c r="C566" s="1">
        <v>17</v>
      </c>
      <c r="D566" s="1" t="s">
        <v>24</v>
      </c>
      <c r="E566" s="1">
        <v>259</v>
      </c>
      <c r="F566" s="1">
        <v>0.01</v>
      </c>
      <c r="G566" s="1">
        <v>3117036</v>
      </c>
      <c r="H566" s="1">
        <f t="shared" si="4"/>
        <v>12034.888030888031</v>
      </c>
      <c r="I566" s="1">
        <v>101.599</v>
      </c>
      <c r="J566" s="1">
        <v>11.093</v>
      </c>
      <c r="K566" s="1">
        <v>115.126</v>
      </c>
      <c r="L566" s="1">
        <v>126.21899999999999</v>
      </c>
      <c r="M566" s="1" t="s">
        <v>41</v>
      </c>
    </row>
    <row r="567" spans="1:13" ht="13" x14ac:dyDescent="0.15">
      <c r="A567" s="1">
        <v>1</v>
      </c>
      <c r="B567" s="1">
        <v>3</v>
      </c>
      <c r="C567" s="1">
        <v>18</v>
      </c>
      <c r="D567" s="1" t="s">
        <v>24</v>
      </c>
      <c r="E567" s="1">
        <v>281</v>
      </c>
      <c r="F567" s="1">
        <v>8.0000000000000002E-3</v>
      </c>
      <c r="G567" s="1">
        <v>3228543</v>
      </c>
      <c r="H567" s="1">
        <f t="shared" si="4"/>
        <v>11489.476868327401</v>
      </c>
      <c r="I567" s="1">
        <v>76.016000000000005</v>
      </c>
      <c r="J567" s="1">
        <v>12.199</v>
      </c>
      <c r="K567" s="1">
        <v>90.063000000000002</v>
      </c>
      <c r="L567" s="1">
        <v>102.261</v>
      </c>
      <c r="M567" s="1" t="s">
        <v>41</v>
      </c>
    </row>
    <row r="568" spans="1:13" ht="13" x14ac:dyDescent="0.15">
      <c r="A568" s="1">
        <v>1</v>
      </c>
      <c r="B568" s="1">
        <v>3</v>
      </c>
      <c r="C568" s="1">
        <v>19</v>
      </c>
      <c r="D568" s="1" t="s">
        <v>24</v>
      </c>
      <c r="E568" s="1">
        <v>282</v>
      </c>
      <c r="F568" s="1">
        <v>8.0000000000000002E-3</v>
      </c>
      <c r="G568" s="1">
        <v>3378882</v>
      </c>
      <c r="H568" s="1">
        <f t="shared" si="4"/>
        <v>11981.851063829787</v>
      </c>
      <c r="I568" s="1">
        <v>74.066000000000003</v>
      </c>
      <c r="J568" s="1">
        <v>11.734999999999999</v>
      </c>
      <c r="K568" s="1">
        <v>87.06</v>
      </c>
      <c r="L568" s="1">
        <v>98.795000000000002</v>
      </c>
      <c r="M568" s="1" t="s">
        <v>41</v>
      </c>
    </row>
    <row r="569" spans="1:13" ht="13" x14ac:dyDescent="0.15">
      <c r="A569" s="1">
        <v>1</v>
      </c>
      <c r="B569" s="1">
        <v>3</v>
      </c>
      <c r="C569" s="1">
        <v>20</v>
      </c>
      <c r="D569" s="1" t="s">
        <v>24</v>
      </c>
      <c r="E569" s="1">
        <v>296</v>
      </c>
      <c r="F569" s="1">
        <v>0.01</v>
      </c>
      <c r="G569" s="1">
        <v>2541185</v>
      </c>
      <c r="H569" s="1">
        <f t="shared" si="4"/>
        <v>8585.08445945946</v>
      </c>
      <c r="I569" s="1">
        <v>70.662000000000006</v>
      </c>
      <c r="J569" s="1">
        <v>11.679</v>
      </c>
      <c r="K569" s="1">
        <v>80.733000000000004</v>
      </c>
      <c r="L569" s="1">
        <v>92.412999999999997</v>
      </c>
      <c r="M569" s="1" t="s">
        <v>41</v>
      </c>
    </row>
    <row r="570" spans="1:13" ht="13" x14ac:dyDescent="0.15">
      <c r="A570" s="1">
        <v>3</v>
      </c>
      <c r="B570" s="1">
        <v>1</v>
      </c>
      <c r="C570" s="1">
        <v>1</v>
      </c>
      <c r="D570" s="1" t="s">
        <v>24</v>
      </c>
      <c r="E570" s="1">
        <v>231</v>
      </c>
      <c r="F570" s="1">
        <v>8.0000000000000002E-3</v>
      </c>
      <c r="G570" s="1">
        <v>3540379</v>
      </c>
      <c r="H570" s="1">
        <f t="shared" si="4"/>
        <v>15326.316017316018</v>
      </c>
      <c r="I570" s="1">
        <v>103.449</v>
      </c>
      <c r="J570" s="1">
        <v>12.358000000000001</v>
      </c>
      <c r="K570" s="1">
        <v>119.504</v>
      </c>
      <c r="L570" s="1">
        <v>131.86199999999999</v>
      </c>
      <c r="M570" s="1" t="s">
        <v>41</v>
      </c>
    </row>
    <row r="571" spans="1:13" ht="13" x14ac:dyDescent="0.15">
      <c r="A571" s="1">
        <v>3</v>
      </c>
      <c r="B571" s="1">
        <v>1</v>
      </c>
      <c r="C571" s="1">
        <v>2</v>
      </c>
      <c r="D571" s="1" t="s">
        <v>24</v>
      </c>
      <c r="E571" s="1">
        <v>221</v>
      </c>
      <c r="F571" s="1">
        <v>5.0000000000000001E-3</v>
      </c>
      <c r="G571" s="1">
        <v>1755645</v>
      </c>
      <c r="H571" s="1">
        <f t="shared" si="4"/>
        <v>7944.095022624434</v>
      </c>
      <c r="I571" s="1">
        <v>30.439</v>
      </c>
      <c r="J571" s="1">
        <v>12.092000000000001</v>
      </c>
      <c r="K571" s="1">
        <v>38.348999999999997</v>
      </c>
      <c r="L571" s="1">
        <v>50.441000000000003</v>
      </c>
      <c r="M571" s="1" t="s">
        <v>41</v>
      </c>
    </row>
    <row r="572" spans="1:13" ht="13" x14ac:dyDescent="0.15">
      <c r="A572" s="1">
        <v>3</v>
      </c>
      <c r="B572" s="1">
        <v>1</v>
      </c>
      <c r="C572" s="1">
        <v>3</v>
      </c>
      <c r="D572" s="1" t="s">
        <v>24</v>
      </c>
      <c r="E572" s="1">
        <v>381</v>
      </c>
      <c r="F572" s="1">
        <v>1.7000000000000001E-2</v>
      </c>
      <c r="G572" s="1">
        <v>5402217</v>
      </c>
      <c r="H572" s="1">
        <f t="shared" si="4"/>
        <v>14179.047244094489</v>
      </c>
      <c r="I572" s="1">
        <v>198.48500000000001</v>
      </c>
      <c r="J572" s="1">
        <v>11.432</v>
      </c>
      <c r="K572" s="1">
        <v>220.68700000000001</v>
      </c>
      <c r="L572" s="1">
        <v>232.119</v>
      </c>
      <c r="M572" s="1" t="s">
        <v>41</v>
      </c>
    </row>
    <row r="573" spans="1:13" ht="13" x14ac:dyDescent="0.15">
      <c r="A573" s="1">
        <v>3</v>
      </c>
      <c r="B573" s="1">
        <v>1</v>
      </c>
      <c r="C573" s="1">
        <v>4</v>
      </c>
      <c r="D573" s="1" t="s">
        <v>19</v>
      </c>
      <c r="E573" s="1">
        <v>314</v>
      </c>
      <c r="F573" s="1">
        <v>2.1999999999999999E-2</v>
      </c>
      <c r="G573" s="1">
        <v>3612786</v>
      </c>
      <c r="H573" s="1">
        <f t="shared" si="4"/>
        <v>11505.687898089172</v>
      </c>
      <c r="I573" s="1">
        <v>245.351</v>
      </c>
      <c r="J573" s="1">
        <v>11.238</v>
      </c>
      <c r="K573" s="1">
        <v>263.20999999999998</v>
      </c>
      <c r="L573" s="1">
        <v>274.44799999999998</v>
      </c>
      <c r="M573" s="1" t="s">
        <v>41</v>
      </c>
    </row>
    <row r="574" spans="1:13" ht="13" x14ac:dyDescent="0.15">
      <c r="A574" s="1">
        <v>3</v>
      </c>
      <c r="B574" s="1">
        <v>1</v>
      </c>
      <c r="C574" s="1">
        <v>5</v>
      </c>
      <c r="D574" s="1" t="s">
        <v>24</v>
      </c>
      <c r="E574" s="1">
        <v>216</v>
      </c>
      <c r="F574" s="1">
        <v>0.01</v>
      </c>
      <c r="G574" s="1">
        <v>3053856</v>
      </c>
      <c r="H574" s="1">
        <f t="shared" si="4"/>
        <v>14138.222222222223</v>
      </c>
      <c r="I574" s="1">
        <v>109.102</v>
      </c>
      <c r="J574" s="1">
        <v>12.22</v>
      </c>
      <c r="K574" s="1">
        <v>120.506</v>
      </c>
      <c r="L574" s="1">
        <v>132.727</v>
      </c>
      <c r="M574" s="1" t="s">
        <v>41</v>
      </c>
    </row>
    <row r="575" spans="1:13" ht="13" x14ac:dyDescent="0.15">
      <c r="A575" s="1">
        <v>3</v>
      </c>
      <c r="B575" s="1">
        <v>1</v>
      </c>
      <c r="C575" s="1">
        <v>6</v>
      </c>
      <c r="D575" s="1" t="s">
        <v>24</v>
      </c>
      <c r="E575" s="1">
        <v>213</v>
      </c>
      <c r="F575" s="1">
        <v>6.0000000000000001E-3</v>
      </c>
      <c r="G575" s="1">
        <v>2388845</v>
      </c>
      <c r="H575" s="1">
        <f t="shared" si="4"/>
        <v>11215.234741784037</v>
      </c>
      <c r="I575" s="1">
        <v>49.62</v>
      </c>
      <c r="J575" s="1">
        <v>11.930999999999999</v>
      </c>
      <c r="K575" s="1">
        <v>58.201000000000001</v>
      </c>
      <c r="L575" s="1">
        <v>70.132000000000005</v>
      </c>
      <c r="M575" s="1" t="s">
        <v>41</v>
      </c>
    </row>
    <row r="576" spans="1:13" ht="13" x14ac:dyDescent="0.15">
      <c r="A576" s="1">
        <v>3</v>
      </c>
      <c r="B576" s="1">
        <v>1</v>
      </c>
      <c r="C576" s="1">
        <v>7</v>
      </c>
      <c r="D576" s="1" t="s">
        <v>27</v>
      </c>
      <c r="E576" s="1">
        <v>272</v>
      </c>
      <c r="F576" s="1">
        <v>1.2999999999999999E-2</v>
      </c>
      <c r="G576" s="1">
        <v>3229649</v>
      </c>
      <c r="H576" s="1">
        <f t="shared" si="4"/>
        <v>11873.70955882353</v>
      </c>
      <c r="I576" s="1">
        <v>160.55000000000001</v>
      </c>
      <c r="J576" s="1">
        <v>11.819000000000001</v>
      </c>
      <c r="K576" s="1">
        <v>172.56100000000001</v>
      </c>
      <c r="L576" s="1">
        <v>184.38</v>
      </c>
      <c r="M576" s="1" t="s">
        <v>41</v>
      </c>
    </row>
    <row r="577" spans="1:13" ht="13" x14ac:dyDescent="0.15">
      <c r="A577" s="1">
        <v>3</v>
      </c>
      <c r="B577" s="1">
        <v>1</v>
      </c>
      <c r="C577" s="1">
        <v>8</v>
      </c>
      <c r="D577" s="1" t="s">
        <v>24</v>
      </c>
      <c r="E577" s="1">
        <v>364</v>
      </c>
      <c r="F577" s="1">
        <v>1.4E-2</v>
      </c>
      <c r="G577" s="1">
        <v>3875764</v>
      </c>
      <c r="H577" s="1">
        <f t="shared" si="4"/>
        <v>10647.703296703297</v>
      </c>
      <c r="I577" s="1">
        <v>154.36799999999999</v>
      </c>
      <c r="J577" s="1">
        <v>11.778</v>
      </c>
      <c r="K577" s="1">
        <v>169.59299999999999</v>
      </c>
      <c r="L577" s="1">
        <v>181.37100000000001</v>
      </c>
      <c r="M577" s="1" t="s">
        <v>41</v>
      </c>
    </row>
    <row r="578" spans="1:13" ht="13" x14ac:dyDescent="0.15">
      <c r="A578" s="1">
        <v>3</v>
      </c>
      <c r="B578" s="1">
        <v>1</v>
      </c>
      <c r="C578" s="1">
        <v>9</v>
      </c>
      <c r="D578" s="1" t="s">
        <v>24</v>
      </c>
      <c r="E578" s="1">
        <v>379</v>
      </c>
      <c r="F578" s="1">
        <v>2.5000000000000001E-2</v>
      </c>
      <c r="G578" s="1">
        <v>5586502</v>
      </c>
      <c r="H578" s="1">
        <f t="shared" si="4"/>
        <v>14740.110817941952</v>
      </c>
      <c r="I578" s="1">
        <v>325.62700000000001</v>
      </c>
      <c r="J578" s="1">
        <v>11.048999999999999</v>
      </c>
      <c r="K578" s="1">
        <v>350.57499999999999</v>
      </c>
      <c r="L578" s="1">
        <v>361.62400000000002</v>
      </c>
      <c r="M578" s="1" t="s">
        <v>41</v>
      </c>
    </row>
    <row r="579" spans="1:13" ht="13" x14ac:dyDescent="0.15">
      <c r="A579" s="1">
        <v>3</v>
      </c>
      <c r="B579" s="1">
        <v>1</v>
      </c>
      <c r="C579" s="1">
        <v>10</v>
      </c>
      <c r="D579" s="1" t="s">
        <v>20</v>
      </c>
      <c r="E579" s="1">
        <v>358</v>
      </c>
      <c r="F579" s="1">
        <v>1.2999999999999999E-2</v>
      </c>
      <c r="G579" s="1">
        <v>4033914</v>
      </c>
      <c r="H579" s="1">
        <f t="shared" si="4"/>
        <v>11267.916201117318</v>
      </c>
      <c r="I579" s="1">
        <v>118.035</v>
      </c>
      <c r="J579" s="1">
        <v>11.641999999999999</v>
      </c>
      <c r="K579" s="1">
        <v>134.25700000000001</v>
      </c>
      <c r="L579" s="1">
        <v>145.899</v>
      </c>
      <c r="M579" s="1" t="s">
        <v>41</v>
      </c>
    </row>
    <row r="580" spans="1:13" ht="13" x14ac:dyDescent="0.15">
      <c r="A580" s="1">
        <v>3</v>
      </c>
      <c r="B580" s="1">
        <v>1</v>
      </c>
      <c r="C580" s="1">
        <v>11</v>
      </c>
      <c r="D580" s="1" t="s">
        <v>24</v>
      </c>
      <c r="E580" s="1">
        <v>290</v>
      </c>
      <c r="F580" s="1">
        <v>1.4E-2</v>
      </c>
      <c r="G580" s="1">
        <v>4308826</v>
      </c>
      <c r="H580" s="1">
        <f t="shared" si="4"/>
        <v>14858.020689655172</v>
      </c>
      <c r="I580" s="1">
        <v>188.81299999999999</v>
      </c>
      <c r="J580" s="1">
        <v>11.542</v>
      </c>
      <c r="K580" s="1">
        <v>209.65</v>
      </c>
      <c r="L580" s="1">
        <v>221.19200000000001</v>
      </c>
      <c r="M580" s="1" t="s">
        <v>41</v>
      </c>
    </row>
    <row r="581" spans="1:13" ht="13" x14ac:dyDescent="0.15">
      <c r="A581" s="1">
        <v>3</v>
      </c>
      <c r="B581" s="1">
        <v>1</v>
      </c>
      <c r="C581" s="1">
        <v>12</v>
      </c>
      <c r="D581" s="1" t="s">
        <v>24</v>
      </c>
      <c r="E581" s="1">
        <v>296</v>
      </c>
      <c r="F581" s="1">
        <v>0.01</v>
      </c>
      <c r="G581" s="1">
        <v>3321475</v>
      </c>
      <c r="H581" s="1">
        <f t="shared" si="4"/>
        <v>11221.199324324325</v>
      </c>
      <c r="I581" s="1">
        <v>82.718999999999994</v>
      </c>
      <c r="J581" s="1">
        <v>11.269</v>
      </c>
      <c r="K581" s="1">
        <v>95.713999999999999</v>
      </c>
      <c r="L581" s="1">
        <v>106.983</v>
      </c>
      <c r="M581" s="1" t="s">
        <v>41</v>
      </c>
    </row>
    <row r="582" spans="1:13" ht="13" x14ac:dyDescent="0.15">
      <c r="A582" s="1">
        <v>3</v>
      </c>
      <c r="B582" s="1">
        <v>1</v>
      </c>
      <c r="C582" s="1">
        <v>13</v>
      </c>
      <c r="D582" s="1" t="s">
        <v>42</v>
      </c>
      <c r="E582" s="1">
        <v>242</v>
      </c>
      <c r="F582" s="1">
        <v>1.7000000000000001E-2</v>
      </c>
      <c r="G582" s="1">
        <v>3573819</v>
      </c>
      <c r="H582" s="1">
        <f t="shared" si="4"/>
        <v>14767.847107438016</v>
      </c>
      <c r="I582" s="1">
        <v>232.46700000000001</v>
      </c>
      <c r="J582" s="1">
        <v>11.276999999999999</v>
      </c>
      <c r="K582" s="1">
        <v>246.02099999999999</v>
      </c>
      <c r="L582" s="1">
        <v>257.298</v>
      </c>
      <c r="M582" s="1" t="s">
        <v>41</v>
      </c>
    </row>
    <row r="583" spans="1:13" ht="13" x14ac:dyDescent="0.15">
      <c r="A583" s="1">
        <v>3</v>
      </c>
      <c r="B583" s="1">
        <v>1</v>
      </c>
      <c r="C583" s="1">
        <v>14</v>
      </c>
      <c r="D583" s="1" t="s">
        <v>24</v>
      </c>
      <c r="E583" s="1">
        <v>219</v>
      </c>
      <c r="F583" s="1">
        <v>7.0000000000000001E-3</v>
      </c>
      <c r="G583" s="1">
        <v>2291279</v>
      </c>
      <c r="H583" s="1">
        <f t="shared" si="4"/>
        <v>10462.461187214612</v>
      </c>
      <c r="I583" s="1">
        <v>62.667999999999999</v>
      </c>
      <c r="J583" s="1">
        <v>11.576000000000001</v>
      </c>
      <c r="K583" s="1">
        <v>71.215000000000003</v>
      </c>
      <c r="L583" s="1">
        <v>82.792000000000002</v>
      </c>
      <c r="M583" s="1" t="s">
        <v>41</v>
      </c>
    </row>
    <row r="584" spans="1:13" ht="13" x14ac:dyDescent="0.15">
      <c r="A584" s="1">
        <v>3</v>
      </c>
      <c r="B584" s="1">
        <v>1</v>
      </c>
      <c r="C584" s="1">
        <v>15</v>
      </c>
      <c r="D584" s="1" t="s">
        <v>24</v>
      </c>
      <c r="E584" s="1">
        <v>219</v>
      </c>
      <c r="F584" s="1">
        <v>7.0000000000000001E-3</v>
      </c>
      <c r="G584" s="1">
        <v>2300473</v>
      </c>
      <c r="H584" s="1">
        <f t="shared" si="4"/>
        <v>10504.44292237443</v>
      </c>
      <c r="I584" s="1">
        <v>59.497999999999998</v>
      </c>
      <c r="J584" s="1">
        <v>11.558999999999999</v>
      </c>
      <c r="K584" s="1">
        <v>70.057000000000002</v>
      </c>
      <c r="L584" s="1">
        <v>81.616</v>
      </c>
      <c r="M584" s="1" t="s">
        <v>41</v>
      </c>
    </row>
    <row r="585" spans="1:13" ht="13" x14ac:dyDescent="0.15">
      <c r="A585" s="1">
        <v>3</v>
      </c>
      <c r="B585" s="1">
        <v>1</v>
      </c>
      <c r="C585" s="1">
        <v>16</v>
      </c>
      <c r="D585" s="1" t="s">
        <v>24</v>
      </c>
      <c r="E585" s="1">
        <v>302</v>
      </c>
      <c r="F585" s="1">
        <v>0.01</v>
      </c>
      <c r="G585" s="1">
        <v>3035165</v>
      </c>
      <c r="H585" s="1">
        <f t="shared" si="4"/>
        <v>10050.215231788079</v>
      </c>
      <c r="I585" s="1">
        <v>66.224000000000004</v>
      </c>
      <c r="J585" s="1">
        <v>11.441000000000001</v>
      </c>
      <c r="K585" s="1">
        <v>82.119</v>
      </c>
      <c r="L585" s="1">
        <v>93.558999999999997</v>
      </c>
      <c r="M585" s="1" t="s">
        <v>41</v>
      </c>
    </row>
    <row r="586" spans="1:13" ht="13" x14ac:dyDescent="0.15">
      <c r="A586" s="1">
        <v>3</v>
      </c>
      <c r="B586" s="1">
        <v>1</v>
      </c>
      <c r="C586" s="1">
        <v>17</v>
      </c>
      <c r="D586" s="1" t="s">
        <v>24</v>
      </c>
      <c r="E586" s="1">
        <v>259</v>
      </c>
      <c r="F586" s="1">
        <v>1.0999999999999999E-2</v>
      </c>
      <c r="G586" s="1">
        <v>3043547</v>
      </c>
      <c r="H586" s="1">
        <f t="shared" si="4"/>
        <v>11751.146718146718</v>
      </c>
      <c r="I586" s="1">
        <v>138.821</v>
      </c>
      <c r="J586" s="1">
        <v>10.927</v>
      </c>
      <c r="K586" s="1">
        <v>151.47399999999999</v>
      </c>
      <c r="L586" s="1">
        <v>162.40100000000001</v>
      </c>
      <c r="M586" s="1" t="s">
        <v>41</v>
      </c>
    </row>
    <row r="587" spans="1:13" ht="13" x14ac:dyDescent="0.15">
      <c r="A587" s="1">
        <v>3</v>
      </c>
      <c r="B587" s="1">
        <v>1</v>
      </c>
      <c r="C587" s="1">
        <v>18</v>
      </c>
      <c r="D587" s="1" t="s">
        <v>24</v>
      </c>
      <c r="E587" s="1">
        <v>281</v>
      </c>
      <c r="F587" s="1">
        <v>8.9999999999999993E-3</v>
      </c>
      <c r="G587" s="1">
        <v>3252526</v>
      </c>
      <c r="H587" s="1">
        <f t="shared" si="4"/>
        <v>11574.825622775801</v>
      </c>
      <c r="I587" s="1">
        <v>84.462000000000003</v>
      </c>
      <c r="J587" s="1">
        <v>12.404</v>
      </c>
      <c r="K587" s="1">
        <v>98.236000000000004</v>
      </c>
      <c r="L587" s="1">
        <v>110.64</v>
      </c>
      <c r="M587" s="1" t="s">
        <v>41</v>
      </c>
    </row>
    <row r="588" spans="1:13" ht="13" x14ac:dyDescent="0.15">
      <c r="A588" s="1">
        <v>3</v>
      </c>
      <c r="B588" s="1">
        <v>1</v>
      </c>
      <c r="C588" s="1">
        <v>19</v>
      </c>
      <c r="D588" s="1" t="s">
        <v>24</v>
      </c>
      <c r="E588" s="1">
        <v>282</v>
      </c>
      <c r="F588" s="1">
        <v>1.2E-2</v>
      </c>
      <c r="G588" s="1">
        <v>3589803</v>
      </c>
      <c r="H588" s="1">
        <f t="shared" si="4"/>
        <v>12729.797872340425</v>
      </c>
      <c r="I588" s="1">
        <v>146.57499999999999</v>
      </c>
      <c r="J588" s="1">
        <v>11.92</v>
      </c>
      <c r="K588" s="1">
        <v>162.16800000000001</v>
      </c>
      <c r="L588" s="1">
        <v>174.08799999999999</v>
      </c>
      <c r="M588" s="1" t="s">
        <v>41</v>
      </c>
    </row>
    <row r="589" spans="1:13" ht="13" x14ac:dyDescent="0.15">
      <c r="A589" s="1">
        <v>3</v>
      </c>
      <c r="B589" s="1">
        <v>1</v>
      </c>
      <c r="C589" s="1">
        <v>20</v>
      </c>
      <c r="D589" s="1" t="s">
        <v>24</v>
      </c>
      <c r="E589" s="1">
        <v>296</v>
      </c>
      <c r="F589" s="1">
        <v>1.2E-2</v>
      </c>
      <c r="G589" s="1">
        <v>3003059</v>
      </c>
      <c r="H589" s="1">
        <f t="shared" si="4"/>
        <v>10145.469594594595</v>
      </c>
      <c r="I589" s="1">
        <v>103.313</v>
      </c>
      <c r="J589" s="1">
        <v>11.833</v>
      </c>
      <c r="K589" s="1">
        <v>114.816</v>
      </c>
      <c r="L589" s="1">
        <v>126.649</v>
      </c>
      <c r="M589" s="1" t="s">
        <v>41</v>
      </c>
    </row>
    <row r="590" spans="1:13" ht="13" x14ac:dyDescent="0.15">
      <c r="A590" s="1">
        <v>1</v>
      </c>
      <c r="B590" s="1">
        <v>4</v>
      </c>
      <c r="C590" s="1">
        <v>1</v>
      </c>
      <c r="D590" s="1" t="s">
        <v>24</v>
      </c>
      <c r="E590" s="1">
        <v>534</v>
      </c>
      <c r="F590" s="1">
        <v>9.8000000000000004E-2</v>
      </c>
      <c r="G590" s="1">
        <v>26272391</v>
      </c>
      <c r="H590" s="1">
        <f t="shared" si="4"/>
        <v>49199.234082397001</v>
      </c>
      <c r="I590" s="1">
        <v>856.06299999999999</v>
      </c>
      <c r="J590" s="1">
        <v>33.058</v>
      </c>
      <c r="K590" s="1">
        <v>957.625</v>
      </c>
      <c r="L590" s="1">
        <v>990.70500000000004</v>
      </c>
      <c r="M590" s="1" t="s">
        <v>41</v>
      </c>
    </row>
    <row r="591" spans="1:13" ht="13" x14ac:dyDescent="0.15">
      <c r="A591" s="1">
        <v>1</v>
      </c>
      <c r="B591" s="1">
        <v>4</v>
      </c>
      <c r="C591" s="1">
        <v>2</v>
      </c>
      <c r="D591" s="1" t="s">
        <v>24</v>
      </c>
      <c r="E591" s="1">
        <v>449</v>
      </c>
      <c r="F591" s="1">
        <v>4.5999999999999999E-2</v>
      </c>
      <c r="G591" s="1">
        <v>12381044</v>
      </c>
      <c r="H591" s="1">
        <f t="shared" si="4"/>
        <v>27574.708240534521</v>
      </c>
      <c r="I591" s="1">
        <v>419.61200000000002</v>
      </c>
      <c r="J591" s="1">
        <v>32.283999999999999</v>
      </c>
      <c r="K591" s="1">
        <v>465.02100000000002</v>
      </c>
      <c r="L591" s="1">
        <v>497.30599999999998</v>
      </c>
      <c r="M591" s="1" t="s">
        <v>41</v>
      </c>
    </row>
    <row r="592" spans="1:13" ht="13" x14ac:dyDescent="0.15">
      <c r="A592" s="1">
        <v>1</v>
      </c>
      <c r="B592" s="1">
        <v>4</v>
      </c>
      <c r="C592" s="1">
        <v>3</v>
      </c>
      <c r="D592" s="1" t="s">
        <v>24</v>
      </c>
      <c r="E592" s="1">
        <v>878</v>
      </c>
      <c r="F592" s="1">
        <v>0.24299999999999999</v>
      </c>
      <c r="G592" s="1">
        <v>36741614</v>
      </c>
      <c r="H592" s="1">
        <f t="shared" si="4"/>
        <v>41846.94077448747</v>
      </c>
      <c r="I592" s="1">
        <v>2110.6370000000002</v>
      </c>
      <c r="J592" s="1">
        <v>31.108000000000001</v>
      </c>
      <c r="K592" s="1">
        <v>2287.9349999999999</v>
      </c>
      <c r="L592" s="1">
        <v>2319.0439999999999</v>
      </c>
      <c r="M592" s="1" t="s">
        <v>41</v>
      </c>
    </row>
    <row r="593" spans="1:13" ht="13" x14ac:dyDescent="0.15">
      <c r="A593" s="1">
        <v>1</v>
      </c>
      <c r="B593" s="1">
        <v>4</v>
      </c>
      <c r="C593" s="1">
        <v>4</v>
      </c>
      <c r="D593" s="1" t="s">
        <v>19</v>
      </c>
      <c r="E593" s="1">
        <v>678</v>
      </c>
      <c r="F593" s="1">
        <v>0.09</v>
      </c>
      <c r="G593" s="1">
        <v>22800145</v>
      </c>
      <c r="H593" s="1">
        <f t="shared" si="4"/>
        <v>33628.532448377584</v>
      </c>
      <c r="I593" s="1">
        <v>1798.961</v>
      </c>
      <c r="J593" s="1">
        <v>31.669</v>
      </c>
      <c r="K593" s="1">
        <v>1887.288</v>
      </c>
      <c r="L593" s="1">
        <v>1918.9590000000001</v>
      </c>
      <c r="M593" s="1" t="s">
        <v>41</v>
      </c>
    </row>
    <row r="594" spans="1:13" ht="13" x14ac:dyDescent="0.15">
      <c r="A594" s="1">
        <v>1</v>
      </c>
      <c r="B594" s="1">
        <v>4</v>
      </c>
      <c r="C594" s="1">
        <v>5</v>
      </c>
      <c r="D594" s="1" t="s">
        <v>24</v>
      </c>
      <c r="E594" s="1">
        <v>524</v>
      </c>
      <c r="F594" s="1">
        <v>6.7000000000000004E-2</v>
      </c>
      <c r="G594" s="1">
        <v>14887723</v>
      </c>
      <c r="H594" s="1">
        <f t="shared" si="4"/>
        <v>28411.685114503816</v>
      </c>
      <c r="I594" s="1">
        <v>403.15100000000001</v>
      </c>
      <c r="J594" s="1">
        <v>33.000999999999998</v>
      </c>
      <c r="K594" s="1">
        <v>450.315</v>
      </c>
      <c r="L594" s="1">
        <v>483.31900000000002</v>
      </c>
      <c r="M594" s="1" t="s">
        <v>41</v>
      </c>
    </row>
    <row r="595" spans="1:13" ht="13" x14ac:dyDescent="0.15">
      <c r="A595" s="1">
        <v>1</v>
      </c>
      <c r="B595" s="1">
        <v>4</v>
      </c>
      <c r="C595" s="1">
        <v>6</v>
      </c>
      <c r="D595" s="1" t="s">
        <v>24</v>
      </c>
      <c r="E595" s="1">
        <v>555</v>
      </c>
      <c r="F595" s="1">
        <v>0.06</v>
      </c>
      <c r="G595" s="1">
        <v>17275066</v>
      </c>
      <c r="H595" s="1">
        <f t="shared" si="4"/>
        <v>31126.245045045045</v>
      </c>
      <c r="I595" s="1">
        <v>373.87799999999999</v>
      </c>
      <c r="J595" s="1">
        <v>32.262</v>
      </c>
      <c r="K595" s="1">
        <v>432.05200000000002</v>
      </c>
      <c r="L595" s="1">
        <v>464.31700000000001</v>
      </c>
      <c r="M595" s="1" t="s">
        <v>41</v>
      </c>
    </row>
    <row r="596" spans="1:13" ht="13" x14ac:dyDescent="0.15">
      <c r="A596" s="1">
        <v>1</v>
      </c>
      <c r="B596" s="1">
        <v>4</v>
      </c>
      <c r="C596" s="1">
        <v>7</v>
      </c>
      <c r="D596" s="1" t="s">
        <v>24</v>
      </c>
      <c r="E596" s="1">
        <v>643</v>
      </c>
      <c r="F596" s="1">
        <v>3.7999999999999999E-2</v>
      </c>
      <c r="G596" s="1">
        <v>23181000</v>
      </c>
      <c r="H596" s="1">
        <f t="shared" si="4"/>
        <v>36051.32192846034</v>
      </c>
      <c r="I596" s="1">
        <v>1087.1890000000001</v>
      </c>
      <c r="J596" s="1">
        <v>32.734000000000002</v>
      </c>
      <c r="K596" s="1">
        <v>1193.9949999999999</v>
      </c>
      <c r="L596" s="1">
        <v>1226.731</v>
      </c>
      <c r="M596" s="1" t="s">
        <v>41</v>
      </c>
    </row>
    <row r="597" spans="1:13" ht="13" x14ac:dyDescent="0.15">
      <c r="A597" s="1">
        <v>1</v>
      </c>
      <c r="B597" s="1">
        <v>4</v>
      </c>
      <c r="C597" s="1">
        <v>8</v>
      </c>
      <c r="D597" s="1" t="s">
        <v>24</v>
      </c>
      <c r="E597" s="1">
        <v>771</v>
      </c>
      <c r="F597" s="1">
        <v>9.1999999999999998E-2</v>
      </c>
      <c r="G597" s="1">
        <v>27169479</v>
      </c>
      <c r="H597" s="1">
        <f t="shared" si="4"/>
        <v>35239.272373540858</v>
      </c>
      <c r="I597" s="1">
        <v>1846.674</v>
      </c>
      <c r="J597" s="1">
        <v>31.58</v>
      </c>
      <c r="K597" s="1">
        <v>1972.019</v>
      </c>
      <c r="L597" s="1">
        <v>2003.6010000000001</v>
      </c>
      <c r="M597" s="1" t="s">
        <v>41</v>
      </c>
    </row>
    <row r="598" spans="1:13" ht="13" x14ac:dyDescent="0.15">
      <c r="A598" s="1">
        <v>1</v>
      </c>
      <c r="B598" s="1">
        <v>4</v>
      </c>
      <c r="C598" s="1">
        <v>9</v>
      </c>
      <c r="D598" s="1" t="s">
        <v>16</v>
      </c>
      <c r="E598" s="1">
        <v>761</v>
      </c>
      <c r="F598" s="1">
        <v>0.112</v>
      </c>
      <c r="G598" s="1">
        <v>27946921</v>
      </c>
      <c r="H598" s="1">
        <f t="shared" si="4"/>
        <v>36723.943495400788</v>
      </c>
      <c r="I598" s="1">
        <v>1822.8679999999999</v>
      </c>
      <c r="J598" s="1">
        <v>29.605</v>
      </c>
      <c r="K598" s="1">
        <v>1942.752</v>
      </c>
      <c r="L598" s="1">
        <v>1972.38</v>
      </c>
      <c r="M598" s="1" t="s">
        <v>41</v>
      </c>
    </row>
    <row r="599" spans="1:13" ht="13" x14ac:dyDescent="0.15">
      <c r="A599" s="1">
        <v>1</v>
      </c>
      <c r="B599" s="1">
        <v>4</v>
      </c>
      <c r="C599" s="1">
        <v>10</v>
      </c>
      <c r="D599" s="1" t="s">
        <v>20</v>
      </c>
      <c r="E599" s="1">
        <v>814</v>
      </c>
      <c r="F599" s="1">
        <v>0.11899999999999999</v>
      </c>
      <c r="G599" s="1">
        <v>30298055</v>
      </c>
      <c r="H599" s="1">
        <f t="shared" si="4"/>
        <v>37221.197788697791</v>
      </c>
      <c r="I599" s="1">
        <v>1142.4079999999999</v>
      </c>
      <c r="J599" s="1">
        <v>31.934000000000001</v>
      </c>
      <c r="K599" s="1">
        <v>1259.943</v>
      </c>
      <c r="L599" s="1">
        <v>1291.9010000000001</v>
      </c>
      <c r="M599" s="1" t="s">
        <v>41</v>
      </c>
    </row>
    <row r="600" spans="1:13" ht="13" x14ac:dyDescent="0.15">
      <c r="A600" s="1">
        <v>1</v>
      </c>
      <c r="B600" s="1">
        <v>4</v>
      </c>
      <c r="C600" s="1">
        <v>11</v>
      </c>
      <c r="D600" s="1" t="s">
        <v>18</v>
      </c>
      <c r="E600" s="1">
        <v>746</v>
      </c>
      <c r="F600" s="1">
        <v>9.5000000000000001E-2</v>
      </c>
      <c r="G600" s="1">
        <v>30826429</v>
      </c>
      <c r="H600" s="1">
        <f t="shared" si="4"/>
        <v>41322.290884718495</v>
      </c>
      <c r="I600" s="1">
        <v>1999.5060000000001</v>
      </c>
      <c r="J600" s="1">
        <v>31.15</v>
      </c>
      <c r="K600" s="1">
        <v>2139.2139999999999</v>
      </c>
      <c r="L600" s="1">
        <v>2170.3670000000002</v>
      </c>
      <c r="M600" s="1" t="s">
        <v>41</v>
      </c>
    </row>
    <row r="601" spans="1:13" ht="13" x14ac:dyDescent="0.15">
      <c r="A601" s="1">
        <v>1</v>
      </c>
      <c r="B601" s="1">
        <v>4</v>
      </c>
      <c r="C601" s="1">
        <v>12</v>
      </c>
      <c r="D601" s="1" t="s">
        <v>24</v>
      </c>
      <c r="E601" s="1">
        <v>729</v>
      </c>
      <c r="F601" s="1">
        <v>8.2000000000000003E-2</v>
      </c>
      <c r="G601" s="1">
        <v>24431482</v>
      </c>
      <c r="H601" s="1">
        <f t="shared" si="4"/>
        <v>33513.692729766801</v>
      </c>
      <c r="I601" s="1">
        <v>1205.896</v>
      </c>
      <c r="J601" s="1">
        <v>30.779</v>
      </c>
      <c r="K601" s="1">
        <v>1321.425</v>
      </c>
      <c r="L601" s="1">
        <v>1352.2059999999999</v>
      </c>
      <c r="M601" s="1" t="s">
        <v>41</v>
      </c>
    </row>
    <row r="602" spans="1:13" ht="13" x14ac:dyDescent="0.15">
      <c r="A602" s="1">
        <v>1</v>
      </c>
      <c r="B602" s="1">
        <v>4</v>
      </c>
      <c r="C602" s="1">
        <v>13</v>
      </c>
      <c r="D602" s="1" t="s">
        <v>24</v>
      </c>
      <c r="E602" s="1">
        <v>550</v>
      </c>
      <c r="F602" s="1">
        <v>7.6999999999999999E-2</v>
      </c>
      <c r="G602" s="1">
        <v>20458867</v>
      </c>
      <c r="H602" s="1">
        <f t="shared" si="4"/>
        <v>37197.94</v>
      </c>
      <c r="I602" s="1">
        <v>847.96</v>
      </c>
      <c r="J602" s="1">
        <v>31.641999999999999</v>
      </c>
      <c r="K602" s="1">
        <v>946.82799999999997</v>
      </c>
      <c r="L602" s="1">
        <v>978.47199999999998</v>
      </c>
      <c r="M602" s="1" t="s">
        <v>41</v>
      </c>
    </row>
    <row r="603" spans="1:13" ht="13" x14ac:dyDescent="0.15">
      <c r="A603" s="1">
        <v>1</v>
      </c>
      <c r="B603" s="1">
        <v>4</v>
      </c>
      <c r="C603" s="1">
        <v>14</v>
      </c>
      <c r="D603" s="1" t="s">
        <v>24</v>
      </c>
      <c r="E603" s="1">
        <v>599</v>
      </c>
      <c r="F603" s="1">
        <v>9.4E-2</v>
      </c>
      <c r="G603" s="1">
        <v>20979469</v>
      </c>
      <c r="H603" s="1">
        <f t="shared" si="4"/>
        <v>35024.155258764607</v>
      </c>
      <c r="I603" s="1">
        <v>775.51300000000003</v>
      </c>
      <c r="J603" s="1">
        <v>31.658999999999999</v>
      </c>
      <c r="K603" s="1">
        <v>858.21299999999997</v>
      </c>
      <c r="L603" s="1">
        <v>889.88699999999994</v>
      </c>
      <c r="M603" s="1" t="s">
        <v>41</v>
      </c>
    </row>
    <row r="604" spans="1:13" ht="13" x14ac:dyDescent="0.15">
      <c r="A604" s="1">
        <v>1</v>
      </c>
      <c r="B604" s="1">
        <v>4</v>
      </c>
      <c r="C604" s="1">
        <v>15</v>
      </c>
      <c r="D604" s="1" t="s">
        <v>24</v>
      </c>
      <c r="E604" s="1">
        <v>454</v>
      </c>
      <c r="F604" s="1">
        <v>5.0999999999999997E-2</v>
      </c>
      <c r="G604" s="1">
        <v>17055180</v>
      </c>
      <c r="H604" s="1">
        <f t="shared" si="4"/>
        <v>37566.475770925113</v>
      </c>
      <c r="I604" s="1">
        <v>436.06799999999998</v>
      </c>
      <c r="J604" s="1">
        <v>32.497999999999998</v>
      </c>
      <c r="K604" s="1">
        <v>518.19600000000003</v>
      </c>
      <c r="L604" s="1">
        <v>550.69600000000003</v>
      </c>
      <c r="M604" s="1" t="s">
        <v>41</v>
      </c>
    </row>
    <row r="605" spans="1:13" ht="13" x14ac:dyDescent="0.15">
      <c r="A605" s="1">
        <v>1</v>
      </c>
      <c r="B605" s="1">
        <v>4</v>
      </c>
      <c r="C605" s="1">
        <v>16</v>
      </c>
      <c r="D605" s="1" t="s">
        <v>24</v>
      </c>
      <c r="E605" s="1">
        <v>761</v>
      </c>
      <c r="F605" s="1">
        <v>7.5999999999999998E-2</v>
      </c>
      <c r="G605" s="1">
        <v>21112470</v>
      </c>
      <c r="H605" s="1">
        <f t="shared" si="4"/>
        <v>27743.061760840999</v>
      </c>
      <c r="I605" s="1">
        <v>1255.3209999999999</v>
      </c>
      <c r="J605" s="1">
        <v>30.39</v>
      </c>
      <c r="K605" s="1">
        <v>1348.442</v>
      </c>
      <c r="L605" s="1">
        <v>1378.8340000000001</v>
      </c>
      <c r="M605" s="1" t="s">
        <v>41</v>
      </c>
    </row>
    <row r="606" spans="1:13" ht="13" x14ac:dyDescent="0.15">
      <c r="A606" s="1">
        <v>1</v>
      </c>
      <c r="B606" s="1">
        <v>4</v>
      </c>
      <c r="C606" s="1">
        <v>17</v>
      </c>
      <c r="D606" s="1" t="s">
        <v>21</v>
      </c>
      <c r="E606" s="1">
        <v>661</v>
      </c>
      <c r="F606" s="1">
        <v>8.5000000000000006E-2</v>
      </c>
      <c r="G606" s="1">
        <v>24228749</v>
      </c>
      <c r="H606" s="1">
        <f t="shared" si="4"/>
        <v>36654.688350983357</v>
      </c>
      <c r="I606" s="1">
        <v>1389.5319999999999</v>
      </c>
      <c r="J606" s="1">
        <v>30.402999999999999</v>
      </c>
      <c r="K606" s="1">
        <v>1511.4269999999999</v>
      </c>
      <c r="L606" s="1">
        <v>1541.8320000000001</v>
      </c>
      <c r="M606" s="1" t="s">
        <v>41</v>
      </c>
    </row>
    <row r="607" spans="1:13" ht="13" x14ac:dyDescent="0.15">
      <c r="A607" s="1">
        <v>1</v>
      </c>
      <c r="B607" s="1">
        <v>4</v>
      </c>
      <c r="C607" s="1">
        <v>18</v>
      </c>
      <c r="D607" s="1" t="s">
        <v>24</v>
      </c>
      <c r="E607" s="1">
        <v>737</v>
      </c>
      <c r="F607" s="1">
        <v>6.8000000000000005E-2</v>
      </c>
      <c r="G607" s="1">
        <v>25195414</v>
      </c>
      <c r="H607" s="1">
        <f t="shared" si="4"/>
        <v>34186.450474898236</v>
      </c>
      <c r="I607" s="1">
        <v>754.19899999999996</v>
      </c>
      <c r="J607" s="1">
        <v>32.982999999999997</v>
      </c>
      <c r="K607" s="1">
        <v>853.548</v>
      </c>
      <c r="L607" s="1">
        <v>886.55399999999997</v>
      </c>
      <c r="M607" s="1" t="s">
        <v>41</v>
      </c>
    </row>
    <row r="608" spans="1:13" ht="13" x14ac:dyDescent="0.15">
      <c r="A608" s="1">
        <v>1</v>
      </c>
      <c r="B608" s="1">
        <v>4</v>
      </c>
      <c r="C608" s="1">
        <v>19</v>
      </c>
      <c r="D608" s="1" t="s">
        <v>22</v>
      </c>
      <c r="E608" s="1">
        <v>702</v>
      </c>
      <c r="F608" s="1">
        <v>0.11</v>
      </c>
      <c r="G608" s="1">
        <v>23525742</v>
      </c>
      <c r="H608" s="1">
        <f t="shared" si="4"/>
        <v>33512.452991452992</v>
      </c>
      <c r="I608" s="1">
        <v>621.59100000000001</v>
      </c>
      <c r="J608" s="1">
        <v>32.146000000000001</v>
      </c>
      <c r="K608" s="1">
        <v>711.64099999999996</v>
      </c>
      <c r="L608" s="1">
        <v>743.81899999999996</v>
      </c>
      <c r="M608" s="1" t="s">
        <v>41</v>
      </c>
    </row>
    <row r="609" spans="1:13" ht="13" x14ac:dyDescent="0.15">
      <c r="A609" s="1">
        <v>1</v>
      </c>
      <c r="B609" s="1">
        <v>4</v>
      </c>
      <c r="C609" s="1">
        <v>20</v>
      </c>
      <c r="D609" s="1" t="s">
        <v>24</v>
      </c>
      <c r="E609" s="1">
        <v>571</v>
      </c>
      <c r="F609" s="1">
        <v>6.2E-2</v>
      </c>
      <c r="G609" s="1">
        <v>15740602</v>
      </c>
      <c r="H609" s="1">
        <f t="shared" si="4"/>
        <v>27566.728546409806</v>
      </c>
      <c r="I609" s="1">
        <v>533.18299999999999</v>
      </c>
      <c r="J609" s="1">
        <v>31.809000000000001</v>
      </c>
      <c r="K609" s="1">
        <v>584.69600000000003</v>
      </c>
      <c r="L609" s="1">
        <v>616.524</v>
      </c>
      <c r="M609" s="1" t="s">
        <v>41</v>
      </c>
    </row>
    <row r="610" spans="1:13" ht="13" x14ac:dyDescent="0.15">
      <c r="A610" s="1">
        <v>4</v>
      </c>
      <c r="B610" s="1">
        <v>1</v>
      </c>
      <c r="C610" s="1">
        <v>1</v>
      </c>
      <c r="D610" s="1" t="s">
        <v>24</v>
      </c>
      <c r="E610" s="1">
        <v>534</v>
      </c>
      <c r="F610" s="1">
        <v>7.6999999999999999E-2</v>
      </c>
      <c r="G610" s="1">
        <v>26115506</v>
      </c>
      <c r="H610" s="1">
        <f t="shared" si="4"/>
        <v>48905.441947565545</v>
      </c>
      <c r="I610" s="1">
        <v>927.399</v>
      </c>
      <c r="J610" s="1">
        <v>32.731999999999999</v>
      </c>
      <c r="K610" s="1">
        <v>1020.785</v>
      </c>
      <c r="L610" s="1">
        <v>1053.5419999999999</v>
      </c>
      <c r="M610" s="1" t="s">
        <v>41</v>
      </c>
    </row>
    <row r="611" spans="1:13" ht="13" x14ac:dyDescent="0.15">
      <c r="A611" s="1">
        <v>4</v>
      </c>
      <c r="B611" s="1">
        <v>1</v>
      </c>
      <c r="C611" s="1">
        <v>2</v>
      </c>
      <c r="D611" s="1" t="s">
        <v>24</v>
      </c>
      <c r="E611" s="1">
        <v>449</v>
      </c>
      <c r="F611" s="1">
        <v>5.8000000000000003E-2</v>
      </c>
      <c r="G611" s="1">
        <v>11878676</v>
      </c>
      <c r="H611" s="1">
        <f t="shared" si="4"/>
        <v>26455.848552338532</v>
      </c>
      <c r="I611" s="1">
        <v>320.46100000000001</v>
      </c>
      <c r="J611" s="1">
        <v>32.173999999999999</v>
      </c>
      <c r="K611" s="1">
        <v>356.90300000000002</v>
      </c>
      <c r="L611" s="1">
        <v>389.07900000000001</v>
      </c>
      <c r="M611" s="1" t="s">
        <v>41</v>
      </c>
    </row>
    <row r="612" spans="1:13" ht="13" x14ac:dyDescent="0.15">
      <c r="A612" s="1">
        <v>4</v>
      </c>
      <c r="B612" s="1">
        <v>1</v>
      </c>
      <c r="C612" s="1">
        <v>3</v>
      </c>
      <c r="D612" s="1" t="s">
        <v>24</v>
      </c>
      <c r="E612" s="1">
        <v>878</v>
      </c>
      <c r="F612" s="1">
        <v>0.13800000000000001</v>
      </c>
      <c r="G612" s="1">
        <v>31839515</v>
      </c>
      <c r="H612" s="1">
        <f t="shared" si="4"/>
        <v>36263.684510250569</v>
      </c>
      <c r="I612" s="1">
        <v>2459.9180000000001</v>
      </c>
      <c r="J612" s="1">
        <v>30.812000000000001</v>
      </c>
      <c r="K612" s="1">
        <v>2617.0149999999999</v>
      </c>
      <c r="L612" s="1">
        <v>2647.8290000000002</v>
      </c>
      <c r="M612" s="1" t="s">
        <v>41</v>
      </c>
    </row>
    <row r="613" spans="1:13" ht="13" x14ac:dyDescent="0.15">
      <c r="A613" s="1">
        <v>4</v>
      </c>
      <c r="B613" s="1">
        <v>1</v>
      </c>
      <c r="C613" s="1">
        <v>4</v>
      </c>
      <c r="D613" s="1" t="s">
        <v>24</v>
      </c>
      <c r="E613" s="1">
        <v>678</v>
      </c>
      <c r="F613" s="1">
        <v>8.7999999999999995E-2</v>
      </c>
      <c r="G613" s="1">
        <v>22122598</v>
      </c>
      <c r="H613" s="1">
        <f t="shared" si="4"/>
        <v>32629.2005899705</v>
      </c>
      <c r="I613" s="1">
        <v>725.798</v>
      </c>
      <c r="J613" s="1">
        <v>31.076000000000001</v>
      </c>
      <c r="K613" s="1">
        <v>836.88800000000003</v>
      </c>
      <c r="L613" s="1">
        <v>867.96500000000003</v>
      </c>
      <c r="M613" s="1" t="s">
        <v>41</v>
      </c>
    </row>
    <row r="614" spans="1:13" ht="13" x14ac:dyDescent="0.15">
      <c r="A614" s="1">
        <v>4</v>
      </c>
      <c r="B614" s="1">
        <v>1</v>
      </c>
      <c r="C614" s="1">
        <v>5</v>
      </c>
      <c r="D614" s="1" t="s">
        <v>24</v>
      </c>
      <c r="E614" s="1">
        <v>524</v>
      </c>
      <c r="F614" s="1">
        <v>5.0999999999999997E-2</v>
      </c>
      <c r="G614" s="1">
        <v>18536536</v>
      </c>
      <c r="H614" s="1">
        <f t="shared" si="4"/>
        <v>35375.068702290075</v>
      </c>
      <c r="I614" s="1">
        <v>554.80499999999995</v>
      </c>
      <c r="J614" s="1">
        <v>32.819000000000003</v>
      </c>
      <c r="K614" s="1">
        <v>620.04899999999998</v>
      </c>
      <c r="L614" s="1">
        <v>652.87</v>
      </c>
      <c r="M614" s="1" t="s">
        <v>41</v>
      </c>
    </row>
    <row r="615" spans="1:13" ht="13" x14ac:dyDescent="0.15">
      <c r="A615" s="1">
        <v>4</v>
      </c>
      <c r="B615" s="1">
        <v>1</v>
      </c>
      <c r="C615" s="1">
        <v>6</v>
      </c>
      <c r="D615" s="1" t="s">
        <v>24</v>
      </c>
      <c r="E615" s="1">
        <v>555</v>
      </c>
      <c r="F615" s="1">
        <v>5.8999999999999997E-2</v>
      </c>
      <c r="G615" s="1">
        <v>17205780</v>
      </c>
      <c r="H615" s="1">
        <f t="shared" si="4"/>
        <v>31001.405405405407</v>
      </c>
      <c r="I615" s="1">
        <v>468.44600000000003</v>
      </c>
      <c r="J615" s="1">
        <v>32.020000000000003</v>
      </c>
      <c r="K615" s="1">
        <v>551.46199999999999</v>
      </c>
      <c r="L615" s="1">
        <v>583.51300000000003</v>
      </c>
      <c r="M615" s="1" t="s">
        <v>41</v>
      </c>
    </row>
    <row r="616" spans="1:13" ht="13" x14ac:dyDescent="0.15">
      <c r="A616" s="1">
        <v>4</v>
      </c>
      <c r="B616" s="1">
        <v>1</v>
      </c>
      <c r="C616" s="1">
        <v>7</v>
      </c>
      <c r="D616" s="1" t="s">
        <v>24</v>
      </c>
      <c r="E616" s="1">
        <v>643</v>
      </c>
      <c r="F616" s="1">
        <v>4.8000000000000001E-2</v>
      </c>
      <c r="G616" s="1">
        <v>22922416</v>
      </c>
      <c r="H616" s="1">
        <f t="shared" si="4"/>
        <v>35649.169517884911</v>
      </c>
      <c r="I616" s="1">
        <v>1162.123</v>
      </c>
      <c r="J616" s="1">
        <v>32.139000000000003</v>
      </c>
      <c r="K616" s="1">
        <v>1264.616</v>
      </c>
      <c r="L616" s="1">
        <v>1296.769</v>
      </c>
      <c r="M616" s="1" t="s">
        <v>41</v>
      </c>
    </row>
    <row r="617" spans="1:13" ht="13" x14ac:dyDescent="0.15">
      <c r="A617" s="1">
        <v>4</v>
      </c>
      <c r="B617" s="1">
        <v>1</v>
      </c>
      <c r="C617" s="1">
        <v>8</v>
      </c>
      <c r="D617" s="1" t="s">
        <v>24</v>
      </c>
      <c r="E617" s="1">
        <v>771</v>
      </c>
      <c r="F617" s="1">
        <v>8.4000000000000005E-2</v>
      </c>
      <c r="G617" s="1">
        <v>27068972</v>
      </c>
      <c r="H617" s="1">
        <f t="shared" si="4"/>
        <v>35108.913099870297</v>
      </c>
      <c r="I617" s="1">
        <v>1143.183</v>
      </c>
      <c r="J617" s="1">
        <v>31.664999999999999</v>
      </c>
      <c r="K617" s="1">
        <v>1261.3499999999999</v>
      </c>
      <c r="L617" s="1">
        <v>1293.0409999999999</v>
      </c>
      <c r="M617" s="1" t="s">
        <v>41</v>
      </c>
    </row>
    <row r="618" spans="1:13" ht="13" x14ac:dyDescent="0.15">
      <c r="A618" s="1">
        <v>4</v>
      </c>
      <c r="B618" s="1">
        <v>1</v>
      </c>
      <c r="C618" s="1">
        <v>9</v>
      </c>
      <c r="D618" s="1" t="s">
        <v>24</v>
      </c>
      <c r="E618" s="1">
        <v>761</v>
      </c>
      <c r="F618" s="1">
        <v>0.23599999999999999</v>
      </c>
      <c r="G618" s="1">
        <v>25986290</v>
      </c>
      <c r="H618" s="1">
        <f t="shared" si="4"/>
        <v>34147.55584756899</v>
      </c>
      <c r="I618" s="1">
        <v>666.08600000000001</v>
      </c>
      <c r="J618" s="1">
        <v>30.384</v>
      </c>
      <c r="K618" s="1">
        <v>773.577</v>
      </c>
      <c r="L618" s="1">
        <v>803.96299999999997</v>
      </c>
      <c r="M618" s="1" t="s">
        <v>41</v>
      </c>
    </row>
    <row r="619" spans="1:13" ht="13" x14ac:dyDescent="0.15">
      <c r="A619" s="1">
        <v>4</v>
      </c>
      <c r="B619" s="1">
        <v>1</v>
      </c>
      <c r="C619" s="1">
        <v>10</v>
      </c>
      <c r="D619" s="1" t="s">
        <v>20</v>
      </c>
      <c r="E619" s="1">
        <v>814</v>
      </c>
      <c r="F619" s="1">
        <v>7.8E-2</v>
      </c>
      <c r="G619" s="1">
        <v>28703835</v>
      </c>
      <c r="H619" s="1">
        <f t="shared" si="4"/>
        <v>35262.696560196557</v>
      </c>
      <c r="I619" s="1">
        <v>948.36400000000003</v>
      </c>
      <c r="J619" s="1">
        <v>31.58</v>
      </c>
      <c r="K619" s="1">
        <v>1084.4169999999999</v>
      </c>
      <c r="L619" s="1">
        <v>1115.999</v>
      </c>
      <c r="M619" s="1" t="s">
        <v>41</v>
      </c>
    </row>
    <row r="620" spans="1:13" ht="13" x14ac:dyDescent="0.15">
      <c r="A620" s="1">
        <v>4</v>
      </c>
      <c r="B620" s="1">
        <v>1</v>
      </c>
      <c r="C620" s="1">
        <v>11</v>
      </c>
      <c r="D620" s="1" t="s">
        <v>24</v>
      </c>
      <c r="E620" s="1">
        <v>746</v>
      </c>
      <c r="F620" s="1">
        <v>0.104</v>
      </c>
      <c r="G620" s="1">
        <v>30745528</v>
      </c>
      <c r="H620" s="1">
        <f t="shared" si="4"/>
        <v>41213.84450402145</v>
      </c>
      <c r="I620" s="1">
        <v>1694.2819999999999</v>
      </c>
      <c r="J620" s="1">
        <v>31.234999999999999</v>
      </c>
      <c r="K620" s="1">
        <v>1834.623</v>
      </c>
      <c r="L620" s="1">
        <v>1865.8869999999999</v>
      </c>
      <c r="M620" s="1" t="s">
        <v>41</v>
      </c>
    </row>
    <row r="621" spans="1:13" ht="13" x14ac:dyDescent="0.15">
      <c r="A621" s="1">
        <v>4</v>
      </c>
      <c r="B621" s="1">
        <v>1</v>
      </c>
      <c r="C621" s="1">
        <v>12</v>
      </c>
      <c r="D621" s="1" t="s">
        <v>24</v>
      </c>
      <c r="E621" s="1">
        <v>729</v>
      </c>
      <c r="F621" s="1">
        <v>7.4999999999999997E-2</v>
      </c>
      <c r="G621" s="1">
        <v>24059735</v>
      </c>
      <c r="H621" s="1">
        <f t="shared" si="4"/>
        <v>33003.751714677637</v>
      </c>
      <c r="I621" s="1">
        <v>995.18399999999997</v>
      </c>
      <c r="J621" s="1">
        <v>30.497</v>
      </c>
      <c r="K621" s="1">
        <v>1101.806</v>
      </c>
      <c r="L621" s="1">
        <v>1132.3320000000001</v>
      </c>
      <c r="M621" s="1" t="s">
        <v>41</v>
      </c>
    </row>
    <row r="622" spans="1:13" ht="13" x14ac:dyDescent="0.15">
      <c r="A622" s="1">
        <v>4</v>
      </c>
      <c r="B622" s="1">
        <v>1</v>
      </c>
      <c r="C622" s="1">
        <v>13</v>
      </c>
      <c r="D622" s="1" t="s">
        <v>24</v>
      </c>
      <c r="E622" s="1">
        <v>550</v>
      </c>
      <c r="F622" s="1">
        <v>4.2999999999999997E-2</v>
      </c>
      <c r="G622" s="1">
        <v>21562500</v>
      </c>
      <c r="H622" s="1">
        <f t="shared" si="4"/>
        <v>39204.545454545456</v>
      </c>
      <c r="I622" s="1">
        <v>754.21799999999996</v>
      </c>
      <c r="J622" s="1">
        <v>31.956</v>
      </c>
      <c r="K622" s="1">
        <v>851.45500000000004</v>
      </c>
      <c r="L622" s="1">
        <v>883.41200000000003</v>
      </c>
      <c r="M622" s="1" t="s">
        <v>41</v>
      </c>
    </row>
    <row r="623" spans="1:13" ht="13" x14ac:dyDescent="0.15">
      <c r="A623" s="1">
        <v>4</v>
      </c>
      <c r="B623" s="1">
        <v>1</v>
      </c>
      <c r="C623" s="1">
        <v>14</v>
      </c>
      <c r="D623" s="1" t="s">
        <v>30</v>
      </c>
      <c r="E623" s="1">
        <v>599</v>
      </c>
      <c r="F623" s="1">
        <v>0.114</v>
      </c>
      <c r="G623" s="1">
        <v>20312317</v>
      </c>
      <c r="H623" s="1">
        <f t="shared" si="4"/>
        <v>33910.37896494157</v>
      </c>
      <c r="I623" s="1">
        <v>1120.9480000000001</v>
      </c>
      <c r="J623" s="1">
        <v>32.073999999999998</v>
      </c>
      <c r="K623" s="1">
        <v>1220.365</v>
      </c>
      <c r="L623" s="1">
        <v>1252.441</v>
      </c>
      <c r="M623" s="1" t="s">
        <v>41</v>
      </c>
    </row>
    <row r="624" spans="1:13" ht="13" x14ac:dyDescent="0.15">
      <c r="A624" s="1">
        <v>4</v>
      </c>
      <c r="B624" s="1">
        <v>1</v>
      </c>
      <c r="C624" s="1">
        <v>15</v>
      </c>
      <c r="D624" s="1" t="s">
        <v>24</v>
      </c>
      <c r="E624" s="1">
        <v>454</v>
      </c>
      <c r="F624" s="1">
        <v>4.7E-2</v>
      </c>
      <c r="G624" s="1">
        <v>15897458</v>
      </c>
      <c r="H624" s="1">
        <f t="shared" si="4"/>
        <v>35016.427312775333</v>
      </c>
      <c r="I624" s="1">
        <v>689.41800000000001</v>
      </c>
      <c r="J624" s="1">
        <v>32.881999999999998</v>
      </c>
      <c r="K624" s="1">
        <v>758.83199999999999</v>
      </c>
      <c r="L624" s="1">
        <v>791.73800000000006</v>
      </c>
      <c r="M624" s="1" t="s">
        <v>41</v>
      </c>
    </row>
    <row r="625" spans="1:13" ht="13" x14ac:dyDescent="0.15">
      <c r="A625" s="1">
        <v>4</v>
      </c>
      <c r="B625" s="1">
        <v>1</v>
      </c>
      <c r="C625" s="1">
        <v>16</v>
      </c>
      <c r="D625" s="1" t="s">
        <v>24</v>
      </c>
      <c r="E625" s="1">
        <v>761</v>
      </c>
      <c r="F625" s="1">
        <v>6.8000000000000005E-2</v>
      </c>
      <c r="G625" s="1">
        <v>20906163</v>
      </c>
      <c r="H625" s="1">
        <f t="shared" si="4"/>
        <v>27471.961892247044</v>
      </c>
      <c r="I625" s="1">
        <v>681.26900000000001</v>
      </c>
      <c r="J625" s="1">
        <v>30.277000000000001</v>
      </c>
      <c r="K625" s="1">
        <v>771.173</v>
      </c>
      <c r="L625" s="1">
        <v>801.47400000000005</v>
      </c>
      <c r="M625" s="1" t="s">
        <v>41</v>
      </c>
    </row>
    <row r="626" spans="1:13" ht="13" x14ac:dyDescent="0.15">
      <c r="A626" s="1">
        <v>4</v>
      </c>
      <c r="B626" s="1">
        <v>1</v>
      </c>
      <c r="C626" s="1">
        <v>17</v>
      </c>
      <c r="D626" s="1" t="s">
        <v>21</v>
      </c>
      <c r="E626" s="1">
        <v>661</v>
      </c>
      <c r="F626" s="1">
        <v>6.6000000000000003E-2</v>
      </c>
      <c r="G626" s="1">
        <v>23232174</v>
      </c>
      <c r="H626" s="1">
        <f t="shared" si="4"/>
        <v>35147.010590015132</v>
      </c>
      <c r="I626" s="1">
        <v>1028.471</v>
      </c>
      <c r="J626" s="1">
        <v>30.582999999999998</v>
      </c>
      <c r="K626" s="1">
        <v>1140.425</v>
      </c>
      <c r="L626" s="1">
        <v>1171.01</v>
      </c>
      <c r="M626" s="1" t="s">
        <v>41</v>
      </c>
    </row>
    <row r="627" spans="1:13" ht="13" x14ac:dyDescent="0.15">
      <c r="A627" s="1">
        <v>4</v>
      </c>
      <c r="B627" s="1">
        <v>1</v>
      </c>
      <c r="C627" s="1">
        <v>18</v>
      </c>
      <c r="D627" s="1" t="s">
        <v>24</v>
      </c>
      <c r="E627" s="1">
        <v>737</v>
      </c>
      <c r="F627" s="1">
        <v>0.20100000000000001</v>
      </c>
      <c r="G627" s="1">
        <v>26961612</v>
      </c>
      <c r="H627" s="1">
        <f t="shared" si="4"/>
        <v>36582.919945725916</v>
      </c>
      <c r="I627" s="1">
        <v>2084.8510000000001</v>
      </c>
      <c r="J627" s="1">
        <v>33.186</v>
      </c>
      <c r="K627" s="1">
        <v>2185.7280000000001</v>
      </c>
      <c r="L627" s="1">
        <v>2218.9299999999998</v>
      </c>
      <c r="M627" s="1" t="s">
        <v>41</v>
      </c>
    </row>
    <row r="628" spans="1:13" ht="13" x14ac:dyDescent="0.15">
      <c r="A628" s="1">
        <v>4</v>
      </c>
      <c r="B628" s="1">
        <v>1</v>
      </c>
      <c r="C628" s="1">
        <v>19</v>
      </c>
      <c r="D628" s="1" t="s">
        <v>22</v>
      </c>
      <c r="E628" s="1">
        <v>702</v>
      </c>
      <c r="F628" s="1">
        <v>7.6999999999999999E-2</v>
      </c>
      <c r="G628" s="1">
        <v>25212323</v>
      </c>
      <c r="H628" s="1">
        <f t="shared" si="4"/>
        <v>35914.990028490029</v>
      </c>
      <c r="I628" s="1">
        <v>1169.357</v>
      </c>
      <c r="J628" s="1">
        <v>31.172000000000001</v>
      </c>
      <c r="K628" s="1">
        <v>1280.002</v>
      </c>
      <c r="L628" s="1">
        <v>1311.1759999999999</v>
      </c>
      <c r="M628" s="1" t="s">
        <v>41</v>
      </c>
    </row>
    <row r="629" spans="1:13" ht="13" x14ac:dyDescent="0.15">
      <c r="A629" s="1">
        <v>4</v>
      </c>
      <c r="B629" s="1">
        <v>1</v>
      </c>
      <c r="C629" s="1">
        <v>20</v>
      </c>
      <c r="D629" s="1" t="s">
        <v>24</v>
      </c>
      <c r="E629" s="1">
        <v>571</v>
      </c>
      <c r="F629" s="1">
        <v>2.5000000000000001E-2</v>
      </c>
      <c r="G629" s="1">
        <v>18249433</v>
      </c>
      <c r="H629" s="1">
        <f t="shared" si="4"/>
        <v>31960.478108581436</v>
      </c>
      <c r="I629" s="1">
        <v>539.94799999999998</v>
      </c>
      <c r="J629" s="1">
        <v>32.167999999999999</v>
      </c>
      <c r="K629" s="1">
        <v>620.31299999999999</v>
      </c>
      <c r="L629" s="1">
        <v>652.48299999999995</v>
      </c>
      <c r="M629" s="1" t="s">
        <v>41</v>
      </c>
    </row>
    <row r="630" spans="1:13" ht="13" x14ac:dyDescent="0.15">
      <c r="A630" s="1">
        <v>2</v>
      </c>
      <c r="B630" s="1">
        <v>3</v>
      </c>
      <c r="C630" s="1">
        <v>1</v>
      </c>
      <c r="D630" s="1" t="s">
        <v>24</v>
      </c>
      <c r="E630" s="1">
        <v>534</v>
      </c>
      <c r="F630" s="1">
        <v>6.7000000000000004E-2</v>
      </c>
      <c r="G630" s="1">
        <v>26169217</v>
      </c>
      <c r="H630" s="1">
        <f t="shared" si="4"/>
        <v>49006.02434456929</v>
      </c>
      <c r="I630" s="1">
        <v>1575.6510000000001</v>
      </c>
      <c r="J630" s="1">
        <v>33.628999999999998</v>
      </c>
      <c r="K630" s="1">
        <v>1681.7539999999999</v>
      </c>
      <c r="L630" s="1">
        <v>1715.386</v>
      </c>
      <c r="M630" s="1" t="s">
        <v>41</v>
      </c>
    </row>
    <row r="631" spans="1:13" ht="13" x14ac:dyDescent="0.15">
      <c r="A631" s="1">
        <v>2</v>
      </c>
      <c r="B631" s="1">
        <v>3</v>
      </c>
      <c r="C631" s="1">
        <v>2</v>
      </c>
      <c r="D631" s="1" t="s">
        <v>24</v>
      </c>
      <c r="E631" s="1">
        <v>449</v>
      </c>
      <c r="F631" s="1">
        <v>4.2000000000000003E-2</v>
      </c>
      <c r="G631" s="1">
        <v>13402053</v>
      </c>
      <c r="H631" s="1">
        <f t="shared" si="4"/>
        <v>29848.670378619154</v>
      </c>
      <c r="I631" s="1">
        <v>470.75700000000001</v>
      </c>
      <c r="J631" s="1">
        <v>32.774000000000001</v>
      </c>
      <c r="K631" s="1">
        <v>522.97799999999995</v>
      </c>
      <c r="L631" s="1">
        <v>555.75400000000002</v>
      </c>
      <c r="M631" s="1" t="s">
        <v>41</v>
      </c>
    </row>
    <row r="632" spans="1:13" ht="13" x14ac:dyDescent="0.15">
      <c r="A632" s="1">
        <v>2</v>
      </c>
      <c r="B632" s="1">
        <v>3</v>
      </c>
      <c r="C632" s="1">
        <v>3</v>
      </c>
      <c r="D632" s="1" t="s">
        <v>24</v>
      </c>
      <c r="E632" s="1">
        <v>878</v>
      </c>
      <c r="F632" s="1">
        <v>7.0000000000000007E-2</v>
      </c>
      <c r="G632" s="1">
        <v>35923828</v>
      </c>
      <c r="H632" s="1">
        <f t="shared" si="4"/>
        <v>40915.521640091116</v>
      </c>
      <c r="I632" s="1">
        <v>2359.41</v>
      </c>
      <c r="J632" s="1">
        <v>30.895</v>
      </c>
      <c r="K632" s="1">
        <v>2515.4679999999998</v>
      </c>
      <c r="L632" s="1">
        <v>2546.3649999999998</v>
      </c>
      <c r="M632" s="1" t="s">
        <v>41</v>
      </c>
    </row>
    <row r="633" spans="1:13" ht="13" x14ac:dyDescent="0.15">
      <c r="A633" s="1">
        <v>2</v>
      </c>
      <c r="B633" s="1">
        <v>3</v>
      </c>
      <c r="C633" s="1">
        <v>4</v>
      </c>
      <c r="D633" s="1" t="s">
        <v>19</v>
      </c>
      <c r="E633" s="1">
        <v>678</v>
      </c>
      <c r="F633" s="1">
        <v>5.3999999999999999E-2</v>
      </c>
      <c r="G633" s="1">
        <v>23279078</v>
      </c>
      <c r="H633" s="1">
        <f t="shared" si="4"/>
        <v>34334.92330383481</v>
      </c>
      <c r="I633" s="1">
        <v>1832.663</v>
      </c>
      <c r="J633" s="1">
        <v>30.75</v>
      </c>
      <c r="K633" s="1">
        <v>1934.046</v>
      </c>
      <c r="L633" s="1">
        <v>1964.799</v>
      </c>
      <c r="M633" s="1" t="s">
        <v>41</v>
      </c>
    </row>
    <row r="634" spans="1:13" ht="13" x14ac:dyDescent="0.15">
      <c r="A634" s="1">
        <v>2</v>
      </c>
      <c r="B634" s="1">
        <v>3</v>
      </c>
      <c r="C634" s="1">
        <v>5</v>
      </c>
      <c r="D634" s="1" t="s">
        <v>24</v>
      </c>
      <c r="E634" s="1">
        <v>524</v>
      </c>
      <c r="F634" s="1">
        <v>2.5000000000000001E-2</v>
      </c>
      <c r="G634" s="1">
        <v>18494846</v>
      </c>
      <c r="H634" s="1">
        <f t="shared" si="4"/>
        <v>35295.507633587789</v>
      </c>
      <c r="I634" s="1">
        <v>603.28099999999995</v>
      </c>
      <c r="J634" s="1">
        <v>32.564</v>
      </c>
      <c r="K634" s="1">
        <v>680.01099999999997</v>
      </c>
      <c r="L634" s="1">
        <v>712.577</v>
      </c>
      <c r="M634" s="1" t="s">
        <v>41</v>
      </c>
    </row>
    <row r="635" spans="1:13" ht="13" x14ac:dyDescent="0.15">
      <c r="A635" s="1">
        <v>2</v>
      </c>
      <c r="B635" s="1">
        <v>3</v>
      </c>
      <c r="C635" s="1">
        <v>6</v>
      </c>
      <c r="D635" s="1" t="s">
        <v>24</v>
      </c>
      <c r="E635" s="1">
        <v>555</v>
      </c>
      <c r="F635" s="1">
        <v>2.3E-2</v>
      </c>
      <c r="G635" s="1">
        <v>17638163</v>
      </c>
      <c r="H635" s="1">
        <f t="shared" si="4"/>
        <v>31780.473873873874</v>
      </c>
      <c r="I635" s="1">
        <v>463.25299999999999</v>
      </c>
      <c r="J635" s="1">
        <v>32.412999999999997</v>
      </c>
      <c r="K635" s="1">
        <v>528.15800000000002</v>
      </c>
      <c r="L635" s="1">
        <v>560.572</v>
      </c>
      <c r="M635" s="1" t="s">
        <v>41</v>
      </c>
    </row>
    <row r="636" spans="1:13" ht="13" x14ac:dyDescent="0.15">
      <c r="A636" s="1">
        <v>2</v>
      </c>
      <c r="B636" s="1">
        <v>3</v>
      </c>
      <c r="C636" s="1">
        <v>7</v>
      </c>
      <c r="D636" s="1" t="s">
        <v>27</v>
      </c>
      <c r="E636" s="1">
        <v>643</v>
      </c>
      <c r="F636" s="1">
        <v>6.7000000000000004E-2</v>
      </c>
      <c r="G636" s="1">
        <v>24568051</v>
      </c>
      <c r="H636" s="1">
        <f t="shared" si="4"/>
        <v>38208.477449455677</v>
      </c>
      <c r="I636" s="1">
        <v>1410.4670000000001</v>
      </c>
      <c r="J636" s="1">
        <v>31.914000000000001</v>
      </c>
      <c r="K636" s="1">
        <v>1502.4760000000001</v>
      </c>
      <c r="L636" s="1">
        <v>1534.3920000000001</v>
      </c>
      <c r="M636" s="1" t="s">
        <v>41</v>
      </c>
    </row>
    <row r="637" spans="1:13" ht="13" x14ac:dyDescent="0.15">
      <c r="A637" s="1">
        <v>2</v>
      </c>
      <c r="B637" s="1">
        <v>3</v>
      </c>
      <c r="C637" s="1">
        <v>8</v>
      </c>
      <c r="D637" s="1" t="s">
        <v>24</v>
      </c>
      <c r="E637" s="1">
        <v>771</v>
      </c>
      <c r="F637" s="1">
        <v>6.3E-2</v>
      </c>
      <c r="G637" s="1">
        <v>27071274</v>
      </c>
      <c r="H637" s="1">
        <f t="shared" si="4"/>
        <v>35111.898832684827</v>
      </c>
      <c r="I637" s="1">
        <v>2051.9090000000001</v>
      </c>
      <c r="J637" s="1">
        <v>31.425999999999998</v>
      </c>
      <c r="K637" s="1">
        <v>2185.8760000000002</v>
      </c>
      <c r="L637" s="1">
        <v>2217.3049999999998</v>
      </c>
      <c r="M637" s="1" t="s">
        <v>41</v>
      </c>
    </row>
    <row r="638" spans="1:13" ht="13" x14ac:dyDescent="0.15">
      <c r="A638" s="1">
        <v>2</v>
      </c>
      <c r="B638" s="1">
        <v>3</v>
      </c>
      <c r="C638" s="1">
        <v>9</v>
      </c>
      <c r="D638" s="1" t="s">
        <v>25</v>
      </c>
      <c r="E638" s="1">
        <v>761</v>
      </c>
      <c r="F638" s="1">
        <v>0.13500000000000001</v>
      </c>
      <c r="G638" s="1">
        <v>28464357</v>
      </c>
      <c r="H638" s="1">
        <f t="shared" si="4"/>
        <v>37403.885676741127</v>
      </c>
      <c r="I638" s="1">
        <v>2319.058</v>
      </c>
      <c r="J638" s="1">
        <v>29.550999999999998</v>
      </c>
      <c r="K638" s="1">
        <v>2453.7350000000001</v>
      </c>
      <c r="L638" s="1">
        <v>2483.288</v>
      </c>
      <c r="M638" s="1" t="s">
        <v>41</v>
      </c>
    </row>
    <row r="639" spans="1:13" ht="13" x14ac:dyDescent="0.15">
      <c r="A639" s="1">
        <v>2</v>
      </c>
      <c r="B639" s="1">
        <v>3</v>
      </c>
      <c r="C639" s="1">
        <v>10</v>
      </c>
      <c r="D639" s="1" t="s">
        <v>20</v>
      </c>
      <c r="E639" s="1">
        <v>814</v>
      </c>
      <c r="F639" s="1">
        <v>0.10199999999999999</v>
      </c>
      <c r="G639" s="1">
        <v>29174524</v>
      </c>
      <c r="H639" s="1">
        <f t="shared" si="4"/>
        <v>35840.938574938576</v>
      </c>
      <c r="I639" s="1">
        <v>1393.356</v>
      </c>
      <c r="J639" s="1">
        <v>31.739000000000001</v>
      </c>
      <c r="K639" s="1">
        <v>1505.92</v>
      </c>
      <c r="L639" s="1">
        <v>1537.683</v>
      </c>
      <c r="M639" s="1" t="s">
        <v>41</v>
      </c>
    </row>
    <row r="640" spans="1:13" ht="13" x14ac:dyDescent="0.15">
      <c r="A640" s="1">
        <v>2</v>
      </c>
      <c r="B640" s="1">
        <v>3</v>
      </c>
      <c r="C640" s="1">
        <v>11</v>
      </c>
      <c r="D640" s="1" t="s">
        <v>24</v>
      </c>
      <c r="E640" s="1">
        <v>746</v>
      </c>
      <c r="F640" s="1">
        <v>0.13600000000000001</v>
      </c>
      <c r="G640" s="1">
        <v>31759942</v>
      </c>
      <c r="H640" s="1">
        <f t="shared" si="4"/>
        <v>42573.648793565684</v>
      </c>
      <c r="I640" s="1">
        <v>2035.816</v>
      </c>
      <c r="J640" s="1">
        <v>31.03</v>
      </c>
      <c r="K640" s="1">
        <v>2190.7919999999999</v>
      </c>
      <c r="L640" s="1">
        <v>2221.8449999999998</v>
      </c>
      <c r="M640" s="1" t="s">
        <v>41</v>
      </c>
    </row>
    <row r="641" spans="1:13" ht="13" x14ac:dyDescent="0.15">
      <c r="A641" s="1">
        <v>2</v>
      </c>
      <c r="B641" s="1">
        <v>3</v>
      </c>
      <c r="C641" s="1">
        <v>12</v>
      </c>
      <c r="D641" s="1" t="s">
        <v>24</v>
      </c>
      <c r="E641" s="1">
        <v>729</v>
      </c>
      <c r="F641" s="1">
        <v>5.5E-2</v>
      </c>
      <c r="G641" s="1">
        <v>23421476</v>
      </c>
      <c r="H641" s="1">
        <f t="shared" si="4"/>
        <v>32128.224965706446</v>
      </c>
      <c r="I641" s="1">
        <v>1418.0650000000001</v>
      </c>
      <c r="J641" s="1">
        <v>30.893999999999998</v>
      </c>
      <c r="K641" s="1">
        <v>1540.066</v>
      </c>
      <c r="L641" s="1">
        <v>1570.9639999999999</v>
      </c>
      <c r="M641" s="1" t="s">
        <v>41</v>
      </c>
    </row>
    <row r="642" spans="1:13" ht="13" x14ac:dyDescent="0.15">
      <c r="A642" s="1">
        <v>2</v>
      </c>
      <c r="B642" s="1">
        <v>3</v>
      </c>
      <c r="C642" s="1">
        <v>13</v>
      </c>
      <c r="D642" s="1" t="s">
        <v>28</v>
      </c>
      <c r="E642" s="1">
        <v>550</v>
      </c>
      <c r="F642" s="1">
        <v>3.9E-2</v>
      </c>
      <c r="G642" s="1">
        <v>21785972</v>
      </c>
      <c r="H642" s="1">
        <f t="shared" si="4"/>
        <v>39610.858181818185</v>
      </c>
      <c r="I642" s="1">
        <v>1380.037</v>
      </c>
      <c r="J642" s="1">
        <v>30.864000000000001</v>
      </c>
      <c r="K642" s="1">
        <v>1461.9670000000001</v>
      </c>
      <c r="L642" s="1">
        <v>1492.8330000000001</v>
      </c>
      <c r="M642" s="1" t="s">
        <v>41</v>
      </c>
    </row>
    <row r="643" spans="1:13" ht="13" x14ac:dyDescent="0.15">
      <c r="A643" s="1">
        <v>2</v>
      </c>
      <c r="B643" s="1">
        <v>3</v>
      </c>
      <c r="C643" s="1">
        <v>14</v>
      </c>
      <c r="D643" s="1" t="s">
        <v>30</v>
      </c>
      <c r="E643" s="1">
        <v>599</v>
      </c>
      <c r="F643" s="1">
        <v>9.8000000000000004E-2</v>
      </c>
      <c r="G643" s="1">
        <v>21490011</v>
      </c>
      <c r="H643" s="1">
        <f t="shared" si="4"/>
        <v>35876.479131886481</v>
      </c>
      <c r="I643" s="1">
        <v>1372.1389999999999</v>
      </c>
      <c r="J643" s="1">
        <v>31.363</v>
      </c>
      <c r="K643" s="1">
        <v>1463.0150000000001</v>
      </c>
      <c r="L643" s="1">
        <v>1494.4059999999999</v>
      </c>
      <c r="M643" s="1" t="s">
        <v>41</v>
      </c>
    </row>
    <row r="644" spans="1:13" ht="13" x14ac:dyDescent="0.15">
      <c r="A644" s="1">
        <v>2</v>
      </c>
      <c r="B644" s="1">
        <v>3</v>
      </c>
      <c r="C644" s="1">
        <v>15</v>
      </c>
      <c r="D644" s="1" t="s">
        <v>24</v>
      </c>
      <c r="E644" s="1">
        <v>454</v>
      </c>
      <c r="F644" s="1">
        <v>0.04</v>
      </c>
      <c r="G644" s="1">
        <v>16137020</v>
      </c>
      <c r="H644" s="1">
        <f t="shared" si="4"/>
        <v>35544.096916299561</v>
      </c>
      <c r="I644" s="1">
        <v>410.40499999999997</v>
      </c>
      <c r="J644" s="1">
        <v>32.805999999999997</v>
      </c>
      <c r="K644" s="1">
        <v>464.52699999999999</v>
      </c>
      <c r="L644" s="1">
        <v>497.33499999999998</v>
      </c>
      <c r="M644" s="1" t="s">
        <v>41</v>
      </c>
    </row>
    <row r="645" spans="1:13" ht="13" x14ac:dyDescent="0.15">
      <c r="A645" s="1">
        <v>2</v>
      </c>
      <c r="B645" s="1">
        <v>3</v>
      </c>
      <c r="C645" s="1">
        <v>16</v>
      </c>
      <c r="D645" s="1" t="s">
        <v>24</v>
      </c>
      <c r="E645" s="1">
        <v>761</v>
      </c>
      <c r="F645" s="1">
        <v>9.0999999999999998E-2</v>
      </c>
      <c r="G645" s="1">
        <v>20521693</v>
      </c>
      <c r="H645" s="1">
        <f t="shared" si="4"/>
        <v>26966.745072273323</v>
      </c>
      <c r="I645" s="1">
        <v>987.596</v>
      </c>
      <c r="J645" s="1">
        <v>30.376000000000001</v>
      </c>
      <c r="K645" s="1">
        <v>1090.8779999999999</v>
      </c>
      <c r="L645" s="1">
        <v>1121.269</v>
      </c>
      <c r="M645" s="1" t="s">
        <v>41</v>
      </c>
    </row>
    <row r="646" spans="1:13" ht="13" x14ac:dyDescent="0.15">
      <c r="A646" s="1">
        <v>2</v>
      </c>
      <c r="B646" s="1">
        <v>3</v>
      </c>
      <c r="C646" s="1">
        <v>17</v>
      </c>
      <c r="D646" s="1" t="s">
        <v>21</v>
      </c>
      <c r="E646" s="1">
        <v>661</v>
      </c>
      <c r="F646" s="1">
        <v>5.7000000000000002E-2</v>
      </c>
      <c r="G646" s="1">
        <v>24648957</v>
      </c>
      <c r="H646" s="1">
        <f t="shared" si="4"/>
        <v>37290.403933434194</v>
      </c>
      <c r="I646" s="1">
        <v>1383.4280000000001</v>
      </c>
      <c r="J646" s="1">
        <v>30.774999999999999</v>
      </c>
      <c r="K646" s="1">
        <v>1484.521</v>
      </c>
      <c r="L646" s="1">
        <v>1515.298</v>
      </c>
      <c r="M646" s="1" t="s">
        <v>41</v>
      </c>
    </row>
    <row r="647" spans="1:13" ht="13" x14ac:dyDescent="0.15">
      <c r="A647" s="1">
        <v>2</v>
      </c>
      <c r="B647" s="1">
        <v>3</v>
      </c>
      <c r="C647" s="1">
        <v>18</v>
      </c>
      <c r="D647" s="1" t="s">
        <v>24</v>
      </c>
      <c r="E647" s="1">
        <v>737</v>
      </c>
      <c r="F647" s="1">
        <v>3.2000000000000001E-2</v>
      </c>
      <c r="G647" s="1">
        <v>26365174</v>
      </c>
      <c r="H647" s="1">
        <f t="shared" si="4"/>
        <v>35773.641791044778</v>
      </c>
      <c r="I647" s="1">
        <v>807.17899999999997</v>
      </c>
      <c r="J647" s="1">
        <v>32.860999999999997</v>
      </c>
      <c r="K647" s="1">
        <v>920.44200000000001</v>
      </c>
      <c r="L647" s="1">
        <v>953.30399999999997</v>
      </c>
      <c r="M647" s="1" t="s">
        <v>41</v>
      </c>
    </row>
    <row r="648" spans="1:13" ht="13" x14ac:dyDescent="0.15">
      <c r="A648" s="1">
        <v>2</v>
      </c>
      <c r="B648" s="1">
        <v>3</v>
      </c>
      <c r="C648" s="1">
        <v>19</v>
      </c>
      <c r="D648" s="1" t="s">
        <v>22</v>
      </c>
      <c r="E648" s="1">
        <v>702</v>
      </c>
      <c r="F648" s="1">
        <v>4.2000000000000003E-2</v>
      </c>
      <c r="G648" s="1">
        <v>26016147</v>
      </c>
      <c r="H648" s="1">
        <f t="shared" si="4"/>
        <v>37060.038461538461</v>
      </c>
      <c r="I648" s="1">
        <v>1249.0340000000001</v>
      </c>
      <c r="J648" s="1">
        <v>31.128</v>
      </c>
      <c r="K648" s="1">
        <v>1372.1220000000001</v>
      </c>
      <c r="L648" s="1">
        <v>1403.2529999999999</v>
      </c>
      <c r="M648" s="1" t="s">
        <v>41</v>
      </c>
    </row>
    <row r="649" spans="1:13" ht="13" x14ac:dyDescent="0.15">
      <c r="A649" s="1">
        <v>2</v>
      </c>
      <c r="B649" s="1">
        <v>3</v>
      </c>
      <c r="C649" s="1">
        <v>20</v>
      </c>
      <c r="D649" s="1" t="s">
        <v>24</v>
      </c>
      <c r="E649" s="1">
        <v>571</v>
      </c>
      <c r="F649" s="1">
        <v>3.3000000000000002E-2</v>
      </c>
      <c r="G649" s="1">
        <v>18701739</v>
      </c>
      <c r="H649" s="1">
        <f t="shared" si="4"/>
        <v>32752.607705779334</v>
      </c>
      <c r="I649" s="1">
        <v>876.12300000000005</v>
      </c>
      <c r="J649" s="1">
        <v>31.832000000000001</v>
      </c>
      <c r="K649" s="1">
        <v>949.29</v>
      </c>
      <c r="L649" s="1">
        <v>981.12400000000002</v>
      </c>
      <c r="M649" s="1" t="s">
        <v>41</v>
      </c>
    </row>
    <row r="650" spans="1:13" ht="13" x14ac:dyDescent="0.15">
      <c r="A650" s="1">
        <v>3</v>
      </c>
      <c r="B650" s="1">
        <v>2</v>
      </c>
      <c r="C650" s="1">
        <v>1</v>
      </c>
      <c r="D650" s="1" t="s">
        <v>24</v>
      </c>
      <c r="E650" s="1">
        <v>534</v>
      </c>
      <c r="F650" s="1">
        <v>9.0999999999999998E-2</v>
      </c>
      <c r="G650" s="1">
        <v>25598216</v>
      </c>
      <c r="H650" s="1">
        <f t="shared" si="4"/>
        <v>47936.734082397001</v>
      </c>
      <c r="I650" s="1">
        <v>936.19</v>
      </c>
      <c r="J650" s="1">
        <v>33.308</v>
      </c>
      <c r="K650" s="1">
        <v>1040.952</v>
      </c>
      <c r="L650" s="1">
        <v>1074.277</v>
      </c>
      <c r="M650" s="1" t="s">
        <v>41</v>
      </c>
    </row>
    <row r="651" spans="1:13" ht="13" x14ac:dyDescent="0.15">
      <c r="A651" s="1">
        <v>3</v>
      </c>
      <c r="B651" s="1">
        <v>2</v>
      </c>
      <c r="C651" s="1">
        <v>2</v>
      </c>
      <c r="D651" s="1" t="s">
        <v>24</v>
      </c>
      <c r="E651" s="1">
        <v>449</v>
      </c>
      <c r="F651" s="1">
        <v>6.4000000000000001E-2</v>
      </c>
      <c r="G651" s="1">
        <v>11560063</v>
      </c>
      <c r="H651" s="1">
        <f t="shared" si="4"/>
        <v>25746.242761692651</v>
      </c>
      <c r="I651" s="1">
        <v>297.78500000000003</v>
      </c>
      <c r="J651" s="1">
        <v>32.515999999999998</v>
      </c>
      <c r="K651" s="1">
        <v>337.35199999999998</v>
      </c>
      <c r="L651" s="1">
        <v>369.91199999999998</v>
      </c>
      <c r="M651" s="1" t="s">
        <v>41</v>
      </c>
    </row>
    <row r="652" spans="1:13" ht="13" x14ac:dyDescent="0.15">
      <c r="A652" s="1">
        <v>3</v>
      </c>
      <c r="B652" s="1">
        <v>2</v>
      </c>
      <c r="C652" s="1">
        <v>3</v>
      </c>
      <c r="D652" s="1" t="s">
        <v>24</v>
      </c>
      <c r="E652" s="1">
        <v>878</v>
      </c>
      <c r="F652" s="1">
        <v>0.13800000000000001</v>
      </c>
      <c r="G652" s="1">
        <v>35025737</v>
      </c>
      <c r="H652" s="1">
        <f t="shared" si="4"/>
        <v>39892.638952164009</v>
      </c>
      <c r="I652" s="1">
        <v>2743.3069999999998</v>
      </c>
      <c r="J652" s="1">
        <v>30.669</v>
      </c>
      <c r="K652" s="1">
        <v>2896.194</v>
      </c>
      <c r="L652" s="1">
        <v>2926.8939999999998</v>
      </c>
      <c r="M652" s="1" t="s">
        <v>41</v>
      </c>
    </row>
    <row r="653" spans="1:13" ht="13" x14ac:dyDescent="0.15">
      <c r="A653" s="1">
        <v>3</v>
      </c>
      <c r="B653" s="1">
        <v>2</v>
      </c>
      <c r="C653" s="1">
        <v>4</v>
      </c>
      <c r="D653" s="1" t="s">
        <v>19</v>
      </c>
      <c r="E653" s="1">
        <v>678</v>
      </c>
      <c r="F653" s="1">
        <v>8.1000000000000003E-2</v>
      </c>
      <c r="G653" s="1">
        <v>23362518</v>
      </c>
      <c r="H653" s="1">
        <f t="shared" si="4"/>
        <v>34457.991150442474</v>
      </c>
      <c r="I653" s="1">
        <v>1802.7080000000001</v>
      </c>
      <c r="J653" s="1">
        <v>31.556999999999999</v>
      </c>
      <c r="K653" s="1">
        <v>1903.002</v>
      </c>
      <c r="L653" s="1">
        <v>1934.586</v>
      </c>
      <c r="M653" s="1" t="s">
        <v>41</v>
      </c>
    </row>
    <row r="654" spans="1:13" ht="13" x14ac:dyDescent="0.15">
      <c r="A654" s="1">
        <v>3</v>
      </c>
      <c r="B654" s="1">
        <v>2</v>
      </c>
      <c r="C654" s="1">
        <v>5</v>
      </c>
      <c r="D654" s="1" t="s">
        <v>24</v>
      </c>
      <c r="E654" s="1">
        <v>524</v>
      </c>
      <c r="F654" s="1">
        <v>8.5000000000000006E-2</v>
      </c>
      <c r="G654" s="1">
        <v>19594070</v>
      </c>
      <c r="H654" s="1">
        <f t="shared" si="4"/>
        <v>37393.263358778626</v>
      </c>
      <c r="I654" s="1">
        <v>744.89499999999998</v>
      </c>
      <c r="J654" s="1">
        <v>32.33</v>
      </c>
      <c r="K654" s="1">
        <v>825.92200000000003</v>
      </c>
      <c r="L654" s="1">
        <v>858.25400000000002</v>
      </c>
      <c r="M654" s="1" t="s">
        <v>41</v>
      </c>
    </row>
    <row r="655" spans="1:13" ht="13" x14ac:dyDescent="0.15">
      <c r="A655" s="1">
        <v>3</v>
      </c>
      <c r="B655" s="1">
        <v>2</v>
      </c>
      <c r="C655" s="1">
        <v>6</v>
      </c>
      <c r="D655" s="1" t="s">
        <v>24</v>
      </c>
      <c r="E655" s="1">
        <v>555</v>
      </c>
      <c r="F655" s="1">
        <v>6.7000000000000004E-2</v>
      </c>
      <c r="G655" s="1">
        <v>17306604</v>
      </c>
      <c r="H655" s="1">
        <f t="shared" si="4"/>
        <v>31183.070270270269</v>
      </c>
      <c r="I655" s="1">
        <v>458.48</v>
      </c>
      <c r="J655" s="1">
        <v>31.821000000000002</v>
      </c>
      <c r="K655" s="1">
        <v>522.12400000000002</v>
      </c>
      <c r="L655" s="1">
        <v>553.94600000000003</v>
      </c>
      <c r="M655" s="1" t="s">
        <v>41</v>
      </c>
    </row>
    <row r="656" spans="1:13" ht="13" x14ac:dyDescent="0.15">
      <c r="A656" s="1">
        <v>3</v>
      </c>
      <c r="B656" s="1">
        <v>2</v>
      </c>
      <c r="C656" s="1">
        <v>7</v>
      </c>
      <c r="D656" s="1" t="s">
        <v>27</v>
      </c>
      <c r="E656" s="1">
        <v>643</v>
      </c>
      <c r="F656" s="1">
        <v>5.5E-2</v>
      </c>
      <c r="G656" s="1">
        <v>23673836</v>
      </c>
      <c r="H656" s="1">
        <f t="shared" si="4"/>
        <v>36817.785381026435</v>
      </c>
      <c r="I656" s="1">
        <v>1682.472</v>
      </c>
      <c r="J656" s="1">
        <v>32.158000000000001</v>
      </c>
      <c r="K656" s="1">
        <v>1771.2919999999999</v>
      </c>
      <c r="L656" s="1">
        <v>1803.452</v>
      </c>
      <c r="M656" s="1" t="s">
        <v>41</v>
      </c>
    </row>
    <row r="657" spans="1:13" ht="13" x14ac:dyDescent="0.15">
      <c r="A657" s="1">
        <v>3</v>
      </c>
      <c r="B657" s="1">
        <v>2</v>
      </c>
      <c r="C657" s="1">
        <v>8</v>
      </c>
      <c r="D657" s="1" t="s">
        <v>24</v>
      </c>
      <c r="E657" s="1">
        <v>771</v>
      </c>
      <c r="F657" s="1">
        <v>8.5000000000000006E-2</v>
      </c>
      <c r="G657" s="1">
        <v>27066407</v>
      </c>
      <c r="H657" s="1">
        <f t="shared" si="4"/>
        <v>35105.586251621273</v>
      </c>
      <c r="I657" s="1">
        <v>1637.1289999999999</v>
      </c>
      <c r="J657" s="1">
        <v>31.931000000000001</v>
      </c>
      <c r="K657" s="1">
        <v>1760.346</v>
      </c>
      <c r="L657" s="1">
        <v>1792.2929999999999</v>
      </c>
      <c r="M657" s="1" t="s">
        <v>41</v>
      </c>
    </row>
    <row r="658" spans="1:13" ht="13" x14ac:dyDescent="0.15">
      <c r="A658" s="1">
        <v>3</v>
      </c>
      <c r="B658" s="1">
        <v>2</v>
      </c>
      <c r="C658" s="1">
        <v>9</v>
      </c>
      <c r="D658" s="1" t="s">
        <v>24</v>
      </c>
      <c r="E658" s="1">
        <v>761</v>
      </c>
      <c r="F658" s="1">
        <v>0.13700000000000001</v>
      </c>
      <c r="G658" s="1">
        <v>27617620</v>
      </c>
      <c r="H658" s="1">
        <f t="shared" si="4"/>
        <v>36291.222076215505</v>
      </c>
      <c r="I658" s="1">
        <v>1548.443</v>
      </c>
      <c r="J658" s="1">
        <v>31.094000000000001</v>
      </c>
      <c r="K658" s="1">
        <v>1670.673</v>
      </c>
      <c r="L658" s="1">
        <v>1701.875</v>
      </c>
      <c r="M658" s="1" t="s">
        <v>41</v>
      </c>
    </row>
    <row r="659" spans="1:13" ht="13" x14ac:dyDescent="0.15">
      <c r="A659" s="1">
        <v>3</v>
      </c>
      <c r="B659" s="1">
        <v>2</v>
      </c>
      <c r="C659" s="1">
        <v>10</v>
      </c>
      <c r="D659" s="1" t="s">
        <v>20</v>
      </c>
      <c r="E659" s="1">
        <v>814</v>
      </c>
      <c r="F659" s="1">
        <v>4.3999999999999997E-2</v>
      </c>
      <c r="G659" s="1">
        <v>27956549</v>
      </c>
      <c r="H659" s="1">
        <f t="shared" si="4"/>
        <v>34344.65479115479</v>
      </c>
      <c r="I659" s="1">
        <v>1226.7190000000001</v>
      </c>
      <c r="J659" s="1">
        <v>31.425999999999998</v>
      </c>
      <c r="K659" s="1">
        <v>1331.008</v>
      </c>
      <c r="L659" s="1">
        <v>1362.4369999999999</v>
      </c>
      <c r="M659" s="1" t="s">
        <v>41</v>
      </c>
    </row>
    <row r="660" spans="1:13" ht="13" x14ac:dyDescent="0.15">
      <c r="A660" s="1">
        <v>3</v>
      </c>
      <c r="B660" s="1">
        <v>2</v>
      </c>
      <c r="C660" s="1">
        <v>11</v>
      </c>
      <c r="D660" s="1" t="s">
        <v>24</v>
      </c>
      <c r="E660" s="1">
        <v>746</v>
      </c>
      <c r="F660" s="1">
        <v>0.17799999999999999</v>
      </c>
      <c r="G660" s="1">
        <v>31375361</v>
      </c>
      <c r="H660" s="1">
        <f t="shared" si="4"/>
        <v>42058.124664879353</v>
      </c>
      <c r="I660" s="1">
        <v>2010.1079999999999</v>
      </c>
      <c r="J660" s="1">
        <v>31.584</v>
      </c>
      <c r="K660" s="1">
        <v>2158.9340000000002</v>
      </c>
      <c r="L660" s="1">
        <v>2190.5210000000002</v>
      </c>
      <c r="M660" s="1" t="s">
        <v>41</v>
      </c>
    </row>
    <row r="661" spans="1:13" ht="13" x14ac:dyDescent="0.15">
      <c r="A661" s="1">
        <v>3</v>
      </c>
      <c r="B661" s="1">
        <v>2</v>
      </c>
      <c r="C661" s="1">
        <v>12</v>
      </c>
      <c r="D661" s="1" t="s">
        <v>24</v>
      </c>
      <c r="E661" s="1">
        <v>729</v>
      </c>
      <c r="F661" s="1">
        <v>7.8E-2</v>
      </c>
      <c r="G661" s="1">
        <v>24077875</v>
      </c>
      <c r="H661" s="1">
        <f t="shared" si="4"/>
        <v>33028.635116598081</v>
      </c>
      <c r="I661" s="1">
        <v>1084.809</v>
      </c>
      <c r="J661" s="1">
        <v>30.591000000000001</v>
      </c>
      <c r="K661" s="1">
        <v>1201.164</v>
      </c>
      <c r="L661" s="1">
        <v>1231.7719999999999</v>
      </c>
      <c r="M661" s="1" t="s">
        <v>41</v>
      </c>
    </row>
    <row r="662" spans="1:13" ht="13" x14ac:dyDescent="0.15">
      <c r="A662" s="1">
        <v>3</v>
      </c>
      <c r="B662" s="1">
        <v>2</v>
      </c>
      <c r="C662" s="1">
        <v>13</v>
      </c>
      <c r="D662" s="1" t="s">
        <v>42</v>
      </c>
      <c r="E662" s="1">
        <v>550</v>
      </c>
      <c r="F662" s="1">
        <v>0.20399999999999999</v>
      </c>
      <c r="G662" s="1">
        <v>22676475</v>
      </c>
      <c r="H662" s="1">
        <f t="shared" si="4"/>
        <v>41229.954545454544</v>
      </c>
      <c r="I662" s="1">
        <v>1496.154</v>
      </c>
      <c r="J662" s="1">
        <v>30.907</v>
      </c>
      <c r="K662" s="1">
        <v>1584.404</v>
      </c>
      <c r="L662" s="1">
        <v>1615.327</v>
      </c>
      <c r="M662" s="1" t="s">
        <v>41</v>
      </c>
    </row>
    <row r="663" spans="1:13" ht="13" x14ac:dyDescent="0.15">
      <c r="A663" s="1">
        <v>3</v>
      </c>
      <c r="B663" s="1">
        <v>2</v>
      </c>
      <c r="C663" s="1">
        <v>14</v>
      </c>
      <c r="D663" s="1" t="s">
        <v>30</v>
      </c>
      <c r="E663" s="1">
        <v>599</v>
      </c>
      <c r="F663" s="1">
        <v>0.05</v>
      </c>
      <c r="G663" s="1">
        <v>20539742</v>
      </c>
      <c r="H663" s="1">
        <f t="shared" si="4"/>
        <v>34290.05342237062</v>
      </c>
      <c r="I663" s="1">
        <v>1268.0809999999999</v>
      </c>
      <c r="J663" s="1">
        <v>31.736999999999998</v>
      </c>
      <c r="K663" s="1">
        <v>1353.106</v>
      </c>
      <c r="L663" s="1">
        <v>1384.845</v>
      </c>
      <c r="M663" s="1" t="s">
        <v>41</v>
      </c>
    </row>
    <row r="664" spans="1:13" ht="13" x14ac:dyDescent="0.15">
      <c r="A664" s="1">
        <v>3</v>
      </c>
      <c r="B664" s="1">
        <v>2</v>
      </c>
      <c r="C664" s="1">
        <v>15</v>
      </c>
      <c r="D664" s="1" t="s">
        <v>24</v>
      </c>
      <c r="E664" s="1">
        <v>454</v>
      </c>
      <c r="F664" s="1">
        <v>3.9E-2</v>
      </c>
      <c r="G664" s="1">
        <v>15309914</v>
      </c>
      <c r="H664" s="1">
        <f t="shared" si="4"/>
        <v>33722.277533039647</v>
      </c>
      <c r="I664" s="1">
        <v>409.48200000000003</v>
      </c>
      <c r="J664" s="1">
        <v>32.276000000000003</v>
      </c>
      <c r="K664" s="1">
        <v>486.09100000000001</v>
      </c>
      <c r="L664" s="1">
        <v>518.36800000000005</v>
      </c>
      <c r="M664" s="1" t="s">
        <v>41</v>
      </c>
    </row>
    <row r="665" spans="1:13" ht="13" x14ac:dyDescent="0.15">
      <c r="A665" s="1">
        <v>3</v>
      </c>
      <c r="B665" s="1">
        <v>2</v>
      </c>
      <c r="C665" s="1">
        <v>16</v>
      </c>
      <c r="D665" s="1" t="s">
        <v>24</v>
      </c>
      <c r="E665" s="1">
        <v>761</v>
      </c>
      <c r="F665" s="1">
        <v>7.9000000000000001E-2</v>
      </c>
      <c r="G665" s="1">
        <v>20994334</v>
      </c>
      <c r="H665" s="1">
        <f t="shared" si="4"/>
        <v>27587.823915900131</v>
      </c>
      <c r="I665" s="1">
        <v>777.88400000000001</v>
      </c>
      <c r="J665" s="1">
        <v>32.290999999999997</v>
      </c>
      <c r="K665" s="1">
        <v>881.851</v>
      </c>
      <c r="L665" s="1">
        <v>914.14400000000001</v>
      </c>
      <c r="M665" s="1" t="s">
        <v>41</v>
      </c>
    </row>
    <row r="666" spans="1:13" ht="13" x14ac:dyDescent="0.15">
      <c r="A666" s="1">
        <v>3</v>
      </c>
      <c r="B666" s="1">
        <v>2</v>
      </c>
      <c r="C666" s="1">
        <v>17</v>
      </c>
      <c r="D666" s="1" t="s">
        <v>21</v>
      </c>
      <c r="E666" s="1">
        <v>661</v>
      </c>
      <c r="F666" s="1">
        <v>7.6999999999999999E-2</v>
      </c>
      <c r="G666" s="1">
        <v>24231718</v>
      </c>
      <c r="H666" s="1">
        <f t="shared" si="4"/>
        <v>36659.180030257186</v>
      </c>
      <c r="I666" s="1">
        <v>1636.5309999999999</v>
      </c>
      <c r="J666" s="1">
        <v>30.719000000000001</v>
      </c>
      <c r="K666" s="1">
        <v>1732.2819999999999</v>
      </c>
      <c r="L666" s="1">
        <v>1763.0029999999999</v>
      </c>
      <c r="M666" s="1" t="s">
        <v>41</v>
      </c>
    </row>
    <row r="667" spans="1:13" ht="13" x14ac:dyDescent="0.15">
      <c r="A667" s="1">
        <v>3</v>
      </c>
      <c r="B667" s="1">
        <v>2</v>
      </c>
      <c r="C667" s="1">
        <v>18</v>
      </c>
      <c r="D667" s="1" t="s">
        <v>24</v>
      </c>
      <c r="E667" s="1">
        <v>737</v>
      </c>
      <c r="F667" s="1">
        <v>5.2999999999999999E-2</v>
      </c>
      <c r="G667" s="1">
        <v>26556879</v>
      </c>
      <c r="H667" s="1">
        <f t="shared" si="4"/>
        <v>36033.757123473544</v>
      </c>
      <c r="I667" s="1">
        <v>1772.4349999999999</v>
      </c>
      <c r="J667" s="1">
        <v>32.722999999999999</v>
      </c>
      <c r="K667" s="1">
        <v>1885.067</v>
      </c>
      <c r="L667" s="1">
        <v>1917.7919999999999</v>
      </c>
      <c r="M667" s="1" t="s">
        <v>41</v>
      </c>
    </row>
    <row r="668" spans="1:13" ht="13" x14ac:dyDescent="0.15">
      <c r="A668" s="1">
        <v>3</v>
      </c>
      <c r="B668" s="1">
        <v>2</v>
      </c>
      <c r="C668" s="1">
        <v>19</v>
      </c>
      <c r="D668" s="1" t="s">
        <v>22</v>
      </c>
      <c r="E668" s="1">
        <v>702</v>
      </c>
      <c r="F668" s="1">
        <v>4.5999999999999999E-2</v>
      </c>
      <c r="G668" s="1">
        <v>26087315</v>
      </c>
      <c r="H668" s="1">
        <f t="shared" si="4"/>
        <v>37161.41737891738</v>
      </c>
      <c r="I668" s="1">
        <v>1291.395</v>
      </c>
      <c r="J668" s="1">
        <v>30.908000000000001</v>
      </c>
      <c r="K668" s="1">
        <v>1408.97</v>
      </c>
      <c r="L668" s="1">
        <v>1439.8820000000001</v>
      </c>
      <c r="M668" s="1" t="s">
        <v>41</v>
      </c>
    </row>
    <row r="669" spans="1:13" ht="13" x14ac:dyDescent="0.15">
      <c r="A669" s="1">
        <v>3</v>
      </c>
      <c r="B669" s="1">
        <v>2</v>
      </c>
      <c r="C669" s="1">
        <v>20</v>
      </c>
      <c r="D669" s="1" t="s">
        <v>24</v>
      </c>
      <c r="E669" s="1">
        <v>571</v>
      </c>
      <c r="F669" s="1">
        <v>3.1E-2</v>
      </c>
      <c r="G669" s="1">
        <v>19275168</v>
      </c>
      <c r="H669" s="1">
        <f t="shared" si="4"/>
        <v>33756.861646234676</v>
      </c>
      <c r="I669" s="1">
        <v>825.16200000000003</v>
      </c>
      <c r="J669" s="1">
        <v>32.081000000000003</v>
      </c>
      <c r="K669" s="1">
        <v>898.98199999999997</v>
      </c>
      <c r="L669" s="1">
        <v>931.06399999999996</v>
      </c>
      <c r="M669" s="1" t="s">
        <v>41</v>
      </c>
    </row>
    <row r="670" spans="1:13" ht="13" x14ac:dyDescent="0.15">
      <c r="A670" s="5">
        <v>1</v>
      </c>
      <c r="B670" s="5">
        <v>5</v>
      </c>
      <c r="C670" s="5">
        <v>1</v>
      </c>
      <c r="D670" s="6" t="s">
        <v>24</v>
      </c>
      <c r="E670" s="5">
        <v>1378</v>
      </c>
      <c r="F670" s="5">
        <v>0.127</v>
      </c>
      <c r="G670" s="5">
        <v>133608828</v>
      </c>
      <c r="H670" s="1">
        <f t="shared" si="4"/>
        <v>96958.510885341078</v>
      </c>
      <c r="I670" s="5">
        <v>4863.8630000000003</v>
      </c>
      <c r="J670" s="5">
        <v>71.364000000000004</v>
      </c>
      <c r="K670" s="5">
        <v>5401.04</v>
      </c>
      <c r="L670" s="5">
        <v>5472.4390000000003</v>
      </c>
      <c r="M670" s="6" t="s">
        <v>41</v>
      </c>
    </row>
    <row r="671" spans="1:13" ht="13" x14ac:dyDescent="0.15">
      <c r="A671" s="5">
        <v>5</v>
      </c>
      <c r="B671" s="5">
        <v>1</v>
      </c>
      <c r="C671" s="5">
        <v>1</v>
      </c>
      <c r="D671" s="6" t="s">
        <v>24</v>
      </c>
      <c r="E671" s="5">
        <v>1378</v>
      </c>
      <c r="F671" s="5">
        <v>0.19800000000000001</v>
      </c>
      <c r="G671" s="5">
        <v>133762958</v>
      </c>
      <c r="H671" s="1">
        <f t="shared" si="4"/>
        <v>97070.361393323663</v>
      </c>
      <c r="I671" s="5">
        <v>6756.1610000000001</v>
      </c>
      <c r="J671" s="5">
        <v>71.695999999999998</v>
      </c>
      <c r="K671" s="5">
        <v>7272.8609999999999</v>
      </c>
      <c r="L671" s="5">
        <v>7344.5870000000004</v>
      </c>
      <c r="M671" s="6" t="s">
        <v>41</v>
      </c>
    </row>
    <row r="672" spans="1:13" ht="13" x14ac:dyDescent="0.15">
      <c r="A672" s="5">
        <v>2</v>
      </c>
      <c r="B672" s="5">
        <v>4</v>
      </c>
      <c r="C672" s="5">
        <v>1</v>
      </c>
      <c r="D672" s="6" t="s">
        <v>24</v>
      </c>
      <c r="E672" s="5">
        <v>1378</v>
      </c>
      <c r="F672" s="5">
        <v>0.39</v>
      </c>
      <c r="G672" s="5">
        <v>140291313</v>
      </c>
      <c r="H672" s="1">
        <f t="shared" si="4"/>
        <v>101807.91944847605</v>
      </c>
      <c r="I672" s="5">
        <v>9574.4</v>
      </c>
      <c r="J672" s="5">
        <v>70.998000000000005</v>
      </c>
      <c r="K672" s="5">
        <v>10250.299999999999</v>
      </c>
      <c r="L672" s="5">
        <v>10321.299999999999</v>
      </c>
      <c r="M672" s="6" t="s">
        <v>41</v>
      </c>
    </row>
    <row r="673" spans="1:13" ht="13" x14ac:dyDescent="0.15">
      <c r="A673" s="5">
        <v>4</v>
      </c>
      <c r="B673" s="5">
        <v>2</v>
      </c>
      <c r="C673" s="5">
        <v>1</v>
      </c>
      <c r="D673" s="6" t="s">
        <v>24</v>
      </c>
      <c r="E673" s="5">
        <v>1378</v>
      </c>
      <c r="F673" s="5">
        <v>0.13100000000000001</v>
      </c>
      <c r="G673" s="5">
        <v>144590066</v>
      </c>
      <c r="H673" s="1">
        <f t="shared" si="4"/>
        <v>104927.47895500726</v>
      </c>
      <c r="I673" s="5">
        <v>7706.2079999999996</v>
      </c>
      <c r="J673" s="5">
        <v>71.603999999999999</v>
      </c>
      <c r="K673" s="5">
        <v>8353.8359999999993</v>
      </c>
      <c r="L673" s="5">
        <v>8425.4419999999991</v>
      </c>
      <c r="M673" s="6" t="s">
        <v>41</v>
      </c>
    </row>
    <row r="674" spans="1:13" ht="13" x14ac:dyDescent="0.15">
      <c r="A674" s="5">
        <v>3</v>
      </c>
      <c r="B674" s="5">
        <v>3</v>
      </c>
      <c r="C674" s="5">
        <v>1</v>
      </c>
      <c r="D674" s="6" t="s">
        <v>24</v>
      </c>
      <c r="E674" s="5">
        <v>1378</v>
      </c>
      <c r="F674" s="5">
        <v>0.189</v>
      </c>
      <c r="G674" s="5">
        <v>138424046</v>
      </c>
      <c r="H674" s="1">
        <f t="shared" si="4"/>
        <v>100452.86357039187</v>
      </c>
      <c r="I674" s="5">
        <v>8217.4210000000003</v>
      </c>
      <c r="J674" s="5">
        <v>71.584000000000003</v>
      </c>
      <c r="K674" s="5">
        <v>8864.2469999999994</v>
      </c>
      <c r="L674" s="5">
        <v>8935.8490000000002</v>
      </c>
      <c r="M674" s="6" t="s">
        <v>41</v>
      </c>
    </row>
    <row r="675" spans="1:13" ht="13" x14ac:dyDescent="0.15">
      <c r="A675" s="5">
        <v>5</v>
      </c>
      <c r="B675" s="5">
        <v>1</v>
      </c>
      <c r="C675" s="5">
        <v>2</v>
      </c>
      <c r="D675" s="6" t="s">
        <v>24</v>
      </c>
      <c r="E675" s="5">
        <v>1004</v>
      </c>
      <c r="F675" s="5">
        <v>7.4999999999999997E-2</v>
      </c>
      <c r="G675" s="5">
        <v>69414698</v>
      </c>
      <c r="H675" s="1">
        <f t="shared" si="4"/>
        <v>69138.145418326691</v>
      </c>
      <c r="I675" s="5">
        <v>2268.1999999999998</v>
      </c>
      <c r="J675" s="5">
        <v>69.111999999999995</v>
      </c>
      <c r="K675" s="5">
        <v>2486.0529999999999</v>
      </c>
      <c r="L675" s="5">
        <v>2555.1660000000002</v>
      </c>
      <c r="M675" s="6" t="s">
        <v>41</v>
      </c>
    </row>
    <row r="676" spans="1:13" ht="13" x14ac:dyDescent="0.15">
      <c r="A676" s="5">
        <v>1</v>
      </c>
      <c r="B676" s="5">
        <v>5</v>
      </c>
      <c r="C676" s="5">
        <v>2</v>
      </c>
      <c r="D676" s="6" t="s">
        <v>24</v>
      </c>
      <c r="E676" s="5">
        <v>1004</v>
      </c>
      <c r="F676" s="5">
        <v>5.8999999999999997E-2</v>
      </c>
      <c r="G676" s="5">
        <v>65902900</v>
      </c>
      <c r="H676" s="1">
        <f t="shared" si="4"/>
        <v>65640.33864541832</v>
      </c>
      <c r="I676" s="5">
        <v>2936.4769999999999</v>
      </c>
      <c r="J676" s="5">
        <v>68.846999999999994</v>
      </c>
      <c r="K676" s="5">
        <v>3167.6129999999998</v>
      </c>
      <c r="L676" s="5">
        <v>3236.462</v>
      </c>
      <c r="M676" s="6" t="s">
        <v>41</v>
      </c>
    </row>
    <row r="677" spans="1:13" ht="13" x14ac:dyDescent="0.15">
      <c r="A677" s="5">
        <v>2</v>
      </c>
      <c r="B677" s="5">
        <v>4</v>
      </c>
      <c r="C677" s="5">
        <v>2</v>
      </c>
      <c r="D677" s="6" t="s">
        <v>24</v>
      </c>
      <c r="E677" s="5">
        <v>1004</v>
      </c>
      <c r="F677" s="5">
        <v>8.5999999999999993E-2</v>
      </c>
      <c r="G677" s="5">
        <v>74855925</v>
      </c>
      <c r="H677" s="1">
        <f t="shared" si="4"/>
        <v>74557.694223107566</v>
      </c>
      <c r="I677" s="5">
        <v>3528.6689999999999</v>
      </c>
      <c r="J677" s="5">
        <v>69.691000000000003</v>
      </c>
      <c r="K677" s="5">
        <v>3881.2809999999999</v>
      </c>
      <c r="L677" s="5">
        <v>3950.9940000000001</v>
      </c>
      <c r="M677" s="6" t="s">
        <v>41</v>
      </c>
    </row>
    <row r="678" spans="1:13" ht="13" x14ac:dyDescent="0.15">
      <c r="A678" s="5">
        <v>4</v>
      </c>
      <c r="B678" s="5">
        <v>2</v>
      </c>
      <c r="C678" s="5">
        <v>2</v>
      </c>
      <c r="D678" s="6" t="s">
        <v>24</v>
      </c>
      <c r="E678" s="5">
        <v>1004</v>
      </c>
      <c r="F678" s="5">
        <v>8.5999999999999993E-2</v>
      </c>
      <c r="G678" s="5">
        <v>71095519</v>
      </c>
      <c r="H678" s="1">
        <f t="shared" si="4"/>
        <v>70812.269920318722</v>
      </c>
      <c r="I678" s="5">
        <v>2959.0430000000001</v>
      </c>
      <c r="J678" s="5">
        <v>68.796000000000006</v>
      </c>
      <c r="K678" s="5">
        <v>3266.3679999999999</v>
      </c>
      <c r="L678" s="5">
        <v>3335.1959999999999</v>
      </c>
      <c r="M678" s="6" t="s">
        <v>41</v>
      </c>
    </row>
    <row r="679" spans="1:13" ht="13" x14ac:dyDescent="0.15">
      <c r="A679" s="5">
        <v>3</v>
      </c>
      <c r="B679" s="5">
        <v>3</v>
      </c>
      <c r="C679" s="5">
        <v>2</v>
      </c>
      <c r="D679" s="6" t="s">
        <v>24</v>
      </c>
      <c r="E679" s="5">
        <v>1004</v>
      </c>
      <c r="F679" s="5">
        <v>0.13100000000000001</v>
      </c>
      <c r="G679" s="5">
        <v>69115252</v>
      </c>
      <c r="H679" s="1">
        <f t="shared" si="4"/>
        <v>68839.89243027888</v>
      </c>
      <c r="I679" s="5">
        <v>2822.578</v>
      </c>
      <c r="J679" s="5">
        <v>69.495000000000005</v>
      </c>
      <c r="K679" s="5">
        <v>3115.9319999999998</v>
      </c>
      <c r="L679" s="5">
        <v>3185.4279999999999</v>
      </c>
      <c r="M679" s="6" t="s">
        <v>41</v>
      </c>
    </row>
    <row r="680" spans="1:13" ht="13" x14ac:dyDescent="0.15">
      <c r="A680" s="5">
        <v>5</v>
      </c>
      <c r="B680" s="5">
        <v>1</v>
      </c>
      <c r="C680" s="5">
        <v>3</v>
      </c>
      <c r="D680" s="6" t="s">
        <v>24</v>
      </c>
      <c r="E680" s="5">
        <v>1779</v>
      </c>
      <c r="F680" s="5">
        <v>0.112</v>
      </c>
      <c r="G680" s="5">
        <v>153996705</v>
      </c>
      <c r="H680" s="1">
        <f t="shared" si="4"/>
        <v>86563.63406408095</v>
      </c>
      <c r="I680" s="5">
        <v>6107.3329999999996</v>
      </c>
      <c r="J680" s="5">
        <v>67.742000000000004</v>
      </c>
      <c r="K680" s="5">
        <v>6758.54</v>
      </c>
      <c r="L680" s="5">
        <v>6826.2830000000004</v>
      </c>
      <c r="M680" s="6" t="s">
        <v>41</v>
      </c>
    </row>
    <row r="681" spans="1:13" ht="13" x14ac:dyDescent="0.15">
      <c r="A681" s="5">
        <v>1</v>
      </c>
      <c r="B681" s="5">
        <v>5</v>
      </c>
      <c r="C681" s="5">
        <v>3</v>
      </c>
      <c r="D681" s="6" t="s">
        <v>24</v>
      </c>
      <c r="E681" s="5">
        <v>1779</v>
      </c>
      <c r="F681" s="5">
        <v>0.16300000000000001</v>
      </c>
      <c r="G681" s="5">
        <v>157361224</v>
      </c>
      <c r="H681" s="1">
        <f t="shared" si="4"/>
        <v>88454.875772906133</v>
      </c>
      <c r="I681" s="5">
        <v>9574.6620000000003</v>
      </c>
      <c r="J681" s="5">
        <v>67.436999999999998</v>
      </c>
      <c r="K681" s="5">
        <v>10221.450999999999</v>
      </c>
      <c r="L681" s="5">
        <v>10288.888999999999</v>
      </c>
      <c r="M681" s="6" t="s">
        <v>41</v>
      </c>
    </row>
    <row r="682" spans="1:13" ht="13" x14ac:dyDescent="0.15">
      <c r="A682" s="5">
        <v>2</v>
      </c>
      <c r="B682" s="5">
        <v>4</v>
      </c>
      <c r="C682" s="5">
        <v>3</v>
      </c>
      <c r="D682" s="6" t="s">
        <v>24</v>
      </c>
      <c r="E682" s="5">
        <v>1779</v>
      </c>
      <c r="F682" s="5">
        <v>0.17699999999999999</v>
      </c>
      <c r="G682" s="5">
        <v>167124257</v>
      </c>
      <c r="H682" s="1">
        <f t="shared" si="4"/>
        <v>93942.808881394041</v>
      </c>
      <c r="I682" s="5">
        <v>11894.981</v>
      </c>
      <c r="J682" s="5">
        <v>67.125</v>
      </c>
      <c r="K682" s="5">
        <v>12707.271000000001</v>
      </c>
      <c r="L682" s="5">
        <v>12774.397999999999</v>
      </c>
      <c r="M682" s="6" t="s">
        <v>41</v>
      </c>
    </row>
    <row r="683" spans="1:13" ht="13" x14ac:dyDescent="0.15">
      <c r="A683" s="5">
        <v>4</v>
      </c>
      <c r="B683" s="5">
        <v>2</v>
      </c>
      <c r="C683" s="5">
        <v>3</v>
      </c>
      <c r="D683" s="6" t="s">
        <v>24</v>
      </c>
      <c r="E683" s="5">
        <v>1779</v>
      </c>
      <c r="F683" s="5">
        <v>0.35499999999999998</v>
      </c>
      <c r="G683" s="5">
        <v>159815780</v>
      </c>
      <c r="H683" s="1">
        <f t="shared" si="4"/>
        <v>89834.614952220349</v>
      </c>
      <c r="I683" s="5">
        <v>13874.214</v>
      </c>
      <c r="J683" s="5">
        <v>67.221999999999994</v>
      </c>
      <c r="K683" s="5">
        <v>14659.835999999999</v>
      </c>
      <c r="L683" s="5">
        <v>14727.062</v>
      </c>
      <c r="M683" s="6" t="s">
        <v>41</v>
      </c>
    </row>
    <row r="684" spans="1:13" ht="13" x14ac:dyDescent="0.15">
      <c r="A684" s="5">
        <v>5</v>
      </c>
      <c r="B684" s="5">
        <v>1</v>
      </c>
      <c r="C684" s="5">
        <v>4</v>
      </c>
      <c r="D684" s="6" t="s">
        <v>24</v>
      </c>
      <c r="E684" s="5">
        <v>1380</v>
      </c>
      <c r="F684" s="5">
        <v>0.247</v>
      </c>
      <c r="G684" s="5">
        <v>104022012</v>
      </c>
      <c r="H684" s="1">
        <f t="shared" si="4"/>
        <v>75378.269565217386</v>
      </c>
      <c r="I684" s="5">
        <v>4533.9129999999996</v>
      </c>
      <c r="J684" s="5">
        <v>67.412999999999997</v>
      </c>
      <c r="K684" s="5">
        <v>5029.7160000000003</v>
      </c>
      <c r="L684" s="5">
        <v>5097.13</v>
      </c>
      <c r="M684" s="6" t="s">
        <v>41</v>
      </c>
    </row>
    <row r="685" spans="1:13" ht="13" x14ac:dyDescent="0.15">
      <c r="A685" s="5">
        <v>1</v>
      </c>
      <c r="B685" s="5">
        <v>5</v>
      </c>
      <c r="C685" s="5">
        <v>4</v>
      </c>
      <c r="D685" s="6" t="s">
        <v>23</v>
      </c>
      <c r="E685" s="5">
        <v>1380</v>
      </c>
      <c r="F685" s="5">
        <v>0.187</v>
      </c>
      <c r="G685" s="5">
        <v>105004875</v>
      </c>
      <c r="H685" s="1">
        <f t="shared" si="4"/>
        <v>76090.489130434784</v>
      </c>
      <c r="I685" s="5">
        <v>7424.83</v>
      </c>
      <c r="J685" s="5">
        <v>66.203000000000003</v>
      </c>
      <c r="K685" s="5">
        <v>7889.3050000000003</v>
      </c>
      <c r="L685" s="5">
        <v>7955.5219999999999</v>
      </c>
      <c r="M685" s="6" t="s">
        <v>41</v>
      </c>
    </row>
    <row r="686" spans="1:13" ht="13" x14ac:dyDescent="0.15">
      <c r="A686" s="5">
        <v>2</v>
      </c>
      <c r="B686" s="5">
        <v>4</v>
      </c>
      <c r="C686" s="5">
        <v>4</v>
      </c>
      <c r="D686" s="6" t="s">
        <v>23</v>
      </c>
      <c r="E686" s="5">
        <v>1380</v>
      </c>
      <c r="F686" s="5">
        <v>0.17399999999999999</v>
      </c>
      <c r="G686" s="5">
        <v>111523378</v>
      </c>
      <c r="H686" s="1">
        <f t="shared" si="4"/>
        <v>80814.04202898551</v>
      </c>
      <c r="I686" s="5">
        <v>8214.1370000000006</v>
      </c>
      <c r="J686" s="5">
        <v>66.519000000000005</v>
      </c>
      <c r="K686" s="5">
        <v>8687.9860000000008</v>
      </c>
      <c r="L686" s="5">
        <v>8754.6260000000002</v>
      </c>
      <c r="M686" s="6" t="s">
        <v>41</v>
      </c>
    </row>
    <row r="687" spans="1:13" ht="13" x14ac:dyDescent="0.15">
      <c r="A687" s="5">
        <v>4</v>
      </c>
      <c r="B687" s="5">
        <v>2</v>
      </c>
      <c r="C687" s="5">
        <v>4</v>
      </c>
      <c r="D687" s="6" t="s">
        <v>24</v>
      </c>
      <c r="E687" s="5">
        <v>1380</v>
      </c>
      <c r="F687" s="5">
        <v>0.28499999999999998</v>
      </c>
      <c r="G687" s="5">
        <v>112134080</v>
      </c>
      <c r="H687" s="1">
        <f t="shared" si="4"/>
        <v>81256.579710144928</v>
      </c>
      <c r="I687" s="5">
        <v>5515.8249999999998</v>
      </c>
      <c r="J687" s="5">
        <v>67.975999999999999</v>
      </c>
      <c r="K687" s="5">
        <v>5969.8879999999999</v>
      </c>
      <c r="L687" s="5">
        <v>6037.88</v>
      </c>
      <c r="M687" s="6" t="s">
        <v>41</v>
      </c>
    </row>
    <row r="688" spans="1:13" ht="13" x14ac:dyDescent="0.15">
      <c r="A688" s="5">
        <v>3</v>
      </c>
      <c r="B688" s="5">
        <v>3</v>
      </c>
      <c r="C688" s="5">
        <v>4</v>
      </c>
      <c r="D688" s="6" t="s">
        <v>23</v>
      </c>
      <c r="E688" s="5">
        <v>1380</v>
      </c>
      <c r="F688" s="5">
        <v>0.36499999999999999</v>
      </c>
      <c r="G688" s="5">
        <v>113582717</v>
      </c>
      <c r="H688" s="1">
        <f t="shared" si="4"/>
        <v>82306.316666666666</v>
      </c>
      <c r="I688" s="5">
        <v>8474.0930000000008</v>
      </c>
      <c r="J688" s="5">
        <v>66.989000000000004</v>
      </c>
      <c r="K688" s="5">
        <v>8925.0619999999999</v>
      </c>
      <c r="L688" s="5">
        <v>8992.0529999999999</v>
      </c>
      <c r="M688" s="6" t="s">
        <v>41</v>
      </c>
    </row>
    <row r="689" spans="1:13" ht="13" x14ac:dyDescent="0.15">
      <c r="A689" s="5">
        <v>5</v>
      </c>
      <c r="B689" s="5">
        <v>1</v>
      </c>
      <c r="C689" s="5">
        <v>5</v>
      </c>
      <c r="D689" s="6" t="s">
        <v>24</v>
      </c>
      <c r="E689" s="5">
        <v>1216</v>
      </c>
      <c r="F689" s="5">
        <v>0.27600000000000002</v>
      </c>
      <c r="G689" s="5">
        <v>104542476</v>
      </c>
      <c r="H689" s="1">
        <f t="shared" si="4"/>
        <v>85972.430921052626</v>
      </c>
      <c r="I689" s="5">
        <v>7871.0410000000002</v>
      </c>
      <c r="J689" s="5">
        <v>71.085999999999999</v>
      </c>
      <c r="K689" s="5">
        <v>8264.2260000000006</v>
      </c>
      <c r="L689" s="5">
        <v>8335.3140000000003</v>
      </c>
      <c r="M689" s="6" t="s">
        <v>41</v>
      </c>
    </row>
    <row r="690" spans="1:13" ht="13" x14ac:dyDescent="0.15">
      <c r="A690" s="5">
        <v>1</v>
      </c>
      <c r="B690" s="5">
        <v>5</v>
      </c>
      <c r="C690" s="5">
        <v>5</v>
      </c>
      <c r="D690" s="6" t="s">
        <v>24</v>
      </c>
      <c r="E690" s="5">
        <v>1216</v>
      </c>
      <c r="F690" s="5">
        <v>0.129</v>
      </c>
      <c r="G690" s="5">
        <v>82566403</v>
      </c>
      <c r="H690" s="1">
        <f t="shared" si="4"/>
        <v>67900.002467105267</v>
      </c>
      <c r="I690" s="5">
        <v>2568.8139999999999</v>
      </c>
      <c r="J690" s="5">
        <v>70.927999999999997</v>
      </c>
      <c r="K690" s="5">
        <v>2916.0740000000001</v>
      </c>
      <c r="L690" s="5">
        <v>2987.0340000000001</v>
      </c>
      <c r="M690" s="6" t="s">
        <v>41</v>
      </c>
    </row>
    <row r="691" spans="1:13" ht="13" x14ac:dyDescent="0.15">
      <c r="A691" s="5">
        <v>2</v>
      </c>
      <c r="B691" s="5">
        <v>4</v>
      </c>
      <c r="C691" s="5">
        <v>5</v>
      </c>
      <c r="D691" s="6" t="s">
        <v>24</v>
      </c>
      <c r="E691" s="5">
        <v>1216</v>
      </c>
      <c r="F691" s="5">
        <v>0.158</v>
      </c>
      <c r="G691" s="5">
        <v>104691736</v>
      </c>
      <c r="H691" s="1">
        <f t="shared" si="4"/>
        <v>86095.177631578947</v>
      </c>
      <c r="I691" s="5">
        <v>3776.7089999999998</v>
      </c>
      <c r="J691" s="5">
        <v>70.611999999999995</v>
      </c>
      <c r="K691" s="5">
        <v>4262.4250000000002</v>
      </c>
      <c r="L691" s="5">
        <v>4333.058</v>
      </c>
      <c r="M691" s="6" t="s">
        <v>41</v>
      </c>
    </row>
    <row r="692" spans="1:13" ht="13" x14ac:dyDescent="0.15">
      <c r="A692" s="5">
        <v>4</v>
      </c>
      <c r="B692" s="5">
        <v>2</v>
      </c>
      <c r="C692" s="5">
        <v>5</v>
      </c>
      <c r="D692" s="6" t="s">
        <v>24</v>
      </c>
      <c r="E692" s="5">
        <v>1216</v>
      </c>
      <c r="F692" s="5">
        <v>0.248</v>
      </c>
      <c r="G692" s="5">
        <v>108292359</v>
      </c>
      <c r="H692" s="1">
        <f t="shared" si="4"/>
        <v>89056.216282894733</v>
      </c>
      <c r="I692" s="5">
        <v>9647.3670000000002</v>
      </c>
      <c r="J692" s="5">
        <v>70.954999999999998</v>
      </c>
      <c r="K692" s="5">
        <v>10120.861000000001</v>
      </c>
      <c r="L692" s="5">
        <v>10191.817999999999</v>
      </c>
      <c r="M692" s="6" t="s">
        <v>41</v>
      </c>
    </row>
    <row r="693" spans="1:13" ht="13" x14ac:dyDescent="0.15">
      <c r="A693" s="5">
        <v>3</v>
      </c>
      <c r="B693" s="5">
        <v>3</v>
      </c>
      <c r="C693" s="5">
        <v>5</v>
      </c>
      <c r="D693" s="6" t="s">
        <v>24</v>
      </c>
      <c r="E693" s="5">
        <v>1216</v>
      </c>
      <c r="F693" s="5">
        <v>0.14000000000000001</v>
      </c>
      <c r="G693" s="5">
        <v>108287629</v>
      </c>
      <c r="H693" s="1">
        <f t="shared" si="4"/>
        <v>89052.32648026316</v>
      </c>
      <c r="I693" s="5">
        <v>4692.183</v>
      </c>
      <c r="J693" s="5">
        <v>70.543000000000006</v>
      </c>
      <c r="K693" s="5">
        <v>5186.4750000000004</v>
      </c>
      <c r="L693" s="5">
        <v>5257.0379999999996</v>
      </c>
      <c r="M693" s="6" t="s">
        <v>41</v>
      </c>
    </row>
    <row r="694" spans="1:13" ht="13" x14ac:dyDescent="0.15">
      <c r="A694" s="5">
        <v>5</v>
      </c>
      <c r="B694" s="5">
        <v>1</v>
      </c>
      <c r="C694" s="5">
        <v>6</v>
      </c>
      <c r="D694" s="6" t="s">
        <v>24</v>
      </c>
      <c r="E694" s="5">
        <v>1259</v>
      </c>
      <c r="F694" s="5">
        <v>0.18099999999999999</v>
      </c>
      <c r="G694" s="5">
        <v>89235154</v>
      </c>
      <c r="H694" s="1">
        <f t="shared" si="4"/>
        <v>70877.803018268474</v>
      </c>
      <c r="I694" s="5">
        <v>4305.1139999999996</v>
      </c>
      <c r="J694" s="5">
        <v>70.509</v>
      </c>
      <c r="K694" s="5">
        <v>4678.9139999999998</v>
      </c>
      <c r="L694" s="5">
        <v>4749.4520000000002</v>
      </c>
      <c r="M694" s="6" t="s">
        <v>41</v>
      </c>
    </row>
    <row r="695" spans="1:13" ht="13" x14ac:dyDescent="0.15">
      <c r="A695" s="5">
        <v>1</v>
      </c>
      <c r="B695" s="5">
        <v>5</v>
      </c>
      <c r="C695" s="5">
        <v>6</v>
      </c>
      <c r="D695" s="6" t="s">
        <v>24</v>
      </c>
      <c r="E695" s="5">
        <v>1259</v>
      </c>
      <c r="F695" s="5">
        <v>0.26400000000000001</v>
      </c>
      <c r="G695" s="5">
        <v>91044389</v>
      </c>
      <c r="H695" s="1">
        <f t="shared" si="4"/>
        <v>72314.844320889591</v>
      </c>
      <c r="I695" s="5">
        <v>2691.9079999999999</v>
      </c>
      <c r="J695" s="5">
        <v>70.188999999999993</v>
      </c>
      <c r="K695" s="5">
        <v>3045.0410000000002</v>
      </c>
      <c r="L695" s="5">
        <v>3115.2330000000002</v>
      </c>
      <c r="M695" s="6" t="s">
        <v>41</v>
      </c>
    </row>
    <row r="696" spans="1:13" ht="13" x14ac:dyDescent="0.15">
      <c r="A696" s="5">
        <v>2</v>
      </c>
      <c r="B696" s="5">
        <v>4</v>
      </c>
      <c r="C696" s="5">
        <v>6</v>
      </c>
      <c r="D696" s="6" t="s">
        <v>24</v>
      </c>
      <c r="E696" s="5">
        <v>1259</v>
      </c>
      <c r="F696" s="5">
        <v>7.5999999999999998E-2</v>
      </c>
      <c r="G696" s="5">
        <v>96867930</v>
      </c>
      <c r="H696" s="1">
        <f t="shared" si="4"/>
        <v>76940.3733121525</v>
      </c>
      <c r="I696" s="5">
        <v>3262.7710000000002</v>
      </c>
      <c r="J696" s="5">
        <v>70.069000000000003</v>
      </c>
      <c r="K696" s="5">
        <v>3614.0740000000001</v>
      </c>
      <c r="L696" s="5">
        <v>3684.145</v>
      </c>
      <c r="M696" s="6" t="s">
        <v>41</v>
      </c>
    </row>
    <row r="697" spans="1:13" ht="13" x14ac:dyDescent="0.15">
      <c r="A697" s="5">
        <v>4</v>
      </c>
      <c r="B697" s="5">
        <v>2</v>
      </c>
      <c r="C697" s="5">
        <v>6</v>
      </c>
      <c r="D697" s="6" t="s">
        <v>24</v>
      </c>
      <c r="E697" s="5">
        <v>1259</v>
      </c>
      <c r="F697" s="5">
        <v>0.108</v>
      </c>
      <c r="G697" s="5">
        <v>97394989</v>
      </c>
      <c r="H697" s="1">
        <f t="shared" si="4"/>
        <v>77359.006354249403</v>
      </c>
      <c r="I697" s="5">
        <v>4852.4920000000002</v>
      </c>
      <c r="J697" s="5">
        <v>69.867999999999995</v>
      </c>
      <c r="K697" s="5">
        <v>5323.0720000000001</v>
      </c>
      <c r="L697" s="5">
        <v>5392.9639999999999</v>
      </c>
      <c r="M697" s="6" t="s">
        <v>41</v>
      </c>
    </row>
    <row r="698" spans="1:13" ht="13" x14ac:dyDescent="0.15">
      <c r="A698" s="5">
        <v>3</v>
      </c>
      <c r="B698" s="5">
        <v>3</v>
      </c>
      <c r="C698" s="5">
        <v>6</v>
      </c>
      <c r="D698" s="6" t="s">
        <v>24</v>
      </c>
      <c r="E698" s="5">
        <v>1259</v>
      </c>
      <c r="F698" s="5">
        <v>0.25600000000000001</v>
      </c>
      <c r="G698" s="5">
        <v>96074675</v>
      </c>
      <c r="H698" s="1">
        <f t="shared" si="4"/>
        <v>76310.305798252579</v>
      </c>
      <c r="I698" s="5">
        <v>3877.43</v>
      </c>
      <c r="J698" s="5">
        <v>69.314999999999998</v>
      </c>
      <c r="K698" s="5">
        <v>4221.5360000000001</v>
      </c>
      <c r="L698" s="5">
        <v>4290.8549999999996</v>
      </c>
      <c r="M698" s="6" t="s">
        <v>41</v>
      </c>
    </row>
    <row r="699" spans="1:13" ht="13" x14ac:dyDescent="0.15">
      <c r="A699" s="5">
        <v>5</v>
      </c>
      <c r="B699" s="5">
        <v>1</v>
      </c>
      <c r="C699" s="5">
        <v>7</v>
      </c>
      <c r="D699" s="6" t="s">
        <v>24</v>
      </c>
      <c r="E699" s="5">
        <v>1407</v>
      </c>
      <c r="F699" s="5">
        <v>0.17399999999999999</v>
      </c>
      <c r="G699" s="5">
        <v>117216591</v>
      </c>
      <c r="H699" s="1">
        <f t="shared" si="4"/>
        <v>83309.588486140725</v>
      </c>
      <c r="I699" s="5">
        <v>9574.2710000000006</v>
      </c>
      <c r="J699" s="5">
        <v>69.531999999999996</v>
      </c>
      <c r="K699" s="5">
        <v>10101.415999999999</v>
      </c>
      <c r="L699" s="5">
        <v>10170.950000000001</v>
      </c>
      <c r="M699" s="6" t="s">
        <v>41</v>
      </c>
    </row>
    <row r="700" spans="1:13" ht="13" x14ac:dyDescent="0.15">
      <c r="A700" s="5">
        <v>1</v>
      </c>
      <c r="B700" s="5">
        <v>5</v>
      </c>
      <c r="C700" s="5">
        <v>7</v>
      </c>
      <c r="D700" s="6" t="s">
        <v>24</v>
      </c>
      <c r="E700" s="5">
        <v>1407</v>
      </c>
      <c r="F700" s="5">
        <v>8.7999999999999995E-2</v>
      </c>
      <c r="G700" s="5">
        <v>115591577</v>
      </c>
      <c r="H700" s="1">
        <f t="shared" si="4"/>
        <v>82154.638948116553</v>
      </c>
      <c r="I700" s="5">
        <v>4868.4440000000004</v>
      </c>
      <c r="J700" s="5">
        <v>69.287999999999997</v>
      </c>
      <c r="K700" s="5">
        <v>5357.0280000000002</v>
      </c>
      <c r="L700" s="5">
        <v>5426.317</v>
      </c>
      <c r="M700" s="6" t="s">
        <v>41</v>
      </c>
    </row>
    <row r="701" spans="1:13" ht="13" x14ac:dyDescent="0.15">
      <c r="A701" s="5">
        <v>2</v>
      </c>
      <c r="B701" s="5">
        <v>4</v>
      </c>
      <c r="C701" s="5">
        <v>7</v>
      </c>
      <c r="D701" s="6" t="s">
        <v>24</v>
      </c>
      <c r="E701" s="5">
        <v>1407</v>
      </c>
      <c r="F701" s="5">
        <v>0.26700000000000002</v>
      </c>
      <c r="G701" s="5">
        <v>128450128</v>
      </c>
      <c r="H701" s="1">
        <f t="shared" si="4"/>
        <v>91293.623312011376</v>
      </c>
      <c r="I701" s="5">
        <v>7006.5860000000002</v>
      </c>
      <c r="J701" s="5">
        <v>69.158000000000001</v>
      </c>
      <c r="K701" s="5">
        <v>7522.9949999999999</v>
      </c>
      <c r="L701" s="5">
        <v>7592.1540000000005</v>
      </c>
      <c r="M701" s="6" t="s">
        <v>41</v>
      </c>
    </row>
    <row r="702" spans="1:13" ht="13" x14ac:dyDescent="0.15">
      <c r="A702" s="5">
        <v>4</v>
      </c>
      <c r="B702" s="5">
        <v>2</v>
      </c>
      <c r="C702" s="5">
        <v>7</v>
      </c>
      <c r="D702" s="6" t="s">
        <v>34</v>
      </c>
      <c r="E702" s="5">
        <v>1407</v>
      </c>
      <c r="F702" s="5">
        <v>0.26400000000000001</v>
      </c>
      <c r="G702" s="5">
        <v>125266408</v>
      </c>
      <c r="H702" s="1">
        <f t="shared" si="4"/>
        <v>89030.85145700071</v>
      </c>
      <c r="I702" s="5">
        <v>9643.3719999999994</v>
      </c>
      <c r="J702" s="5">
        <v>69.584000000000003</v>
      </c>
      <c r="K702" s="5">
        <v>10137.127</v>
      </c>
      <c r="L702" s="5">
        <v>10206.713</v>
      </c>
      <c r="M702" s="6" t="s">
        <v>41</v>
      </c>
    </row>
    <row r="703" spans="1:13" ht="13" x14ac:dyDescent="0.15">
      <c r="A703" s="5">
        <v>3</v>
      </c>
      <c r="B703" s="5">
        <v>3</v>
      </c>
      <c r="C703" s="5">
        <v>7</v>
      </c>
      <c r="D703" s="6" t="s">
        <v>33</v>
      </c>
      <c r="E703" s="5">
        <v>1407</v>
      </c>
      <c r="F703" s="5">
        <v>0.19600000000000001</v>
      </c>
      <c r="G703" s="5">
        <v>125174679</v>
      </c>
      <c r="H703" s="1">
        <f t="shared" si="4"/>
        <v>88965.656716417914</v>
      </c>
      <c r="I703" s="5">
        <v>9237.1299999999992</v>
      </c>
      <c r="J703" s="5">
        <v>69.156999999999996</v>
      </c>
      <c r="K703" s="5">
        <v>9729.3359999999993</v>
      </c>
      <c r="L703" s="5">
        <v>9798.5069999999996</v>
      </c>
      <c r="M703" s="6" t="s">
        <v>41</v>
      </c>
    </row>
  </sheetData>
  <autoFilter ref="A1:Y703" xr:uid="{00000000-0009-0000-0000-000001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35"/>
  <sheetViews>
    <sheetView workbookViewId="0"/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49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7" ht="15.75" customHeight="1" x14ac:dyDescent="0.15">
      <c r="A2" s="5">
        <v>1</v>
      </c>
      <c r="B2" s="5">
        <v>5</v>
      </c>
      <c r="C2" s="5">
        <f t="shared" ref="C2:C35" si="0">A2*B2</f>
        <v>5</v>
      </c>
      <c r="D2" s="5">
        <v>1</v>
      </c>
      <c r="E2" s="6" t="s">
        <v>24</v>
      </c>
      <c r="F2" s="5">
        <v>1378</v>
      </c>
      <c r="G2" s="5">
        <v>0.14199999999999999</v>
      </c>
      <c r="H2" s="5">
        <v>50110154</v>
      </c>
      <c r="I2" s="5">
        <v>1784.203</v>
      </c>
      <c r="J2" s="5">
        <v>33.5</v>
      </c>
      <c r="K2" s="5">
        <v>2014.1379999999999</v>
      </c>
      <c r="L2" s="5">
        <v>2047.652</v>
      </c>
      <c r="M2" s="6" t="s">
        <v>14</v>
      </c>
      <c r="P2" s="1" t="s">
        <v>44</v>
      </c>
      <c r="Q2" s="1" t="s">
        <v>50</v>
      </c>
    </row>
    <row r="3" spans="1:17" ht="15.75" customHeight="1" x14ac:dyDescent="0.15">
      <c r="A3" s="5">
        <v>1</v>
      </c>
      <c r="B3" s="5">
        <v>5</v>
      </c>
      <c r="C3" s="5">
        <f t="shared" si="0"/>
        <v>5</v>
      </c>
      <c r="D3" s="5">
        <v>2</v>
      </c>
      <c r="E3" s="6" t="s">
        <v>24</v>
      </c>
      <c r="F3" s="5">
        <v>1004</v>
      </c>
      <c r="G3" s="5">
        <v>4.8000000000000001E-2</v>
      </c>
      <c r="H3" s="5">
        <v>38185496</v>
      </c>
      <c r="I3" s="5">
        <v>1670.18</v>
      </c>
      <c r="J3" s="5">
        <v>43.302999999999997</v>
      </c>
      <c r="K3" s="5">
        <v>1844.8610000000001</v>
      </c>
      <c r="L3" s="5">
        <v>1888.165</v>
      </c>
      <c r="M3" s="6" t="s">
        <v>14</v>
      </c>
      <c r="P3" s="1" t="s">
        <v>51</v>
      </c>
      <c r="Q3" s="1">
        <f>AVERAGE(I2:I15)</f>
        <v>1941.4922142857145</v>
      </c>
    </row>
    <row r="4" spans="1:17" ht="15.75" customHeight="1" x14ac:dyDescent="0.15">
      <c r="A4" s="5">
        <v>1</v>
      </c>
      <c r="B4" s="5">
        <v>5</v>
      </c>
      <c r="C4" s="5">
        <f t="shared" si="0"/>
        <v>5</v>
      </c>
      <c r="D4" s="5">
        <v>3</v>
      </c>
      <c r="E4" s="6" t="s">
        <v>24</v>
      </c>
      <c r="F4" s="5">
        <v>1779</v>
      </c>
      <c r="G4" s="5">
        <v>0.157</v>
      </c>
      <c r="H4" s="5">
        <v>10762090</v>
      </c>
      <c r="I4" s="5">
        <v>623.45100000000002</v>
      </c>
      <c r="J4" s="5">
        <v>12.927</v>
      </c>
      <c r="K4" s="5">
        <v>661.851</v>
      </c>
      <c r="L4" s="5">
        <v>674.79100000000005</v>
      </c>
      <c r="M4" s="6" t="s">
        <v>14</v>
      </c>
      <c r="P4" s="1" t="s">
        <v>52</v>
      </c>
      <c r="Q4" s="1">
        <f>AVERAGE(I16:I29)</f>
        <v>2626.1072142857142</v>
      </c>
    </row>
    <row r="5" spans="1:17" ht="15.75" customHeight="1" x14ac:dyDescent="0.15">
      <c r="A5" s="5">
        <v>1</v>
      </c>
      <c r="B5" s="5">
        <v>5</v>
      </c>
      <c r="C5" s="5">
        <f t="shared" si="0"/>
        <v>5</v>
      </c>
      <c r="D5" s="5">
        <v>4</v>
      </c>
      <c r="E5" s="6" t="s">
        <v>23</v>
      </c>
      <c r="F5" s="5">
        <v>1380</v>
      </c>
      <c r="G5" s="5">
        <v>0.16800000000000001</v>
      </c>
      <c r="H5" s="5">
        <v>70649819</v>
      </c>
      <c r="I5" s="5">
        <v>5088.0959999999995</v>
      </c>
      <c r="J5" s="5">
        <v>46.58</v>
      </c>
      <c r="K5" s="5">
        <v>5435.2309999999998</v>
      </c>
      <c r="L5" s="5">
        <v>5481.8280000000004</v>
      </c>
      <c r="M5" s="6" t="s">
        <v>14</v>
      </c>
      <c r="P5" s="1" t="s">
        <v>53</v>
      </c>
      <c r="Q5" s="1">
        <f>AVERAGE(I30:I35)</f>
        <v>3313.3256666666671</v>
      </c>
    </row>
    <row r="6" spans="1:17" ht="15.75" customHeight="1" x14ac:dyDescent="0.15">
      <c r="A6" s="5">
        <v>1</v>
      </c>
      <c r="B6" s="5">
        <v>5</v>
      </c>
      <c r="C6" s="5">
        <f t="shared" si="0"/>
        <v>5</v>
      </c>
      <c r="D6" s="5">
        <v>5</v>
      </c>
      <c r="E6" s="6" t="s">
        <v>24</v>
      </c>
      <c r="F6" s="5">
        <v>1216</v>
      </c>
      <c r="G6" s="5">
        <v>4.5999999999999999E-2</v>
      </c>
      <c r="H6" s="5">
        <v>13532634</v>
      </c>
      <c r="I6" s="5">
        <v>417.21600000000001</v>
      </c>
      <c r="J6" s="5">
        <v>21.029</v>
      </c>
      <c r="K6" s="5">
        <v>475.16</v>
      </c>
      <c r="L6" s="5">
        <v>496.18900000000002</v>
      </c>
      <c r="M6" s="6" t="s">
        <v>14</v>
      </c>
    </row>
    <row r="7" spans="1:17" ht="15.75" customHeight="1" x14ac:dyDescent="0.15">
      <c r="A7" s="5">
        <v>1</v>
      </c>
      <c r="B7" s="5">
        <v>5</v>
      </c>
      <c r="C7" s="5">
        <f t="shared" si="0"/>
        <v>5</v>
      </c>
      <c r="D7" s="5">
        <v>6</v>
      </c>
      <c r="E7" s="6" t="s">
        <v>24</v>
      </c>
      <c r="F7" s="5">
        <v>1259</v>
      </c>
      <c r="G7" s="5">
        <v>4.3999999999999997E-2</v>
      </c>
      <c r="H7" s="5">
        <v>51926183</v>
      </c>
      <c r="I7" s="5">
        <v>1521.739</v>
      </c>
      <c r="J7" s="5">
        <v>40.930999999999997</v>
      </c>
      <c r="K7" s="5">
        <v>1770.1949999999999</v>
      </c>
      <c r="L7" s="5">
        <v>1811.126</v>
      </c>
      <c r="M7" s="6" t="s">
        <v>14</v>
      </c>
    </row>
    <row r="8" spans="1:17" ht="15.75" customHeight="1" x14ac:dyDescent="0.15">
      <c r="A8" s="5">
        <v>1</v>
      </c>
      <c r="B8" s="5">
        <v>5</v>
      </c>
      <c r="C8" s="5">
        <f t="shared" si="0"/>
        <v>5</v>
      </c>
      <c r="D8" s="5">
        <v>7</v>
      </c>
      <c r="E8" s="6" t="s">
        <v>24</v>
      </c>
      <c r="F8" s="5">
        <v>1407</v>
      </c>
      <c r="G8" s="5">
        <v>7.0999999999999994E-2</v>
      </c>
      <c r="H8" s="5">
        <v>30697413</v>
      </c>
      <c r="I8" s="5">
        <v>1283.4749999999999</v>
      </c>
      <c r="J8" s="5">
        <v>26.494</v>
      </c>
      <c r="K8" s="5">
        <v>1413.28</v>
      </c>
      <c r="L8" s="5">
        <v>1439.798</v>
      </c>
      <c r="M8" s="6" t="s">
        <v>14</v>
      </c>
    </row>
    <row r="9" spans="1:17" ht="15.75" customHeight="1" x14ac:dyDescent="0.15">
      <c r="A9" s="5">
        <v>5</v>
      </c>
      <c r="B9" s="5">
        <v>1</v>
      </c>
      <c r="C9" s="5">
        <f t="shared" si="0"/>
        <v>5</v>
      </c>
      <c r="D9" s="5">
        <v>1</v>
      </c>
      <c r="E9" s="6" t="s">
        <v>24</v>
      </c>
      <c r="F9" s="5">
        <v>1378</v>
      </c>
      <c r="G9" s="5">
        <v>0.156</v>
      </c>
      <c r="H9" s="5">
        <v>49595108</v>
      </c>
      <c r="I9" s="5">
        <v>2403.0940000000001</v>
      </c>
      <c r="J9" s="5">
        <v>34.633000000000003</v>
      </c>
      <c r="K9" s="5">
        <v>2630.558</v>
      </c>
      <c r="L9" s="5">
        <v>2665.2089999999998</v>
      </c>
      <c r="M9" s="6" t="s">
        <v>14</v>
      </c>
    </row>
    <row r="10" spans="1:17" ht="15.75" customHeight="1" x14ac:dyDescent="0.15">
      <c r="A10" s="5">
        <v>5</v>
      </c>
      <c r="B10" s="5">
        <v>1</v>
      </c>
      <c r="C10" s="5">
        <f t="shared" si="0"/>
        <v>5</v>
      </c>
      <c r="D10" s="5">
        <v>2</v>
      </c>
      <c r="E10" s="6" t="s">
        <v>24</v>
      </c>
      <c r="F10" s="5">
        <v>1004</v>
      </c>
      <c r="G10" s="5">
        <v>3.9E-2</v>
      </c>
      <c r="H10" s="5">
        <v>40577557</v>
      </c>
      <c r="I10" s="5">
        <v>1321.098</v>
      </c>
      <c r="J10" s="5">
        <v>44.652999999999999</v>
      </c>
      <c r="K10" s="5">
        <v>1499.4659999999999</v>
      </c>
      <c r="L10" s="5">
        <v>1544.1189999999999</v>
      </c>
      <c r="M10" s="6" t="s">
        <v>14</v>
      </c>
    </row>
    <row r="11" spans="1:17" ht="15.75" customHeight="1" x14ac:dyDescent="0.15">
      <c r="A11" s="5">
        <v>5</v>
      </c>
      <c r="B11" s="5">
        <v>1</v>
      </c>
      <c r="C11" s="5">
        <f t="shared" si="0"/>
        <v>5</v>
      </c>
      <c r="D11" s="5">
        <v>3</v>
      </c>
      <c r="E11" s="6" t="s">
        <v>24</v>
      </c>
      <c r="F11" s="5">
        <v>1779</v>
      </c>
      <c r="G11" s="5">
        <v>0.125</v>
      </c>
      <c r="H11" s="5">
        <v>10668148</v>
      </c>
      <c r="I11" s="5">
        <v>410.02699999999999</v>
      </c>
      <c r="J11" s="5">
        <v>14.292</v>
      </c>
      <c r="K11" s="5">
        <v>445.32299999999998</v>
      </c>
      <c r="L11" s="5">
        <v>459.67500000000001</v>
      </c>
      <c r="M11" s="6" t="s">
        <v>14</v>
      </c>
    </row>
    <row r="12" spans="1:17" ht="15.75" customHeight="1" x14ac:dyDescent="0.15">
      <c r="A12" s="5">
        <v>5</v>
      </c>
      <c r="B12" s="5">
        <v>1</v>
      </c>
      <c r="C12" s="5">
        <f t="shared" si="0"/>
        <v>5</v>
      </c>
      <c r="D12" s="5">
        <v>4</v>
      </c>
      <c r="E12" s="6" t="s">
        <v>24</v>
      </c>
      <c r="F12" s="5">
        <v>1380</v>
      </c>
      <c r="G12" s="5">
        <v>0.26100000000000001</v>
      </c>
      <c r="H12" s="5">
        <v>39942162</v>
      </c>
      <c r="I12" s="5">
        <v>1754.2570000000001</v>
      </c>
      <c r="J12" s="5">
        <v>29.324000000000002</v>
      </c>
      <c r="K12" s="5">
        <v>1939.2619999999999</v>
      </c>
      <c r="L12" s="5">
        <v>1968.607</v>
      </c>
      <c r="M12" s="6" t="s">
        <v>14</v>
      </c>
    </row>
    <row r="13" spans="1:17" ht="15.75" customHeight="1" x14ac:dyDescent="0.15">
      <c r="A13" s="5">
        <v>5</v>
      </c>
      <c r="B13" s="5">
        <v>1</v>
      </c>
      <c r="C13" s="5">
        <f t="shared" si="0"/>
        <v>5</v>
      </c>
      <c r="D13" s="5">
        <v>5</v>
      </c>
      <c r="E13" s="6" t="s">
        <v>24</v>
      </c>
      <c r="F13" s="5">
        <v>1216</v>
      </c>
      <c r="G13" s="5">
        <v>0.13900000000000001</v>
      </c>
      <c r="H13" s="5">
        <v>15689529</v>
      </c>
      <c r="I13" s="5">
        <v>1118.0920000000001</v>
      </c>
      <c r="J13" s="5">
        <v>20.087</v>
      </c>
      <c r="K13" s="5">
        <v>1183.9739999999999</v>
      </c>
      <c r="L13" s="5">
        <v>1204.0920000000001</v>
      </c>
      <c r="M13" s="6" t="s">
        <v>14</v>
      </c>
    </row>
    <row r="14" spans="1:17" ht="15.75" customHeight="1" x14ac:dyDescent="0.15">
      <c r="A14" s="5">
        <v>5</v>
      </c>
      <c r="B14" s="5">
        <v>1</v>
      </c>
      <c r="C14" s="5">
        <f t="shared" si="0"/>
        <v>5</v>
      </c>
      <c r="D14" s="5">
        <v>6</v>
      </c>
      <c r="E14" s="6" t="s">
        <v>24</v>
      </c>
      <c r="F14" s="5">
        <v>1259</v>
      </c>
      <c r="G14" s="5">
        <v>0.114</v>
      </c>
      <c r="H14" s="5">
        <v>58594280</v>
      </c>
      <c r="I14" s="5">
        <v>2801.3879999999999</v>
      </c>
      <c r="J14" s="5">
        <v>46.454999999999998</v>
      </c>
      <c r="K14" s="5">
        <v>3081.9859999999999</v>
      </c>
      <c r="L14" s="5">
        <v>3128.4589999999998</v>
      </c>
      <c r="M14" s="6" t="s">
        <v>14</v>
      </c>
    </row>
    <row r="15" spans="1:17" ht="15.75" customHeight="1" x14ac:dyDescent="0.15">
      <c r="A15" s="5">
        <v>5</v>
      </c>
      <c r="B15" s="5">
        <v>1</v>
      </c>
      <c r="C15" s="5">
        <f t="shared" si="0"/>
        <v>5</v>
      </c>
      <c r="D15" s="5">
        <v>7</v>
      </c>
      <c r="E15" s="6" t="s">
        <v>24</v>
      </c>
      <c r="F15" s="5">
        <v>1407</v>
      </c>
      <c r="G15" s="5">
        <v>0.156</v>
      </c>
      <c r="H15" s="5">
        <v>61789380</v>
      </c>
      <c r="I15" s="5">
        <v>4984.5749999999998</v>
      </c>
      <c r="J15" s="5">
        <v>37.71</v>
      </c>
      <c r="K15" s="5">
        <v>5279.9129999999996</v>
      </c>
      <c r="L15" s="5">
        <v>5317.625</v>
      </c>
      <c r="M15" s="6" t="s">
        <v>14</v>
      </c>
    </row>
    <row r="16" spans="1:17" ht="15.75" customHeight="1" x14ac:dyDescent="0.15">
      <c r="A16" s="5">
        <v>2</v>
      </c>
      <c r="B16" s="5">
        <v>4</v>
      </c>
      <c r="C16" s="5">
        <f t="shared" si="0"/>
        <v>8</v>
      </c>
      <c r="D16" s="5">
        <v>1</v>
      </c>
      <c r="E16" s="6" t="s">
        <v>24</v>
      </c>
      <c r="F16" s="5">
        <v>1378</v>
      </c>
      <c r="G16" s="5">
        <v>0.17399999999999999</v>
      </c>
      <c r="H16" s="5">
        <v>55569316</v>
      </c>
      <c r="I16" s="5">
        <v>3752.6819999999998</v>
      </c>
      <c r="J16" s="5">
        <v>36.74</v>
      </c>
      <c r="K16" s="5">
        <v>4000.4580000000001</v>
      </c>
      <c r="L16" s="5">
        <v>4037.22</v>
      </c>
      <c r="M16" s="6" t="s">
        <v>14</v>
      </c>
    </row>
    <row r="17" spans="1:13" ht="15.75" customHeight="1" x14ac:dyDescent="0.15">
      <c r="A17" s="5">
        <v>2</v>
      </c>
      <c r="B17" s="5">
        <v>4</v>
      </c>
      <c r="C17" s="5">
        <f t="shared" si="0"/>
        <v>8</v>
      </c>
      <c r="D17" s="5">
        <v>2</v>
      </c>
      <c r="E17" s="6" t="s">
        <v>24</v>
      </c>
      <c r="F17" s="5">
        <v>1004</v>
      </c>
      <c r="G17" s="5">
        <v>5.2999999999999999E-2</v>
      </c>
      <c r="H17" s="5">
        <v>50902943</v>
      </c>
      <c r="I17" s="5">
        <v>2365.8209999999999</v>
      </c>
      <c r="J17" s="5">
        <v>51.408999999999999</v>
      </c>
      <c r="K17" s="5">
        <v>2587.518</v>
      </c>
      <c r="L17" s="5">
        <v>2638.9279999999999</v>
      </c>
      <c r="M17" s="6" t="s">
        <v>14</v>
      </c>
    </row>
    <row r="18" spans="1:13" ht="15.75" customHeight="1" x14ac:dyDescent="0.15">
      <c r="A18" s="5">
        <v>2</v>
      </c>
      <c r="B18" s="5">
        <v>4</v>
      </c>
      <c r="C18" s="5">
        <f t="shared" si="0"/>
        <v>8</v>
      </c>
      <c r="D18" s="5">
        <v>3</v>
      </c>
      <c r="E18" s="6" t="s">
        <v>24</v>
      </c>
      <c r="F18" s="5">
        <v>1779</v>
      </c>
      <c r="G18" s="5">
        <v>0.151</v>
      </c>
      <c r="H18" s="5">
        <v>15858338</v>
      </c>
      <c r="I18" s="5">
        <v>1071.6569999999999</v>
      </c>
      <c r="J18" s="5">
        <v>16.66</v>
      </c>
      <c r="K18" s="5">
        <v>1144.8869999999999</v>
      </c>
      <c r="L18" s="5">
        <v>1161.55</v>
      </c>
      <c r="M18" s="6" t="s">
        <v>14</v>
      </c>
    </row>
    <row r="19" spans="1:13" ht="15.75" customHeight="1" x14ac:dyDescent="0.15">
      <c r="A19" s="5">
        <v>2</v>
      </c>
      <c r="B19" s="5">
        <v>4</v>
      </c>
      <c r="C19" s="5">
        <f t="shared" si="0"/>
        <v>8</v>
      </c>
      <c r="D19" s="5">
        <v>4</v>
      </c>
      <c r="E19" s="6" t="s">
        <v>23</v>
      </c>
      <c r="F19" s="5">
        <v>1380</v>
      </c>
      <c r="G19" s="5">
        <v>0.2</v>
      </c>
      <c r="H19" s="5">
        <v>69541012</v>
      </c>
      <c r="I19" s="5">
        <v>5071.6440000000002</v>
      </c>
      <c r="J19" s="5">
        <v>46.73</v>
      </c>
      <c r="K19" s="5">
        <v>5413.96</v>
      </c>
      <c r="L19" s="5">
        <v>5460.7120000000004</v>
      </c>
      <c r="M19" s="6" t="s">
        <v>14</v>
      </c>
    </row>
    <row r="20" spans="1:13" ht="15.75" customHeight="1" x14ac:dyDescent="0.15">
      <c r="A20" s="5">
        <v>2</v>
      </c>
      <c r="B20" s="5">
        <v>4</v>
      </c>
      <c r="C20" s="5">
        <f t="shared" si="0"/>
        <v>8</v>
      </c>
      <c r="D20" s="5">
        <v>5</v>
      </c>
      <c r="E20" s="6" t="s">
        <v>24</v>
      </c>
      <c r="F20" s="5">
        <v>1216</v>
      </c>
      <c r="G20" s="5">
        <v>9.0999999999999998E-2</v>
      </c>
      <c r="H20" s="5">
        <v>26050278</v>
      </c>
      <c r="I20" s="5">
        <v>924.94200000000001</v>
      </c>
      <c r="J20" s="5">
        <v>28.446000000000002</v>
      </c>
      <c r="K20" s="5">
        <v>1029.3989999999999</v>
      </c>
      <c r="L20" s="5">
        <v>1057.8620000000001</v>
      </c>
      <c r="M20" s="6" t="s">
        <v>14</v>
      </c>
    </row>
    <row r="21" spans="1:13" ht="15.75" customHeight="1" x14ac:dyDescent="0.15">
      <c r="A21" s="5">
        <v>2</v>
      </c>
      <c r="B21" s="5">
        <v>4</v>
      </c>
      <c r="C21" s="5">
        <f t="shared" si="0"/>
        <v>8</v>
      </c>
      <c r="D21" s="5">
        <v>6</v>
      </c>
      <c r="E21" s="6" t="s">
        <v>24</v>
      </c>
      <c r="F21" s="5">
        <v>1259</v>
      </c>
      <c r="G21" s="5">
        <v>0.05</v>
      </c>
      <c r="H21" s="5">
        <v>61950927</v>
      </c>
      <c r="I21" s="5">
        <v>2097.0079999999998</v>
      </c>
      <c r="J21" s="5">
        <v>46.588999999999999</v>
      </c>
      <c r="K21" s="5">
        <v>2382.529</v>
      </c>
      <c r="L21" s="5">
        <v>2429.1179999999999</v>
      </c>
      <c r="M21" s="6" t="s">
        <v>14</v>
      </c>
    </row>
    <row r="22" spans="1:13" ht="15.75" customHeight="1" x14ac:dyDescent="0.15">
      <c r="A22" s="5">
        <v>2</v>
      </c>
      <c r="B22" s="5">
        <v>4</v>
      </c>
      <c r="C22" s="5">
        <f t="shared" si="0"/>
        <v>8</v>
      </c>
      <c r="D22" s="5">
        <v>7</v>
      </c>
      <c r="E22" s="6" t="s">
        <v>24</v>
      </c>
      <c r="F22" s="5">
        <v>1407</v>
      </c>
      <c r="G22" s="5">
        <v>0.14699999999999999</v>
      </c>
      <c r="H22" s="5">
        <v>44553744</v>
      </c>
      <c r="I22" s="5">
        <v>2445.0790000000002</v>
      </c>
      <c r="J22" s="5">
        <v>32.299999999999997</v>
      </c>
      <c r="K22" s="5">
        <v>2655.174</v>
      </c>
      <c r="L22" s="5">
        <v>2687.5010000000002</v>
      </c>
      <c r="M22" s="6" t="s">
        <v>14</v>
      </c>
    </row>
    <row r="23" spans="1:13" ht="15.75" customHeight="1" x14ac:dyDescent="0.15">
      <c r="A23" s="5">
        <v>4</v>
      </c>
      <c r="B23" s="5">
        <v>2</v>
      </c>
      <c r="C23" s="5">
        <f t="shared" si="0"/>
        <v>8</v>
      </c>
      <c r="D23" s="5">
        <v>1</v>
      </c>
      <c r="E23" s="6" t="s">
        <v>24</v>
      </c>
      <c r="F23" s="5">
        <v>1378</v>
      </c>
      <c r="G23" s="5">
        <v>0.14899999999999999</v>
      </c>
      <c r="H23" s="5">
        <v>68538860</v>
      </c>
      <c r="I23" s="5">
        <v>3582.9810000000002</v>
      </c>
      <c r="J23" s="5">
        <v>41.398000000000003</v>
      </c>
      <c r="K23" s="5">
        <v>3907.6559999999999</v>
      </c>
      <c r="L23" s="5">
        <v>3949.0839999999998</v>
      </c>
      <c r="M23" s="6" t="s">
        <v>14</v>
      </c>
    </row>
    <row r="24" spans="1:13" ht="15.75" customHeight="1" x14ac:dyDescent="0.15">
      <c r="A24" s="5">
        <v>4</v>
      </c>
      <c r="B24" s="5">
        <v>2</v>
      </c>
      <c r="C24" s="5">
        <f t="shared" si="0"/>
        <v>8</v>
      </c>
      <c r="D24" s="5">
        <v>2</v>
      </c>
      <c r="E24" s="6" t="s">
        <v>24</v>
      </c>
      <c r="F24" s="5">
        <v>1004</v>
      </c>
      <c r="G24" s="5">
        <v>4.5999999999999999E-2</v>
      </c>
      <c r="H24" s="5">
        <v>44254938</v>
      </c>
      <c r="I24" s="5">
        <v>1831.8030000000001</v>
      </c>
      <c r="J24" s="5">
        <v>48.069000000000003</v>
      </c>
      <c r="K24" s="5">
        <v>2031.787</v>
      </c>
      <c r="L24" s="5">
        <v>2079.8560000000002</v>
      </c>
      <c r="M24" s="6" t="s">
        <v>14</v>
      </c>
    </row>
    <row r="25" spans="1:13" ht="15.75" customHeight="1" x14ac:dyDescent="0.15">
      <c r="A25" s="5">
        <v>4</v>
      </c>
      <c r="B25" s="5">
        <v>2</v>
      </c>
      <c r="C25" s="5">
        <f t="shared" si="0"/>
        <v>8</v>
      </c>
      <c r="D25" s="5">
        <v>3</v>
      </c>
      <c r="E25" s="6" t="s">
        <v>24</v>
      </c>
      <c r="F25" s="5">
        <v>1779</v>
      </c>
      <c r="G25" s="5">
        <v>0.23100000000000001</v>
      </c>
      <c r="H25" s="5">
        <v>15463550</v>
      </c>
      <c r="I25" s="5">
        <v>1297.491</v>
      </c>
      <c r="J25" s="5">
        <v>16.797999999999998</v>
      </c>
      <c r="K25" s="5">
        <v>1348.74</v>
      </c>
      <c r="L25" s="5">
        <v>1365.566</v>
      </c>
      <c r="M25" s="6" t="s">
        <v>14</v>
      </c>
    </row>
    <row r="26" spans="1:13" ht="15.75" customHeight="1" x14ac:dyDescent="0.15">
      <c r="A26" s="5">
        <v>4</v>
      </c>
      <c r="B26" s="5">
        <v>2</v>
      </c>
      <c r="C26" s="5">
        <f t="shared" si="0"/>
        <v>8</v>
      </c>
      <c r="D26" s="5">
        <v>4</v>
      </c>
      <c r="E26" s="6" t="s">
        <v>24</v>
      </c>
      <c r="F26" s="5">
        <v>1380</v>
      </c>
      <c r="G26" s="5">
        <v>0.111</v>
      </c>
      <c r="H26" s="5">
        <v>45317195</v>
      </c>
      <c r="I26" s="5">
        <v>2203.7759999999998</v>
      </c>
      <c r="J26" s="5">
        <v>34.805999999999997</v>
      </c>
      <c r="K26" s="5">
        <v>2431.6990000000001</v>
      </c>
      <c r="L26" s="5">
        <v>2466.527</v>
      </c>
      <c r="M26" s="6" t="s">
        <v>14</v>
      </c>
    </row>
    <row r="27" spans="1:13" ht="15.75" customHeight="1" x14ac:dyDescent="0.15">
      <c r="A27" s="5">
        <v>4</v>
      </c>
      <c r="B27" s="5">
        <v>2</v>
      </c>
      <c r="C27" s="5">
        <f t="shared" si="0"/>
        <v>8</v>
      </c>
      <c r="D27" s="5">
        <v>5</v>
      </c>
      <c r="E27" s="6" t="s">
        <v>24</v>
      </c>
      <c r="F27" s="5">
        <v>1216</v>
      </c>
      <c r="G27" s="5">
        <v>0.17699999999999999</v>
      </c>
      <c r="H27" s="5">
        <v>20011150</v>
      </c>
      <c r="I27" s="5">
        <v>1716.81</v>
      </c>
      <c r="J27" s="5">
        <v>23.581</v>
      </c>
      <c r="K27" s="5">
        <v>1794.8409999999999</v>
      </c>
      <c r="L27" s="5">
        <v>1818.441</v>
      </c>
      <c r="M27" s="6" t="s">
        <v>14</v>
      </c>
    </row>
    <row r="28" spans="1:13" ht="15.75" customHeight="1" x14ac:dyDescent="0.15">
      <c r="A28" s="5">
        <v>4</v>
      </c>
      <c r="B28" s="5">
        <v>2</v>
      </c>
      <c r="C28" s="5">
        <f t="shared" si="0"/>
        <v>8</v>
      </c>
      <c r="D28" s="5">
        <v>6</v>
      </c>
      <c r="E28" s="6" t="s">
        <v>24</v>
      </c>
      <c r="F28" s="5">
        <v>1259</v>
      </c>
      <c r="G28" s="5">
        <v>0.153</v>
      </c>
      <c r="H28" s="5">
        <v>66248186</v>
      </c>
      <c r="I28" s="5">
        <v>3251.8319999999999</v>
      </c>
      <c r="J28" s="5">
        <v>49.098999999999997</v>
      </c>
      <c r="K28" s="5">
        <v>3569.25</v>
      </c>
      <c r="L28" s="5">
        <v>3618.373</v>
      </c>
      <c r="M28" s="6" t="s">
        <v>14</v>
      </c>
    </row>
    <row r="29" spans="1:13" ht="15.75" customHeight="1" x14ac:dyDescent="0.15">
      <c r="A29" s="5">
        <v>4</v>
      </c>
      <c r="B29" s="5">
        <v>2</v>
      </c>
      <c r="C29" s="5">
        <f t="shared" si="0"/>
        <v>8</v>
      </c>
      <c r="D29" s="5">
        <v>7</v>
      </c>
      <c r="E29" s="6" t="s">
        <v>34</v>
      </c>
      <c r="F29" s="5">
        <v>1407</v>
      </c>
      <c r="G29" s="5">
        <v>0.154</v>
      </c>
      <c r="H29" s="5">
        <v>68000388</v>
      </c>
      <c r="I29" s="5">
        <v>5151.9750000000004</v>
      </c>
      <c r="J29" s="5">
        <v>41.503</v>
      </c>
      <c r="K29" s="5">
        <v>5477.4960000000001</v>
      </c>
      <c r="L29" s="5">
        <v>5519.0010000000002</v>
      </c>
      <c r="M29" s="6" t="s">
        <v>14</v>
      </c>
    </row>
    <row r="30" spans="1:13" ht="15.75" customHeight="1" x14ac:dyDescent="0.15">
      <c r="A30" s="5">
        <v>3</v>
      </c>
      <c r="B30" s="5">
        <v>3</v>
      </c>
      <c r="C30" s="5">
        <f t="shared" si="0"/>
        <v>9</v>
      </c>
      <c r="D30" s="5">
        <v>1</v>
      </c>
      <c r="E30" s="6" t="s">
        <v>24</v>
      </c>
      <c r="F30" s="5">
        <v>1378</v>
      </c>
      <c r="G30" s="5">
        <v>0.157</v>
      </c>
      <c r="H30" s="5">
        <v>59832040</v>
      </c>
      <c r="I30" s="5">
        <v>3476.6959999999999</v>
      </c>
      <c r="J30" s="5">
        <v>40.531999999999996</v>
      </c>
      <c r="K30" s="5">
        <v>3746.107</v>
      </c>
      <c r="L30" s="5">
        <v>3786.6579999999999</v>
      </c>
      <c r="M30" s="6" t="s">
        <v>14</v>
      </c>
    </row>
    <row r="31" spans="1:13" ht="15.75" customHeight="1" x14ac:dyDescent="0.15">
      <c r="A31" s="5">
        <v>3</v>
      </c>
      <c r="B31" s="5">
        <v>3</v>
      </c>
      <c r="C31" s="5">
        <f t="shared" si="0"/>
        <v>9</v>
      </c>
      <c r="D31" s="5">
        <v>2</v>
      </c>
      <c r="E31" s="6" t="s">
        <v>24</v>
      </c>
      <c r="F31" s="5">
        <v>1004</v>
      </c>
      <c r="G31" s="5">
        <v>4.4999999999999998E-2</v>
      </c>
      <c r="H31" s="5">
        <v>46123268</v>
      </c>
      <c r="I31" s="5">
        <v>1867.59</v>
      </c>
      <c r="J31" s="5">
        <v>49.667999999999999</v>
      </c>
      <c r="K31" s="5">
        <v>2081.2660000000001</v>
      </c>
      <c r="L31" s="5">
        <v>2130.9340000000002</v>
      </c>
      <c r="M31" s="6" t="s">
        <v>14</v>
      </c>
    </row>
    <row r="32" spans="1:13" ht="15.75" customHeight="1" x14ac:dyDescent="0.15">
      <c r="A32" s="5">
        <v>3</v>
      </c>
      <c r="B32" s="5">
        <v>3</v>
      </c>
      <c r="C32" s="5">
        <f t="shared" si="0"/>
        <v>9</v>
      </c>
      <c r="D32" s="5">
        <v>4</v>
      </c>
      <c r="E32" s="6" t="s">
        <v>23</v>
      </c>
      <c r="F32" s="5">
        <v>1380</v>
      </c>
      <c r="G32" s="5">
        <v>0.14699999999999999</v>
      </c>
      <c r="H32" s="5">
        <v>72679391</v>
      </c>
      <c r="I32" s="5">
        <v>5408.0060000000003</v>
      </c>
      <c r="J32" s="5">
        <v>47.197000000000003</v>
      </c>
      <c r="K32" s="5">
        <v>5786.3220000000001</v>
      </c>
      <c r="L32" s="5">
        <v>5833.5519999999997</v>
      </c>
      <c r="M32" s="6" t="s">
        <v>14</v>
      </c>
    </row>
    <row r="33" spans="1:13" ht="15.75" customHeight="1" x14ac:dyDescent="0.15">
      <c r="A33" s="5">
        <v>3</v>
      </c>
      <c r="B33" s="5">
        <v>3</v>
      </c>
      <c r="C33" s="5">
        <f t="shared" si="0"/>
        <v>9</v>
      </c>
      <c r="D33" s="5">
        <v>5</v>
      </c>
      <c r="E33" s="6" t="s">
        <v>24</v>
      </c>
      <c r="F33" s="5">
        <v>1216</v>
      </c>
      <c r="G33" s="5">
        <v>0.13200000000000001</v>
      </c>
      <c r="H33" s="5">
        <v>25900040</v>
      </c>
      <c r="I33" s="5">
        <v>1114.625</v>
      </c>
      <c r="J33" s="5">
        <v>27.757000000000001</v>
      </c>
      <c r="K33" s="5">
        <v>1226.509</v>
      </c>
      <c r="L33" s="5">
        <v>1254.298</v>
      </c>
      <c r="M33" s="6" t="s">
        <v>14</v>
      </c>
    </row>
    <row r="34" spans="1:13" ht="15.75" customHeight="1" x14ac:dyDescent="0.15">
      <c r="A34" s="5">
        <v>3</v>
      </c>
      <c r="B34" s="5">
        <v>3</v>
      </c>
      <c r="C34" s="5">
        <f t="shared" si="0"/>
        <v>9</v>
      </c>
      <c r="D34" s="5">
        <v>6</v>
      </c>
      <c r="E34" s="6" t="s">
        <v>24</v>
      </c>
      <c r="F34" s="5">
        <v>1259</v>
      </c>
      <c r="G34" s="5">
        <v>0.121</v>
      </c>
      <c r="H34" s="5">
        <v>65572010</v>
      </c>
      <c r="I34" s="5">
        <v>2613.884</v>
      </c>
      <c r="J34" s="5">
        <v>49.802999999999997</v>
      </c>
      <c r="K34" s="5">
        <v>2923.2249999999999</v>
      </c>
      <c r="L34" s="5">
        <v>2973.0540000000001</v>
      </c>
      <c r="M34" s="6" t="s">
        <v>14</v>
      </c>
    </row>
    <row r="35" spans="1:13" ht="15.75" customHeight="1" x14ac:dyDescent="0.15">
      <c r="A35" s="5">
        <v>3</v>
      </c>
      <c r="B35" s="5">
        <v>3</v>
      </c>
      <c r="C35" s="5">
        <f t="shared" si="0"/>
        <v>9</v>
      </c>
      <c r="D35" s="5">
        <v>7</v>
      </c>
      <c r="E35" s="6" t="s">
        <v>33</v>
      </c>
      <c r="F35" s="5">
        <v>1407</v>
      </c>
      <c r="G35" s="5">
        <v>0.17799999999999999</v>
      </c>
      <c r="H35" s="5">
        <v>73584670</v>
      </c>
      <c r="I35" s="5">
        <v>5399.1530000000002</v>
      </c>
      <c r="J35" s="5">
        <v>44.218000000000004</v>
      </c>
      <c r="K35" s="5">
        <v>5749.8379999999997</v>
      </c>
      <c r="L35" s="5">
        <v>5794.0829999999996</v>
      </c>
      <c r="M35" s="6" t="s">
        <v>14</v>
      </c>
    </row>
  </sheetData>
  <autoFilter ref="A1:AA35" xr:uid="{00000000-0009-0000-0000-00000200000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35"/>
  <sheetViews>
    <sheetView workbookViewId="0"/>
  </sheetViews>
  <sheetFormatPr baseColWidth="10" defaultColWidth="12.6640625" defaultRowHeight="15.75" customHeight="1" x14ac:dyDescent="0.15"/>
  <cols>
    <col min="2" max="2" width="20.5" customWidth="1"/>
  </cols>
  <sheetData>
    <row r="1" spans="1:4" ht="15.75" customHeight="1" x14ac:dyDescent="0.15">
      <c r="A1" s="1" t="s">
        <v>54</v>
      </c>
      <c r="B1" s="1" t="s">
        <v>55</v>
      </c>
      <c r="C1" s="1" t="s">
        <v>56</v>
      </c>
      <c r="D1" s="1" t="s">
        <v>57</v>
      </c>
    </row>
    <row r="2" spans="1:4" ht="15.75" customHeight="1" x14ac:dyDescent="0.15">
      <c r="A2" s="1">
        <f ca="1">IFERROR(__xludf.DUMMYFUNCTION("FILTER(dardel_experiment_results!A2:A1001+dardel_experiment_results!B2:B1001, dardel_experiment_results!L2:L1001=""ALL (including NEW) PRUNING"")
"),2)</f>
        <v>2</v>
      </c>
      <c r="B2" s="1">
        <f ca="1">IFERROR(__xludf.DUMMYFUNCTION("FILTER(ABS(LOG(dardel_experiment_results!K2:K1001,10)), dardel_experiment_results!L2:L1001=""ALL (including NEW) PRUNING"")
"),0.0899094544059318)</f>
        <v>8.9909454405931802E-2</v>
      </c>
      <c r="C2" s="1">
        <f ca="1">IFERROR(__xludf.DUMMYFUNCTION("FILTER(ABS(LOG(dardel_experiment_results!K2:K1001,10)), dardel_experiment_results!L2:L1001=""ONLY OLD PRUNING"")
"),0.0501222959631252)</f>
        <v>5.0122295963125202E-2</v>
      </c>
      <c r="D2" s="1">
        <f ca="1">IFERROR(__xludf.DUMMYFUNCTION("FILTER(ABS(LOG(dardel_experiment_results!K2:K1001,10)), dardel_experiment_results!L2:L1001=""NO PRUNING WHATSOEVER"")
"),0.542202782434028)</f>
        <v>0.54220278243402797</v>
      </c>
    </row>
    <row r="3" spans="1:4" ht="15.75" customHeight="1" x14ac:dyDescent="0.15">
      <c r="A3" s="1">
        <f ca="1">IFERROR(__xludf.DUMMYFUNCTION("""COMPUTED_VALUE"""),2)</f>
        <v>2</v>
      </c>
      <c r="B3" s="1">
        <f ca="1">IFERROR(__xludf.DUMMYFUNCTION("""COMPUTED_VALUE"""),0.114073660198568)</f>
        <v>0.114073660198568</v>
      </c>
      <c r="C3" s="1">
        <f ca="1">IFERROR(__xludf.DUMMYFUNCTION("""COMPUTED_VALUE"""),0.055024091587952)</f>
        <v>5.5024091587951997E-2</v>
      </c>
      <c r="D3" s="1">
        <f ca="1">IFERROR(__xludf.DUMMYFUNCTION("""COMPUTED_VALUE"""),0.615529223637132)</f>
        <v>0.61552922363713203</v>
      </c>
    </row>
    <row r="4" spans="1:4" ht="15.75" customHeight="1" x14ac:dyDescent="0.15">
      <c r="A4" s="1">
        <f ca="1">IFERROR(__xludf.DUMMYFUNCTION("""COMPUTED_VALUE"""),3)</f>
        <v>3</v>
      </c>
      <c r="B4" s="1">
        <f ca="1">IFERROR(__xludf.DUMMYFUNCTION("""COMPUTED_VALUE"""),1.12635872706926)</f>
        <v>1.1263587270692601</v>
      </c>
      <c r="C4" s="1">
        <f ca="1">IFERROR(__xludf.DUMMYFUNCTION("""COMPUTED_VALUE"""),1.53619216781264)</f>
        <v>1.53619216781264</v>
      </c>
      <c r="D4" s="1">
        <f ca="1">IFERROR(__xludf.DUMMYFUNCTION("""COMPUTED_VALUE"""),2.20804611916638)</f>
        <v>2.2080461191663798</v>
      </c>
    </row>
    <row r="5" spans="1:4" ht="15.75" customHeight="1" x14ac:dyDescent="0.15">
      <c r="A5" s="1">
        <f ca="1">IFERROR(__xludf.DUMMYFUNCTION("""COMPUTED_VALUE"""),3)</f>
        <v>3</v>
      </c>
      <c r="B5" s="1">
        <f ca="1">IFERROR(__xludf.DUMMYFUNCTION("""COMPUTED_VALUE"""),1.2001936371412)</f>
        <v>1.2001936371412001</v>
      </c>
      <c r="C5" s="1">
        <f ca="1">IFERROR(__xludf.DUMMYFUNCTION("""COMPUTED_VALUE"""),1.27455038490953)</f>
        <v>1.2745503849095301</v>
      </c>
      <c r="D5" s="1">
        <f ca="1">IFERROR(__xludf.DUMMYFUNCTION("""COMPUTED_VALUE"""),1.93239765500346)</f>
        <v>1.9323976550034601</v>
      </c>
    </row>
    <row r="6" spans="1:4" ht="15.75" customHeight="1" x14ac:dyDescent="0.15">
      <c r="A6" s="1">
        <f ca="1">IFERROR(__xludf.DUMMYFUNCTION("""COMPUTED_VALUE"""),3)</f>
        <v>3</v>
      </c>
      <c r="B6" s="1">
        <f ca="1">IFERROR(__xludf.DUMMYFUNCTION("""COMPUTED_VALUE"""),1.23603314711763)</f>
        <v>1.23603314711763</v>
      </c>
      <c r="C6" s="1">
        <f ca="1">IFERROR(__xludf.DUMMYFUNCTION("""COMPUTED_VALUE"""),1.52043112602154)</f>
        <v>1.52043112602154</v>
      </c>
      <c r="D6" s="1">
        <f ca="1">IFERROR(__xludf.DUMMYFUNCTION("""COMPUTED_VALUE"""),2.27496562453928)</f>
        <v>2.2749656245392802</v>
      </c>
    </row>
    <row r="7" spans="1:4" ht="15.75" customHeight="1" x14ac:dyDescent="0.15">
      <c r="A7" s="1">
        <f ca="1">IFERROR(__xludf.DUMMYFUNCTION("""COMPUTED_VALUE"""),4)</f>
        <v>4</v>
      </c>
      <c r="B7" s="1">
        <f ca="1">IFERROR(__xludf.DUMMYFUNCTION("""COMPUTED_VALUE"""),2.47444064016599)</f>
        <v>2.47444064016599</v>
      </c>
      <c r="C7" s="1">
        <f ca="1">IFERROR(__xludf.DUMMYFUNCTION("""COMPUTED_VALUE"""),2.58571559121331)</f>
        <v>2.5857155912133098</v>
      </c>
      <c r="D7" s="1">
        <f ca="1">IFERROR(__xludf.DUMMYFUNCTION("""COMPUTED_VALUE"""),3.40024364004358)</f>
        <v>3.40024364004358</v>
      </c>
    </row>
    <row r="8" spans="1:4" ht="15.75" customHeight="1" x14ac:dyDescent="0.15">
      <c r="A8" s="1">
        <f ca="1">IFERROR(__xludf.DUMMYFUNCTION("""COMPUTED_VALUE"""),4)</f>
        <v>4</v>
      </c>
      <c r="B8" s="1">
        <f ca="1">IFERROR(__xludf.DUMMYFUNCTION("""COMPUTED_VALUE"""),2.25013200375463)</f>
        <v>2.2501320037546302</v>
      </c>
      <c r="C8" s="1">
        <f ca="1">IFERROR(__xludf.DUMMYFUNCTION("""COMPUTED_VALUE"""),2.66881068375575)</f>
        <v>2.6688106837557499</v>
      </c>
      <c r="D8" s="1">
        <f ca="1">IFERROR(__xludf.DUMMYFUNCTION("""COMPUTED_VALUE"""),3.32144949804915)</f>
        <v>3.3214494980491498</v>
      </c>
    </row>
    <row r="9" spans="1:4" ht="15.75" customHeight="1" x14ac:dyDescent="0.15">
      <c r="A9" s="1">
        <f ca="1">IFERROR(__xludf.DUMMYFUNCTION("""COMPUTED_VALUE"""),4)</f>
        <v>4</v>
      </c>
      <c r="B9" s="1">
        <f ca="1">IFERROR(__xludf.DUMMYFUNCTION("""COMPUTED_VALUE"""),2.19280154130617)</f>
        <v>2.1928015413061699</v>
      </c>
      <c r="C9" s="1">
        <f ca="1">IFERROR(__xludf.DUMMYFUNCTION("""COMPUTED_VALUE"""),2.27529983464149)</f>
        <v>2.2752998346414901</v>
      </c>
      <c r="D9" s="1">
        <f ca="1">IFERROR(__xludf.DUMMYFUNCTION("""COMPUTED_VALUE"""),2.97257539395023)</f>
        <v>2.9725753939502302</v>
      </c>
    </row>
    <row r="10" spans="1:4" ht="15.75" customHeight="1" x14ac:dyDescent="0.15">
      <c r="A10" s="1">
        <f ca="1">IFERROR(__xludf.DUMMYFUNCTION("""COMPUTED_VALUE"""),4)</f>
        <v>4</v>
      </c>
      <c r="B10" s="1">
        <f ca="1">IFERROR(__xludf.DUMMYFUNCTION("""COMPUTED_VALUE"""),2.233387053387)</f>
        <v>2.2333870533870002</v>
      </c>
      <c r="C10" s="1">
        <f ca="1">IFERROR(__xludf.DUMMYFUNCTION("""COMPUTED_VALUE"""),2.51128562787917)</f>
        <v>2.51128562787917</v>
      </c>
      <c r="D10" s="1">
        <f ca="1">IFERROR(__xludf.DUMMYFUNCTION("""COMPUTED_VALUE"""),3.28316300153736)</f>
        <v>3.2831630015373601</v>
      </c>
    </row>
    <row r="11" spans="1:4" ht="15.75" customHeight="1" x14ac:dyDescent="0.15">
      <c r="A11" s="1">
        <f ca="1">IFERROR(__xludf.DUMMYFUNCTION("""COMPUTED_VALUE"""),5)</f>
        <v>5</v>
      </c>
      <c r="B11" s="1">
        <f ca="1">IFERROR(__xludf.DUMMYFUNCTION("""COMPUTED_VALUE"""),3.17215848599349)</f>
        <v>3.1721584859934899</v>
      </c>
      <c r="C11" s="1">
        <f ca="1">IFERROR(__xludf.DUMMYFUNCTION("""COMPUTED_VALUE"""),3.28306569580687)</f>
        <v>3.28306569580687</v>
      </c>
      <c r="D11" s="1">
        <f ca="1">IFERROR(__xludf.DUMMYFUNCTION("""COMPUTED_VALUE"""),4.11667122337392)</f>
        <v>4.1166712233739204</v>
      </c>
    </row>
    <row r="12" spans="1:4" ht="15.75" customHeight="1" x14ac:dyDescent="0.15">
      <c r="A12" s="1">
        <f ca="1">IFERROR(__xludf.DUMMYFUNCTION("""COMPUTED_VALUE"""),5)</f>
        <v>5</v>
      </c>
      <c r="B12" s="1">
        <f ca="1">IFERROR(__xludf.DUMMYFUNCTION("""COMPUTED_VALUE"""),2.88289663092229)</f>
        <v>2.8828966309222901</v>
      </c>
      <c r="C12" s="1">
        <f ca="1">IFERROR(__xludf.DUMMYFUNCTION("""COMPUTED_VALUE"""),3.29499059012067)</f>
        <v>3.29499059012067</v>
      </c>
      <c r="D12" s="1">
        <f ca="1">IFERROR(__xludf.DUMMYFUNCTION("""COMPUTED_VALUE"""),4.10836352388492)</f>
        <v>4.1083635238849201</v>
      </c>
    </row>
    <row r="13" spans="1:4" ht="15.75" customHeight="1" x14ac:dyDescent="0.15">
      <c r="A13" s="1">
        <f ca="1">IFERROR(__xludf.DUMMYFUNCTION("""COMPUTED_VALUE"""),5)</f>
        <v>5</v>
      </c>
      <c r="B13" s="1">
        <f ca="1">IFERROR(__xludf.DUMMYFUNCTION("""COMPUTED_VALUE"""),2.925293006881)</f>
        <v>2.9252930068810001</v>
      </c>
      <c r="C13" s="1">
        <f ca="1">IFERROR(__xludf.DUMMYFUNCTION("""COMPUTED_VALUE"""),3.11122923440128)</f>
        <v>3.11122923440128</v>
      </c>
      <c r="D13" s="1">
        <f ca="1">IFERROR(__xludf.DUMMYFUNCTION("""COMPUTED_VALUE"""),3.82079060952529)</f>
        <v>3.8207906095252899</v>
      </c>
    </row>
    <row r="14" spans="1:4" ht="15.75" customHeight="1" x14ac:dyDescent="0.15">
      <c r="A14" s="1">
        <f ca="1">IFERROR(__xludf.DUMMYFUNCTION("""COMPUTED_VALUE"""),5)</f>
        <v>5</v>
      </c>
      <c r="B14" s="1">
        <f ca="1">IFERROR(__xludf.DUMMYFUNCTION("""COMPUTED_VALUE"""),2.99792825893334)</f>
        <v>2.99792825893334</v>
      </c>
      <c r="C14" s="1">
        <f ca="1">IFERROR(__xludf.DUMMYFUNCTION("""COMPUTED_VALUE"""),3.33653317744223)</f>
        <v>3.33653317744223</v>
      </c>
      <c r="D14" s="1">
        <f ca="1">IFERROR(__xludf.DUMMYFUNCTION("""COMPUTED_VALUE"""),4.07947118557425)</f>
        <v>4.07947118557425</v>
      </c>
    </row>
    <row r="15" spans="1:4" ht="15.75" customHeight="1" x14ac:dyDescent="0.15">
      <c r="A15" s="1">
        <f ca="1">IFERROR(__xludf.DUMMYFUNCTION("""COMPUTED_VALUE"""),5)</f>
        <v>5</v>
      </c>
      <c r="B15" s="1">
        <f ca="1">IFERROR(__xludf.DUMMYFUNCTION("""COMPUTED_VALUE"""),2.98782172524646)</f>
        <v>2.9878217252464601</v>
      </c>
      <c r="C15" s="1">
        <f ca="1">IFERROR(__xludf.DUMMYFUNCTION("""COMPUTED_VALUE"""),3.18803705500689)</f>
        <v>3.1880370550068902</v>
      </c>
      <c r="D15" s="1">
        <f ca="1">IFERROR(__xludf.DUMMYFUNCTION("""COMPUTED_VALUE"""),3.98967420450192)</f>
        <v>3.9896742045019198</v>
      </c>
    </row>
    <row r="16" spans="1:4" ht="15.75" customHeight="1" x14ac:dyDescent="0.15">
      <c r="A16" s="1">
        <f ca="1">IFERROR(__xludf.DUMMYFUNCTION("""COMPUTED_VALUE"""),5)</f>
        <v>5</v>
      </c>
      <c r="B16" s="1">
        <f ca="1">IFERROR(__xludf.DUMMYFUNCTION("""COMPUTED_VALUE"""),2.30291940368216)</f>
        <v>2.3029194036821599</v>
      </c>
      <c r="C16" s="1">
        <f ca="1">IFERROR(__xludf.DUMMYFUNCTION("""COMPUTED_VALUE"""),2.87146726771718)</f>
        <v>2.87146726771718</v>
      </c>
      <c r="D16" s="1">
        <f ca="1">IFERROR(__xludf.DUMMYFUNCTION("""COMPUTED_VALUE"""),3.72415531566599)</f>
        <v>3.7241553156659899</v>
      </c>
    </row>
    <row r="17" spans="1:4" ht="15.75" customHeight="1" x14ac:dyDescent="0.15">
      <c r="A17" s="1">
        <f ca="1">IFERROR(__xludf.DUMMYFUNCTION("""COMPUTED_VALUE"""),6)</f>
        <v>6</v>
      </c>
      <c r="B17" s="1">
        <f ca="1">IFERROR(__xludf.DUMMYFUNCTION("""COMPUTED_VALUE"""),3.73892540482209)</f>
        <v>3.7389254048220901</v>
      </c>
      <c r="C17" s="1">
        <f ca="1">IFERROR(__xludf.DUMMYFUNCTION("""COMPUTED_VALUE"""),3.90066868106392)</f>
        <v>3.90066868106392</v>
      </c>
      <c r="D17" s="1">
        <f ca="1">IFERROR(__xludf.DUMMYFUNCTION("""COMPUTED_VALUE"""),4.73345459463215)</f>
        <v>4.7334545946321498</v>
      </c>
    </row>
    <row r="18" spans="1:4" ht="15.75" customHeight="1" x14ac:dyDescent="0.15">
      <c r="A18" s="1">
        <f ca="1">IFERROR(__xludf.DUMMYFUNCTION("""COMPUTED_VALUE"""),2)</f>
        <v>2</v>
      </c>
      <c r="B18" s="1">
        <f ca="1">IFERROR(__xludf.DUMMYFUNCTION("""COMPUTED_VALUE"""),0.417936637088291)</f>
        <v>0.41793663708829099</v>
      </c>
      <c r="C18" s="1">
        <f ca="1">IFERROR(__xludf.DUMMYFUNCTION("""COMPUTED_VALUE"""),0.238824186844268)</f>
        <v>0.23882418684426801</v>
      </c>
      <c r="D18" s="1">
        <f ca="1">IFERROR(__xludf.DUMMYFUNCTION("""COMPUTED_VALUE"""),0.174641192660448)</f>
        <v>0.174641192660448</v>
      </c>
    </row>
    <row r="19" spans="1:4" ht="15.75" customHeight="1" x14ac:dyDescent="0.15">
      <c r="A19" s="1">
        <f ca="1">IFERROR(__xludf.DUMMYFUNCTION("""COMPUTED_VALUE"""),2)</f>
        <v>2</v>
      </c>
      <c r="B19" s="1">
        <f ca="1">IFERROR(__xludf.DUMMYFUNCTION("""COMPUTED_VALUE"""),0.27572413039921)</f>
        <v>0.27572413039921001</v>
      </c>
      <c r="C19" s="1">
        <f ca="1">IFERROR(__xludf.DUMMYFUNCTION("""COMPUTED_VALUE"""),0.224753740259763)</f>
        <v>0.224753740259763</v>
      </c>
      <c r="D19" s="1">
        <f ca="1">IFERROR(__xludf.DUMMYFUNCTION("""COMPUTED_VALUE"""),0.191730393362856)</f>
        <v>0.19173039336285599</v>
      </c>
    </row>
    <row r="20" spans="1:4" ht="15.75" customHeight="1" x14ac:dyDescent="0.15">
      <c r="A20" s="1">
        <f ca="1">IFERROR(__xludf.DUMMYFUNCTION("""COMPUTED_VALUE"""),2)</f>
        <v>2</v>
      </c>
      <c r="B20" s="1">
        <f ca="1">IFERROR(__xludf.DUMMYFUNCTION("""COMPUTED_VALUE"""),0.244125144327508)</f>
        <v>0.24412514432750801</v>
      </c>
      <c r="C20" s="1">
        <f ca="1">IFERROR(__xludf.DUMMYFUNCTION("""COMPUTED_VALUE"""),0.133712660915805)</f>
        <v>0.133712660915805</v>
      </c>
      <c r="D20" s="1">
        <f ca="1">IFERROR(__xludf.DUMMYFUNCTION("""COMPUTED_VALUE"""),0.42845877351558)</f>
        <v>0.42845877351557998</v>
      </c>
    </row>
    <row r="21" spans="1:4" ht="15.75" customHeight="1" x14ac:dyDescent="0.15">
      <c r="A21" s="1">
        <f ca="1">IFERROR(__xludf.DUMMYFUNCTION("""COMPUTED_VALUE"""),2)</f>
        <v>2</v>
      </c>
      <c r="B21" s="1">
        <f ca="1">IFERROR(__xludf.DUMMYFUNCTION("""COMPUTED_VALUE"""),0.209714835966758)</f>
        <v>0.209714835966758</v>
      </c>
      <c r="C21" s="1">
        <f ca="1">IFERROR(__xludf.DUMMYFUNCTION("""COMPUTED_VALUE"""),0.136677139879544)</f>
        <v>0.136677139879544</v>
      </c>
      <c r="D21" s="1">
        <f ca="1">IFERROR(__xludf.DUMMYFUNCTION("""COMPUTED_VALUE"""),0.439174739843468)</f>
        <v>0.439174739843468</v>
      </c>
    </row>
    <row r="22" spans="1:4" ht="15.75" customHeight="1" x14ac:dyDescent="0.15">
      <c r="A22" s="1">
        <f ca="1">IFERROR(__xludf.DUMMYFUNCTION("""COMPUTED_VALUE"""),2)</f>
        <v>2</v>
      </c>
      <c r="B22" s="1">
        <f ca="1">IFERROR(__xludf.DUMMYFUNCTION("""COMPUTED_VALUE"""),0.26921772433361)</f>
        <v>0.26921772433361002</v>
      </c>
      <c r="C22" s="1">
        <f ca="1">IFERROR(__xludf.DUMMYFUNCTION("""COMPUTED_VALUE"""),0.22767829327708)</f>
        <v>0.22767829327708</v>
      </c>
      <c r="D22" s="1">
        <f ca="1">IFERROR(__xludf.DUMMYFUNCTION("""COMPUTED_VALUE"""),0.181843587944772)</f>
        <v>0.18184358794477201</v>
      </c>
    </row>
    <row r="23" spans="1:4" ht="15.75" customHeight="1" x14ac:dyDescent="0.15">
      <c r="A23" s="1">
        <f ca="1">IFERROR(__xludf.DUMMYFUNCTION("""COMPUTED_VALUE"""),2)</f>
        <v>2</v>
      </c>
      <c r="B23" s="1">
        <f ca="1">IFERROR(__xludf.DUMMYFUNCTION("""COMPUTED_VALUE"""),0.384049948343599)</f>
        <v>0.38404994834359901</v>
      </c>
      <c r="C23" s="1">
        <f ca="1">IFERROR(__xludf.DUMMYFUNCTION("""COMPUTED_VALUE"""),0.328827157284916)</f>
        <v>0.32882715728491602</v>
      </c>
      <c r="D23" s="1">
        <f ca="1">IFERROR(__xludf.DUMMYFUNCTION("""COMPUTED_VALUE"""),0.226857570288723)</f>
        <v>0.226857570288723</v>
      </c>
    </row>
    <row r="24" spans="1:4" ht="15.75" customHeight="1" x14ac:dyDescent="0.15">
      <c r="A24" s="1">
        <f ca="1">IFERROR(__xludf.DUMMYFUNCTION("""COMPUTED_VALUE"""),2)</f>
        <v>2</v>
      </c>
      <c r="B24" s="1">
        <f ca="1">IFERROR(__xludf.DUMMYFUNCTION("""COMPUTED_VALUE"""),0.332547047110046)</f>
        <v>0.33254704711004601</v>
      </c>
      <c r="C24" s="1">
        <f ca="1">IFERROR(__xludf.DUMMYFUNCTION("""COMPUTED_VALUE"""),0.255707016877323)</f>
        <v>0.255707016877323</v>
      </c>
      <c r="D24" s="1">
        <f ca="1">IFERROR(__xludf.DUMMYFUNCTION("""COMPUTED_VALUE"""),0.193958978019186)</f>
        <v>0.19395897801918599</v>
      </c>
    </row>
    <row r="25" spans="1:4" ht="15.75" customHeight="1" x14ac:dyDescent="0.15">
      <c r="A25" s="1">
        <f ca="1">IFERROR(__xludf.DUMMYFUNCTION("""COMPUTED_VALUE"""),2)</f>
        <v>2</v>
      </c>
      <c r="B25" s="1">
        <f ca="1">IFERROR(__xludf.DUMMYFUNCTION("""COMPUTED_VALUE"""),0.252588192113576)</f>
        <v>0.25258819211357603</v>
      </c>
      <c r="C25" s="1">
        <f ca="1">IFERROR(__xludf.DUMMYFUNCTION("""COMPUTED_VALUE"""),0.114638779968488)</f>
        <v>0.11463877996848799</v>
      </c>
      <c r="D25" s="1">
        <f ca="1">IFERROR(__xludf.DUMMYFUNCTION("""COMPUTED_VALUE"""),0.389874558390985)</f>
        <v>0.389874558390985</v>
      </c>
    </row>
    <row r="26" spans="1:4" ht="15.75" customHeight="1" x14ac:dyDescent="0.15">
      <c r="A26" s="1">
        <f ca="1">IFERROR(__xludf.DUMMYFUNCTION("""COMPUTED_VALUE"""),2)</f>
        <v>2</v>
      </c>
      <c r="B26" s="1">
        <f ca="1">IFERROR(__xludf.DUMMYFUNCTION("""COMPUTED_VALUE"""),0.302770657240282)</f>
        <v>0.30277065724028202</v>
      </c>
      <c r="C26" s="1">
        <f ca="1">IFERROR(__xludf.DUMMYFUNCTION("""COMPUTED_VALUE"""),0.224753740259763)</f>
        <v>0.224753740259763</v>
      </c>
      <c r="D26" s="1">
        <f ca="1">IFERROR(__xludf.DUMMYFUNCTION("""COMPUTED_VALUE"""),0.215373152783421)</f>
        <v>0.21537315278342101</v>
      </c>
    </row>
    <row r="27" spans="1:4" ht="15.75" customHeight="1" x14ac:dyDescent="0.15">
      <c r="A27" s="1">
        <f ca="1">IFERROR(__xludf.DUMMYFUNCTION("""COMPUTED_VALUE"""),2)</f>
        <v>2</v>
      </c>
      <c r="B27" s="1">
        <f ca="1">IFERROR(__xludf.DUMMYFUNCTION("""COMPUTED_VALUE"""),0.318758762624412)</f>
        <v>0.318758762624412</v>
      </c>
      <c r="C27" s="1">
        <f ca="1">IFERROR(__xludf.DUMMYFUNCTION("""COMPUTED_VALUE"""),0.27901425584626)</f>
        <v>0.27901425584626</v>
      </c>
      <c r="D27" s="1">
        <f ca="1">IFERROR(__xludf.DUMMYFUNCTION("""COMPUTED_VALUE"""),0.199480914862355)</f>
        <v>0.199480914862355</v>
      </c>
    </row>
    <row r="28" spans="1:4" ht="15.75" customHeight="1" x14ac:dyDescent="0.15">
      <c r="A28" s="1">
        <f ca="1">IFERROR(__xludf.DUMMYFUNCTION("""COMPUTED_VALUE"""),2)</f>
        <v>2</v>
      </c>
      <c r="B28" s="1">
        <f ca="1">IFERROR(__xludf.DUMMYFUNCTION("""COMPUTED_VALUE"""),0.448550002027124)</f>
        <v>0.44855000202712397</v>
      </c>
      <c r="C28" s="1">
        <f ca="1">IFERROR(__xludf.DUMMYFUNCTION("""COMPUTED_VALUE"""),0.27572413039921)</f>
        <v>0.27572413039921001</v>
      </c>
      <c r="D28" s="1">
        <f ca="1">IFERROR(__xludf.DUMMYFUNCTION("""COMPUTED_VALUE"""),0.178401341533755)</f>
        <v>0.178401341533755</v>
      </c>
    </row>
    <row r="29" spans="1:4" ht="15.75" customHeight="1" x14ac:dyDescent="0.15">
      <c r="A29" s="1">
        <f ca="1">IFERROR(__xludf.DUMMYFUNCTION("""COMPUTED_VALUE"""),2)</f>
        <v>2</v>
      </c>
      <c r="B29" s="1">
        <f ca="1">IFERROR(__xludf.DUMMYFUNCTION("""COMPUTED_VALUE"""),0.465973893943864)</f>
        <v>0.46597389394386401</v>
      </c>
      <c r="C29" s="1">
        <f ca="1">IFERROR(__xludf.DUMMYFUNCTION("""COMPUTED_VALUE"""),0.281498311132725)</f>
        <v>0.281498311132725</v>
      </c>
      <c r="D29" s="1">
        <f ca="1">IFERROR(__xludf.DUMMYFUNCTION("""COMPUTED_VALUE"""),0.184691430817598)</f>
        <v>0.18469143081759801</v>
      </c>
    </row>
    <row r="30" spans="1:4" ht="15.75" customHeight="1" x14ac:dyDescent="0.15">
      <c r="A30" s="1">
        <f ca="1">IFERROR(__xludf.DUMMYFUNCTION("""COMPUTED_VALUE"""),2)</f>
        <v>2</v>
      </c>
      <c r="B30" s="1">
        <f ca="1">IFERROR(__xludf.DUMMYFUNCTION("""COMPUTED_VALUE"""),0.373659632624957)</f>
        <v>0.37365963262495699</v>
      </c>
      <c r="C30" s="1">
        <f ca="1">IFERROR(__xludf.DUMMYFUNCTION("""COMPUTED_VALUE"""),0.331614083309999)</f>
        <v>0.33161408330999897</v>
      </c>
      <c r="D30" s="1">
        <f ca="1">IFERROR(__xludf.DUMMYFUNCTION("""COMPUTED_VALUE"""),0.169086357487022)</f>
        <v>0.169086357487022</v>
      </c>
    </row>
    <row r="31" spans="1:4" ht="15.75" customHeight="1" x14ac:dyDescent="0.15">
      <c r="A31" s="1">
        <f ca="1">IFERROR(__xludf.DUMMYFUNCTION("""COMPUTED_VALUE"""),2)</f>
        <v>2</v>
      </c>
      <c r="B31" s="1">
        <f ca="1">IFERROR(__xludf.DUMMYFUNCTION("""COMPUTED_VALUE"""),0.354577730650908)</f>
        <v>0.35457773065090797</v>
      </c>
      <c r="C31" s="1">
        <f ca="1">IFERROR(__xludf.DUMMYFUNCTION("""COMPUTED_VALUE"""),0.0447934624580582)</f>
        <v>4.4793462458058202E-2</v>
      </c>
      <c r="D31" s="1">
        <f ca="1">IFERROR(__xludf.DUMMYFUNCTION("""COMPUTED_VALUE"""),0.545554507234065)</f>
        <v>0.54555450723406496</v>
      </c>
    </row>
    <row r="32" spans="1:4" ht="15.75" customHeight="1" x14ac:dyDescent="0.15">
      <c r="A32" s="1">
        <f ca="1">IFERROR(__xludf.DUMMYFUNCTION("""COMPUTED_VALUE"""),2)</f>
        <v>2</v>
      </c>
      <c r="B32" s="1">
        <f ca="1">IFERROR(__xludf.DUMMYFUNCTION("""COMPUTED_VALUE"""),0.485452247339713)</f>
        <v>0.48545224733971298</v>
      </c>
      <c r="C32" s="1">
        <f ca="1">IFERROR(__xludf.DUMMYFUNCTION("""COMPUTED_VALUE"""),0.289882634888183)</f>
        <v>0.289882634888183</v>
      </c>
      <c r="D32" s="1">
        <f ca="1">IFERROR(__xludf.DUMMYFUNCTION("""COMPUTED_VALUE"""),0.171141151028382)</f>
        <v>0.17114115102838201</v>
      </c>
    </row>
    <row r="33" spans="1:4" ht="15.75" customHeight="1" x14ac:dyDescent="0.15">
      <c r="A33" s="1">
        <f ca="1">IFERROR(__xludf.DUMMYFUNCTION("""COMPUTED_VALUE"""),2)</f>
        <v>2</v>
      </c>
      <c r="B33" s="1">
        <f ca="1">IFERROR(__xludf.DUMMYFUNCTION("""COMPUTED_VALUE"""),0.267606240177031)</f>
        <v>0.267606240177031</v>
      </c>
      <c r="C33" s="1">
        <f ca="1">IFERROR(__xludf.DUMMYFUNCTION("""COMPUTED_VALUE"""),0.22112552799726)</f>
        <v>0.22112552799726001</v>
      </c>
      <c r="D33" s="1">
        <f ca="1">IFERROR(__xludf.DUMMYFUNCTION("""COMPUTED_VALUE"""),0.188084373714938)</f>
        <v>0.188084373714938</v>
      </c>
    </row>
    <row r="34" spans="1:4" ht="15.75" customHeight="1" x14ac:dyDescent="0.15">
      <c r="A34" s="1">
        <f ca="1">IFERROR(__xludf.DUMMYFUNCTION("""COMPUTED_VALUE"""),2)</f>
        <v>2</v>
      </c>
      <c r="B34" s="1">
        <f ca="1">IFERROR(__xludf.DUMMYFUNCTION("""COMPUTED_VALUE"""),0.39040559077478)</f>
        <v>0.39040559077477999</v>
      </c>
      <c r="C34" s="1">
        <f ca="1">IFERROR(__xludf.DUMMYFUNCTION("""COMPUTED_VALUE"""),0.283162276700475)</f>
        <v>0.283162276700475</v>
      </c>
      <c r="D34" s="1">
        <f ca="1">IFERROR(__xludf.DUMMYFUNCTION("""COMPUTED_VALUE"""),0.231469590430681)</f>
        <v>0.23146959043068099</v>
      </c>
    </row>
    <row r="35" spans="1:4" ht="15.75" customHeight="1" x14ac:dyDescent="0.15">
      <c r="A35" s="1">
        <f ca="1">IFERROR(__xludf.DUMMYFUNCTION("""COMPUTED_VALUE"""),2)</f>
        <v>2</v>
      </c>
      <c r="B35" s="1">
        <f ca="1">IFERROR(__xludf.DUMMYFUNCTION("""COMPUTED_VALUE"""),0.309803919971486)</f>
        <v>0.30980391997148599</v>
      </c>
      <c r="C35" s="1">
        <f ca="1">IFERROR(__xludf.DUMMYFUNCTION("""COMPUTED_VALUE"""),0.254925208417942)</f>
        <v>0.25492520841794197</v>
      </c>
      <c r="D35" s="1">
        <f ca="1">IFERROR(__xludf.DUMMYFUNCTION("""COMPUTED_VALUE"""),0.16761267272753)</f>
        <v>0.16761267272753</v>
      </c>
    </row>
    <row r="36" spans="1:4" ht="15.75" customHeight="1" x14ac:dyDescent="0.15">
      <c r="A36" s="1">
        <f ca="1">IFERROR(__xludf.DUMMYFUNCTION("""COMPUTED_VALUE"""),3)</f>
        <v>3</v>
      </c>
      <c r="B36" s="1">
        <f ca="1">IFERROR(__xludf.DUMMYFUNCTION("""COMPUTED_VALUE"""),0.720903170813457)</f>
        <v>0.72090317081345701</v>
      </c>
      <c r="C36" s="1">
        <f ca="1">IFERROR(__xludf.DUMMYFUNCTION("""COMPUTED_VALUE"""),1.01707509637605)</f>
        <v>1.01707509637605</v>
      </c>
      <c r="D36" s="1">
        <f ca="1">IFERROR(__xludf.DUMMYFUNCTION("""COMPUTED_VALUE"""),1.72077102080463)</f>
        <v>1.7207710208046301</v>
      </c>
    </row>
    <row r="37" spans="1:4" ht="15.75" customHeight="1" x14ac:dyDescent="0.15">
      <c r="A37" s="1">
        <f ca="1">IFERROR(__xludf.DUMMYFUNCTION("""COMPUTED_VALUE"""),3)</f>
        <v>3</v>
      </c>
      <c r="B37" s="1">
        <f ca="1">IFERROR(__xludf.DUMMYFUNCTION("""COMPUTED_VALUE"""),0.488409688903198)</f>
        <v>0.48840968890319802</v>
      </c>
      <c r="C37" s="1">
        <f ca="1">IFERROR(__xludf.DUMMYFUNCTION("""COMPUTED_VALUE"""),0.82288694783415)</f>
        <v>0.82288694783414995</v>
      </c>
      <c r="D37" s="1">
        <f ca="1">IFERROR(__xludf.DUMMYFUNCTION("""COMPUTED_VALUE"""),1.64332434324819)</f>
        <v>1.6433243432481901</v>
      </c>
    </row>
    <row r="38" spans="1:4" ht="15.75" customHeight="1" x14ac:dyDescent="0.15">
      <c r="A38" s="1">
        <f ca="1">IFERROR(__xludf.DUMMYFUNCTION("""COMPUTED_VALUE"""),3)</f>
        <v>3</v>
      </c>
      <c r="B38" s="1">
        <f ca="1">IFERROR(__xludf.DUMMYFUNCTION("""COMPUTED_VALUE"""),1.32209519286655)</f>
        <v>1.3220951928665501</v>
      </c>
      <c r="C38" s="1">
        <f ca="1">IFERROR(__xludf.DUMMYFUNCTION("""COMPUTED_VALUE"""),1.59933713299248)</f>
        <v>1.5993371329924799</v>
      </c>
      <c r="D38" s="1">
        <f ca="1">IFERROR(__xludf.DUMMYFUNCTION("""COMPUTED_VALUE"""),2.25967270406376)</f>
        <v>2.2596727040637599</v>
      </c>
    </row>
    <row r="39" spans="1:4" ht="15.75" customHeight="1" x14ac:dyDescent="0.15">
      <c r="A39" s="1">
        <f ca="1">IFERROR(__xludf.DUMMYFUNCTION("""COMPUTED_VALUE"""),3)</f>
        <v>3</v>
      </c>
      <c r="B39" s="1">
        <f ca="1">IFERROR(__xludf.DUMMYFUNCTION("""COMPUTED_VALUE"""),0.905741927391601)</f>
        <v>0.90574192739160098</v>
      </c>
      <c r="C39" s="1">
        <f ca="1">IFERROR(__xludf.DUMMYFUNCTION("""COMPUTED_VALUE"""),1.0562185812723)</f>
        <v>1.0562185812723</v>
      </c>
      <c r="D39" s="1">
        <f ca="1">IFERROR(__xludf.DUMMYFUNCTION("""COMPUTED_VALUE"""),1.86173747221544)</f>
        <v>1.8617374722154401</v>
      </c>
    </row>
    <row r="40" spans="1:4" ht="15.75" customHeight="1" x14ac:dyDescent="0.15">
      <c r="A40" s="1">
        <f ca="1">IFERROR(__xludf.DUMMYFUNCTION("""COMPUTED_VALUE"""),3)</f>
        <v>3</v>
      </c>
      <c r="B40" s="1">
        <f ca="1">IFERROR(__xludf.DUMMYFUNCTION("""COMPUTED_VALUE"""),0.665580991017953)</f>
        <v>0.66558099101795298</v>
      </c>
      <c r="C40" s="1">
        <f ca="1">IFERROR(__xludf.DUMMYFUNCTION("""COMPUTED_VALUE"""),0.792951708250132)</f>
        <v>0.79295170825013195</v>
      </c>
      <c r="D40" s="1">
        <f ca="1">IFERROR(__xludf.DUMMYFUNCTION("""COMPUTED_VALUE"""),1.56362345369003)</f>
        <v>1.56362345369003</v>
      </c>
    </row>
    <row r="41" spans="1:4" ht="15.75" customHeight="1" x14ac:dyDescent="0.15">
      <c r="A41" s="1">
        <f ca="1">IFERROR(__xludf.DUMMYFUNCTION("""COMPUTED_VALUE"""),3)</f>
        <v>3</v>
      </c>
      <c r="B41" s="1">
        <f ca="1">IFERROR(__xludf.DUMMYFUNCTION("""COMPUTED_VALUE"""),0.815644149131965)</f>
        <v>0.81564414913196503</v>
      </c>
      <c r="C41" s="1">
        <f ca="1">IFERROR(__xludf.DUMMYFUNCTION("""COMPUTED_VALUE"""),0.857754522059442)</f>
        <v>0.85775452205944203</v>
      </c>
      <c r="D41" s="1">
        <f ca="1">IFERROR(__xludf.DUMMYFUNCTION("""COMPUTED_VALUE"""),1.63514180639512)</f>
        <v>1.63514180639512</v>
      </c>
    </row>
    <row r="42" spans="1:4" ht="15.75" customHeight="1" x14ac:dyDescent="0.15">
      <c r="A42" s="1">
        <f ca="1">IFERROR(__xludf.DUMMYFUNCTION("""COMPUTED_VALUE"""),3)</f>
        <v>3</v>
      </c>
      <c r="B42" s="1">
        <f ca="1">IFERROR(__xludf.DUMMYFUNCTION("""COMPUTED_VALUE"""),0.578065883836091)</f>
        <v>0.57806588383609103</v>
      </c>
      <c r="C42" s="1">
        <f ca="1">IFERROR(__xludf.DUMMYFUNCTION("""COMPUTED_VALUE"""),1.00298634085678)</f>
        <v>1.0029863408567801</v>
      </c>
      <c r="D42" s="1">
        <f ca="1">IFERROR(__xludf.DUMMYFUNCTION("""COMPUTED_VALUE"""),1.77657770479417)</f>
        <v>1.77657770479417</v>
      </c>
    </row>
    <row r="43" spans="1:4" ht="15.75" customHeight="1" x14ac:dyDescent="0.15">
      <c r="A43" s="1">
        <f ca="1">IFERROR(__xludf.DUMMYFUNCTION("""COMPUTED_VALUE"""),3)</f>
        <v>3</v>
      </c>
      <c r="B43" s="1">
        <f ca="1">IFERROR(__xludf.DUMMYFUNCTION("""COMPUTED_VALUE"""),0.861295393526695)</f>
        <v>0.86129539352669504</v>
      </c>
      <c r="C43" s="1">
        <f ca="1">IFERROR(__xludf.DUMMYFUNCTION("""COMPUTED_VALUE"""),1.22549020007128)</f>
        <v>1.22549020007128</v>
      </c>
      <c r="D43" s="1">
        <f ca="1">IFERROR(__xludf.DUMMYFUNCTION("""COMPUTED_VALUE"""),1.98877738684296)</f>
        <v>1.9887773868429599</v>
      </c>
    </row>
    <row r="44" spans="1:4" ht="15.75" customHeight="1" x14ac:dyDescent="0.15">
      <c r="A44" s="1">
        <f ca="1">IFERROR(__xludf.DUMMYFUNCTION("""COMPUTED_VALUE"""),3)</f>
        <v>3</v>
      </c>
      <c r="B44" s="1">
        <f ca="1">IFERROR(__xludf.DUMMYFUNCTION("""COMPUTED_VALUE"""),0.889357736888931)</f>
        <v>0.88935773688893105</v>
      </c>
      <c r="C44" s="1">
        <f ca="1">IFERROR(__xludf.DUMMYFUNCTION("""COMPUTED_VALUE"""),1.02345823764367)</f>
        <v>1.0234582376436701</v>
      </c>
      <c r="D44" s="1">
        <f ca="1">IFERROR(__xludf.DUMMYFUNCTION("""COMPUTED_VALUE"""),1.81119952738449)</f>
        <v>1.8111995273844901</v>
      </c>
    </row>
    <row r="45" spans="1:4" ht="15.75" customHeight="1" x14ac:dyDescent="0.15">
      <c r="A45" s="1">
        <f ca="1">IFERROR(__xludf.DUMMYFUNCTION("""COMPUTED_VALUE"""),3)</f>
        <v>3</v>
      </c>
      <c r="B45" s="1">
        <f ca="1">IFERROR(__xludf.DUMMYFUNCTION("""COMPUTED_VALUE"""),0.850891184135924)</f>
        <v>0.85089118413592402</v>
      </c>
      <c r="C45" s="1">
        <f ca="1">IFERROR(__xludf.DUMMYFUNCTION("""COMPUTED_VALUE"""),0.93444794894897)</f>
        <v>0.93444794894896999</v>
      </c>
      <c r="D45" s="1">
        <f ca="1">IFERROR(__xludf.DUMMYFUNCTION("""COMPUTED_VALUE"""),1.71420398058272)</f>
        <v>1.7142039805827201</v>
      </c>
    </row>
    <row r="46" spans="1:4" ht="15.75" customHeight="1" x14ac:dyDescent="0.15">
      <c r="A46" s="1">
        <f ca="1">IFERROR(__xludf.DUMMYFUNCTION("""COMPUTED_VALUE"""),3)</f>
        <v>3</v>
      </c>
      <c r="B46" s="1">
        <f ca="1">IFERROR(__xludf.DUMMYFUNCTION("""COMPUTED_VALUE"""),0.616475513888565)</f>
        <v>0.61647551388856503</v>
      </c>
      <c r="C46" s="1">
        <f ca="1">IFERROR(__xludf.DUMMYFUNCTION("""COMPUTED_VALUE"""),0.996818021879515)</f>
        <v>0.99681802187951496</v>
      </c>
      <c r="D46" s="1">
        <f ca="1">IFERROR(__xludf.DUMMYFUNCTION("""COMPUTED_VALUE"""),1.77715122260196)</f>
        <v>1.7771512226019599</v>
      </c>
    </row>
    <row r="47" spans="1:4" ht="15.75" customHeight="1" x14ac:dyDescent="0.15">
      <c r="A47" s="1">
        <f ca="1">IFERROR(__xludf.DUMMYFUNCTION("""COMPUTED_VALUE"""),3)</f>
        <v>3</v>
      </c>
      <c r="B47" s="1">
        <f ca="1">IFERROR(__xludf.DUMMYFUNCTION("""COMPUTED_VALUE"""),0.823865309324511)</f>
        <v>0.82386530932451096</v>
      </c>
      <c r="C47" s="1">
        <f ca="1">IFERROR(__xludf.DUMMYFUNCTION("""COMPUTED_VALUE"""),0.919653282310364)</f>
        <v>0.91965328231036403</v>
      </c>
      <c r="D47" s="1">
        <f ca="1">IFERROR(__xludf.DUMMYFUNCTION("""COMPUTED_VALUE"""),1.74810271078199)</f>
        <v>1.74810271078199</v>
      </c>
    </row>
    <row r="48" spans="1:4" ht="15.75" customHeight="1" x14ac:dyDescent="0.15">
      <c r="A48" s="1">
        <f ca="1">IFERROR(__xludf.DUMMYFUNCTION("""COMPUTED_VALUE"""),3)</f>
        <v>3</v>
      </c>
      <c r="B48" s="1">
        <f ca="1">IFERROR(__xludf.DUMMYFUNCTION("""COMPUTED_VALUE"""),0.651278013998144)</f>
        <v>0.651278013998144</v>
      </c>
      <c r="C48" s="1">
        <f ca="1">IFERROR(__xludf.DUMMYFUNCTION("""COMPUTED_VALUE"""),1.19978259396898)</f>
        <v>1.1997825939689799</v>
      </c>
      <c r="D48" s="1">
        <f ca="1">IFERROR(__xludf.DUMMYFUNCTION("""COMPUTED_VALUE"""),2.09267152944532)</f>
        <v>2.0926715294453202</v>
      </c>
    </row>
    <row r="49" spans="1:4" ht="15.75" customHeight="1" x14ac:dyDescent="0.15">
      <c r="A49" s="1">
        <f ca="1">IFERROR(__xludf.DUMMYFUNCTION("""COMPUTED_VALUE"""),3)</f>
        <v>3</v>
      </c>
      <c r="B49" s="1">
        <f ca="1">IFERROR(__xludf.DUMMYFUNCTION("""COMPUTED_VALUE"""),0.796921075330168)</f>
        <v>0.79692107533016798</v>
      </c>
      <c r="C49" s="1">
        <f ca="1">IFERROR(__xludf.DUMMYFUNCTION("""COMPUTED_VALUE"""),0.982768577251012)</f>
        <v>0.98276857725101197</v>
      </c>
      <c r="D49" s="1">
        <f ca="1">IFERROR(__xludf.DUMMYFUNCTION("""COMPUTED_VALUE"""),1.84767135121886)</f>
        <v>1.8476713512188601</v>
      </c>
    </row>
    <row r="50" spans="1:4" ht="15.75" customHeight="1" x14ac:dyDescent="0.15">
      <c r="A50" s="1">
        <f ca="1">IFERROR(__xludf.DUMMYFUNCTION("""COMPUTED_VALUE"""),3)</f>
        <v>3</v>
      </c>
      <c r="B50" s="1">
        <f ca="1">IFERROR(__xludf.DUMMYFUNCTION("""COMPUTED_VALUE"""),0.775683249026043)</f>
        <v>0.77568324902604302</v>
      </c>
      <c r="C50" s="1">
        <f ca="1">IFERROR(__xludf.DUMMYFUNCTION("""COMPUTED_VALUE"""),1.0217679726824)</f>
        <v>1.0217679726824</v>
      </c>
      <c r="D50" s="1">
        <f ca="1">IFERROR(__xludf.DUMMYFUNCTION("""COMPUTED_VALUE"""),1.81472026645965)</f>
        <v>1.81472026645965</v>
      </c>
    </row>
    <row r="51" spans="1:4" ht="15.75" customHeight="1" x14ac:dyDescent="0.15">
      <c r="A51" s="1">
        <f ca="1">IFERROR(__xludf.DUMMYFUNCTION("""COMPUTED_VALUE"""),3)</f>
        <v>3</v>
      </c>
      <c r="B51" s="1">
        <f ca="1">IFERROR(__xludf.DUMMYFUNCTION("""COMPUTED_VALUE"""),0.755341183811547)</f>
        <v>0.75534118381154702</v>
      </c>
      <c r="C51" s="1">
        <f ca="1">IFERROR(__xludf.DUMMYFUNCTION("""COMPUTED_VALUE"""),0.962795369857233)</f>
        <v>0.96279536985723302</v>
      </c>
      <c r="D51" s="1">
        <f ca="1">IFERROR(__xludf.DUMMYFUNCTION("""COMPUTED_VALUE"""),1.74424602982981)</f>
        <v>1.7442460298298099</v>
      </c>
    </row>
    <row r="52" spans="1:4" ht="15.75" customHeight="1" x14ac:dyDescent="0.15">
      <c r="A52" s="1">
        <f ca="1">IFERROR(__xludf.DUMMYFUNCTION("""COMPUTED_VALUE"""),3)</f>
        <v>3</v>
      </c>
      <c r="B52" s="1">
        <f ca="1">IFERROR(__xludf.DUMMYFUNCTION("""COMPUTED_VALUE"""),0.815976000971985)</f>
        <v>0.81597600097198497</v>
      </c>
      <c r="C52" s="1">
        <f ca="1">IFERROR(__xludf.DUMMYFUNCTION("""COMPUTED_VALUE"""),0.968342830958945)</f>
        <v>0.96834283095894502</v>
      </c>
      <c r="D52" s="1">
        <f ca="1">IFERROR(__xludf.DUMMYFUNCTION("""COMPUTED_VALUE"""),1.76966528305324)</f>
        <v>1.76966528305324</v>
      </c>
    </row>
    <row r="53" spans="1:4" ht="15.75" customHeight="1" x14ac:dyDescent="0.15">
      <c r="A53" s="1">
        <f ca="1">IFERROR(__xludf.DUMMYFUNCTION("""COMPUTED_VALUE"""),4)</f>
        <v>4</v>
      </c>
      <c r="B53" s="1">
        <f ca="1">IFERROR(__xludf.DUMMYFUNCTION("""COMPUTED_VALUE"""),1.86889706669983)</f>
        <v>1.8688970666998299</v>
      </c>
      <c r="C53" s="1">
        <f ca="1">IFERROR(__xludf.DUMMYFUNCTION("""COMPUTED_VALUE"""),2.13373046662454)</f>
        <v>2.1337304666245398</v>
      </c>
      <c r="D53" s="1">
        <f ca="1">IFERROR(__xludf.DUMMYFUNCTION("""COMPUTED_VALUE"""),2.86154098197755)</f>
        <v>2.8615409819775501</v>
      </c>
    </row>
    <row r="54" spans="1:4" ht="15.75" customHeight="1" x14ac:dyDescent="0.15">
      <c r="A54" s="1">
        <f ca="1">IFERROR(__xludf.DUMMYFUNCTION("""COMPUTED_VALUE"""),4)</f>
        <v>4</v>
      </c>
      <c r="B54" s="1">
        <f ca="1">IFERROR(__xludf.DUMMYFUNCTION("""COMPUTED_VALUE"""),1.43953794816541)</f>
        <v>1.43953794816541</v>
      </c>
      <c r="C54" s="1">
        <f ca="1">IFERROR(__xludf.DUMMYFUNCTION("""COMPUTED_VALUE"""),1.71531795409867)</f>
        <v>1.7153179540986701</v>
      </c>
      <c r="D54" s="1">
        <f ca="1">IFERROR(__xludf.DUMMYFUNCTION("""COMPUTED_VALUE"""),2.73527225769494)</f>
        <v>2.7352722576949402</v>
      </c>
    </row>
    <row r="55" spans="1:4" ht="15.75" customHeight="1" x14ac:dyDescent="0.15">
      <c r="A55" s="1">
        <f ca="1">IFERROR(__xludf.DUMMYFUNCTION("""COMPUTED_VALUE"""),4)</f>
        <v>4</v>
      </c>
      <c r="B55" s="1">
        <f ca="1">IFERROR(__xludf.DUMMYFUNCTION("""COMPUTED_VALUE"""),2.16923933401752)</f>
        <v>2.16923933401752</v>
      </c>
      <c r="C55" s="1">
        <f ca="1">IFERROR(__xludf.DUMMYFUNCTION("""COMPUTED_VALUE"""),2.59284490117692)</f>
        <v>2.5928449011769201</v>
      </c>
      <c r="D55" s="1">
        <f ca="1">IFERROR(__xludf.DUMMYFUNCTION("""COMPUTED_VALUE"""),3.24787633672075)</f>
        <v>3.2478763367207502</v>
      </c>
    </row>
    <row r="56" spans="1:4" ht="15.75" customHeight="1" x14ac:dyDescent="0.15">
      <c r="A56" s="1">
        <f ca="1">IFERROR(__xludf.DUMMYFUNCTION("""COMPUTED_VALUE"""),4)</f>
        <v>4</v>
      </c>
      <c r="B56" s="1">
        <f ca="1">IFERROR(__xludf.DUMMYFUNCTION("""COMPUTED_VALUE"""),1.39165832872247)</f>
        <v>1.39165832872247</v>
      </c>
      <c r="C56" s="1">
        <f ca="1">IFERROR(__xludf.DUMMYFUNCTION("""COMPUTED_VALUE"""),1.97781959661777)</f>
        <v>1.9778195966177701</v>
      </c>
      <c r="D56" s="1">
        <f ca="1">IFERROR(__xludf.DUMMYFUNCTION("""COMPUTED_VALUE"""),2.83049628307599)</f>
        <v>2.8304962830759899</v>
      </c>
    </row>
    <row r="57" spans="1:4" ht="15.75" customHeight="1" x14ac:dyDescent="0.15">
      <c r="A57" s="1">
        <f ca="1">IFERROR(__xludf.DUMMYFUNCTION("""COMPUTED_VALUE"""),4)</f>
        <v>4</v>
      </c>
      <c r="B57" s="1">
        <f ca="1">IFERROR(__xludf.DUMMYFUNCTION("""COMPUTED_VALUE"""),1.73476783618341)</f>
        <v>1.73476783618341</v>
      </c>
      <c r="C57" s="1">
        <f ca="1">IFERROR(__xludf.DUMMYFUNCTION("""COMPUTED_VALUE"""),1.84451445264213)</f>
        <v>1.84451445264213</v>
      </c>
      <c r="D57" s="1">
        <f ca="1">IFERROR(__xludf.DUMMYFUNCTION("""COMPUTED_VALUE"""),2.77634808543861)</f>
        <v>2.77634808543861</v>
      </c>
    </row>
    <row r="58" spans="1:4" ht="15.75" customHeight="1" x14ac:dyDescent="0.15">
      <c r="A58" s="1">
        <f ca="1">IFERROR(__xludf.DUMMYFUNCTION("""COMPUTED_VALUE"""),4)</f>
        <v>4</v>
      </c>
      <c r="B58" s="1">
        <f ca="1">IFERROR(__xludf.DUMMYFUNCTION("""COMPUTED_VALUE"""),1.66670513611989)</f>
        <v>1.6667051361198899</v>
      </c>
      <c r="C58" s="1">
        <f ca="1">IFERROR(__xludf.DUMMYFUNCTION("""COMPUTED_VALUE"""),2.01674092728625)</f>
        <v>2.01674092728625</v>
      </c>
      <c r="D58" s="1">
        <f ca="1">IFERROR(__xludf.DUMMYFUNCTION("""COMPUTED_VALUE"""),2.85686719024639)</f>
        <v>2.85686719024639</v>
      </c>
    </row>
    <row r="59" spans="1:4" ht="15.75" customHeight="1" x14ac:dyDescent="0.15">
      <c r="A59" s="1">
        <f ca="1">IFERROR(__xludf.DUMMYFUNCTION("""COMPUTED_VALUE"""),4)</f>
        <v>4</v>
      </c>
      <c r="B59" s="1">
        <f ca="1">IFERROR(__xludf.DUMMYFUNCTION("""COMPUTED_VALUE"""),1.97877378433012)</f>
        <v>1.9787737843301201</v>
      </c>
      <c r="C59" s="1">
        <f ca="1">IFERROR(__xludf.DUMMYFUNCTION("""COMPUTED_VALUE"""),2.31718341543156)</f>
        <v>2.3171834154315598</v>
      </c>
      <c r="D59" s="1">
        <f ca="1">IFERROR(__xludf.DUMMYFUNCTION("""COMPUTED_VALUE"""),3.11091043110281)</f>
        <v>3.11091043110281</v>
      </c>
    </row>
    <row r="60" spans="1:4" ht="15.75" customHeight="1" x14ac:dyDescent="0.15">
      <c r="A60" s="1">
        <f ca="1">IFERROR(__xludf.DUMMYFUNCTION("""COMPUTED_VALUE"""),4)</f>
        <v>4</v>
      </c>
      <c r="B60" s="1">
        <f ca="1">IFERROR(__xludf.DUMMYFUNCTION("""COMPUTED_VALUE"""),1.7856856682809)</f>
        <v>1.7856856682808999</v>
      </c>
      <c r="C60" s="1">
        <f ca="1">IFERROR(__xludf.DUMMYFUNCTION("""COMPUTED_VALUE"""),2.14249896461108)</f>
        <v>2.1424989646110801</v>
      </c>
      <c r="D60" s="1">
        <f ca="1">IFERROR(__xludf.DUMMYFUNCTION("""COMPUTED_VALUE"""),3.03128765298445)</f>
        <v>3.0312876529844499</v>
      </c>
    </row>
    <row r="61" spans="1:4" ht="15.75" customHeight="1" x14ac:dyDescent="0.15">
      <c r="A61" s="1">
        <f ca="1">IFERROR(__xludf.DUMMYFUNCTION("""COMPUTED_VALUE"""),4)</f>
        <v>4</v>
      </c>
      <c r="B61" s="1">
        <f ca="1">IFERROR(__xludf.DUMMYFUNCTION("""COMPUTED_VALUE"""),1.49753778760367)</f>
        <v>1.49753778760367</v>
      </c>
      <c r="C61" s="1">
        <f ca="1">IFERROR(__xludf.DUMMYFUNCTION("""COMPUTED_VALUE"""),2.24162865010428)</f>
        <v>2.2416286501042801</v>
      </c>
      <c r="D61" s="1">
        <f ca="1">IFERROR(__xludf.DUMMYFUNCTION("""COMPUTED_VALUE"""),3.0421134104473)</f>
        <v>3.0421134104473002</v>
      </c>
    </row>
    <row r="62" spans="1:4" ht="15.75" customHeight="1" x14ac:dyDescent="0.15">
      <c r="A62" s="1">
        <f ca="1">IFERROR(__xludf.DUMMYFUNCTION("""COMPUTED_VALUE"""),4)</f>
        <v>4</v>
      </c>
      <c r="B62" s="1">
        <f ca="1">IFERROR(__xludf.DUMMYFUNCTION("""COMPUTED_VALUE"""),1.69109033713436)</f>
        <v>1.69109033713436</v>
      </c>
      <c r="C62" s="1">
        <f ca="1">IFERROR(__xludf.DUMMYFUNCTION("""COMPUTED_VALUE"""),1.95660538755102)</f>
        <v>1.9566053875510201</v>
      </c>
      <c r="D62" s="1">
        <f ca="1">IFERROR(__xludf.DUMMYFUNCTION("""COMPUTED_VALUE"""),2.86578716936434)</f>
        <v>2.86578716936434</v>
      </c>
    </row>
    <row r="63" spans="1:4" ht="15.75" customHeight="1" x14ac:dyDescent="0.15">
      <c r="A63" s="1">
        <f ca="1">IFERROR(__xludf.DUMMYFUNCTION("""COMPUTED_VALUE"""),4)</f>
        <v>4</v>
      </c>
      <c r="B63" s="1">
        <f ca="1">IFERROR(__xludf.DUMMYFUNCTION("""COMPUTED_VALUE"""),1.65284562128087)</f>
        <v>1.65284562128087</v>
      </c>
      <c r="C63" s="1">
        <f ca="1">IFERROR(__xludf.DUMMYFUNCTION("""COMPUTED_VALUE"""),1.88800529172875)</f>
        <v>1.88800529172875</v>
      </c>
      <c r="D63" s="1">
        <f ca="1">IFERROR(__xludf.DUMMYFUNCTION("""COMPUTED_VALUE"""),2.80849118143584)</f>
        <v>2.8084911814358402</v>
      </c>
    </row>
    <row r="64" spans="1:4" ht="15.75" customHeight="1" x14ac:dyDescent="0.15">
      <c r="A64" s="1">
        <f ca="1">IFERROR(__xludf.DUMMYFUNCTION("""COMPUTED_VALUE"""),4)</f>
        <v>4</v>
      </c>
      <c r="B64" s="1">
        <f ca="1">IFERROR(__xludf.DUMMYFUNCTION("""COMPUTED_VALUE"""),1.41959230829958)</f>
        <v>1.4195923082995801</v>
      </c>
      <c r="C64" s="1">
        <f ca="1">IFERROR(__xludf.DUMMYFUNCTION("""COMPUTED_VALUE"""),2.28163323415358)</f>
        <v>2.2816332341535799</v>
      </c>
      <c r="D64" s="1">
        <f ca="1">IFERROR(__xludf.DUMMYFUNCTION("""COMPUTED_VALUE"""),3.17546397455417)</f>
        <v>3.17546397455417</v>
      </c>
    </row>
    <row r="65" spans="1:4" ht="13" x14ac:dyDescent="0.15">
      <c r="A65" s="1">
        <f ca="1">IFERROR(__xludf.DUMMYFUNCTION("""COMPUTED_VALUE"""),4)</f>
        <v>4</v>
      </c>
      <c r="B65" s="1">
        <f ca="1">IFERROR(__xludf.DUMMYFUNCTION("""COMPUTED_VALUE"""),1.84913675399423)</f>
        <v>1.8491367539942301</v>
      </c>
      <c r="C65" s="1">
        <f ca="1">IFERROR(__xludf.DUMMYFUNCTION("""COMPUTED_VALUE"""),2.10112473505122)</f>
        <v>2.1011247350512199</v>
      </c>
      <c r="D65" s="1">
        <f ca="1">IFERROR(__xludf.DUMMYFUNCTION("""COMPUTED_VALUE"""),2.99644337047388)</f>
        <v>2.9964433704738802</v>
      </c>
    </row>
    <row r="66" spans="1:4" ht="13" x14ac:dyDescent="0.15">
      <c r="A66" s="1">
        <f ca="1">IFERROR(__xludf.DUMMYFUNCTION("""COMPUTED_VALUE"""),4)</f>
        <v>4</v>
      </c>
      <c r="B66" s="1">
        <f ca="1">IFERROR(__xludf.DUMMYFUNCTION("""COMPUTED_VALUE"""),1.75194851015776)</f>
        <v>1.7519485101577601</v>
      </c>
      <c r="C66" s="1">
        <f ca="1">IFERROR(__xludf.DUMMYFUNCTION("""COMPUTED_VALUE"""),2.00971003533319)</f>
        <v>2.0097100353331898</v>
      </c>
      <c r="D66" s="1">
        <f ca="1">IFERROR(__xludf.DUMMYFUNCTION("""COMPUTED_VALUE"""),2.89178101797505)</f>
        <v>2.8917810179750498</v>
      </c>
    </row>
    <row r="67" spans="1:4" ht="13" x14ac:dyDescent="0.15">
      <c r="A67" s="1">
        <f ca="1">IFERROR(__xludf.DUMMYFUNCTION("""COMPUTED_VALUE"""),4)</f>
        <v>4</v>
      </c>
      <c r="B67" s="1">
        <f ca="1">IFERROR(__xludf.DUMMYFUNCTION("""COMPUTED_VALUE"""),1.75954698071281)</f>
        <v>1.7595469807128099</v>
      </c>
      <c r="C67" s="1">
        <f ca="1">IFERROR(__xludf.DUMMYFUNCTION("""COMPUTED_VALUE"""),1.99473496556579)</f>
        <v>1.99473496556579</v>
      </c>
      <c r="D67" s="1">
        <f ca="1">IFERROR(__xludf.DUMMYFUNCTION("""COMPUTED_VALUE"""),2.8227772339726)</f>
        <v>2.8227772339725998</v>
      </c>
    </row>
    <row r="68" spans="1:4" ht="13" x14ac:dyDescent="0.15">
      <c r="A68" s="1">
        <f ca="1">IFERROR(__xludf.DUMMYFUNCTION("""COMPUTED_VALUE"""),4)</f>
        <v>4</v>
      </c>
      <c r="B68" s="1">
        <f ca="1">IFERROR(__xludf.DUMMYFUNCTION("""COMPUTED_VALUE"""),1.79246173134695)</f>
        <v>1.79246173134695</v>
      </c>
      <c r="C68" s="1">
        <f ca="1">IFERROR(__xludf.DUMMYFUNCTION("""COMPUTED_VALUE"""),1.9657330689597)</f>
        <v>1.9657330689596999</v>
      </c>
      <c r="D68" s="1">
        <f ca="1">IFERROR(__xludf.DUMMYFUNCTION("""COMPUTED_VALUE"""),2.88004260707107)</f>
        <v>2.8800426070710698</v>
      </c>
    </row>
    <row r="69" spans="1:4" ht="13" x14ac:dyDescent="0.15">
      <c r="A69" s="1">
        <f ca="1">IFERROR(__xludf.DUMMYFUNCTION("""COMPUTED_VALUE"""),5)</f>
        <v>5</v>
      </c>
      <c r="B69" s="1">
        <f ca="1">IFERROR(__xludf.DUMMYFUNCTION("""COMPUTED_VALUE"""),2.57092453105007)</f>
        <v>2.5709245310500699</v>
      </c>
      <c r="C69" s="1">
        <f ca="1">IFERROR(__xludf.DUMMYFUNCTION("""COMPUTED_VALUE"""),2.99594435484369)</f>
        <v>2.9959443548436901</v>
      </c>
      <c r="D69" s="1">
        <f ca="1">IFERROR(__xludf.DUMMYFUNCTION("""COMPUTED_VALUE"""),3.71839098364116)</f>
        <v>3.7183909836411599</v>
      </c>
    </row>
    <row r="70" spans="1:4" ht="13" x14ac:dyDescent="0.15">
      <c r="A70" s="1">
        <f ca="1">IFERROR(__xludf.DUMMYFUNCTION("""COMPUTED_VALUE"""),5)</f>
        <v>5</v>
      </c>
      <c r="B70" s="1">
        <f ca="1">IFERROR(__xludf.DUMMYFUNCTION("""COMPUTED_VALUE"""),2.48496003447183)</f>
        <v>2.4849600344718299</v>
      </c>
      <c r="C70" s="1">
        <f ca="1">IFERROR(__xludf.DUMMYFUNCTION("""COMPUTED_VALUE"""),2.69662369902947)</f>
        <v>2.6966236990294701</v>
      </c>
      <c r="D70" s="1">
        <f ca="1">IFERROR(__xludf.DUMMYFUNCTION("""COMPUTED_VALUE"""),3.68164123738167)</f>
        <v>3.6816412373816698</v>
      </c>
    </row>
    <row r="71" spans="1:4" ht="13" x14ac:dyDescent="0.15">
      <c r="A71" s="1">
        <f ca="1">IFERROR(__xludf.DUMMYFUNCTION("""COMPUTED_VALUE"""),5)</f>
        <v>5</v>
      </c>
      <c r="B71" s="1">
        <f ca="1">IFERROR(__xludf.DUMMYFUNCTION("""COMPUTED_VALUE"""),2.28048959040967)</f>
        <v>2.2804895904096698</v>
      </c>
      <c r="C71" s="1">
        <f ca="1">IFERROR(__xludf.DUMMYFUNCTION("""COMPUTED_VALUE"""),3.36530898873109)</f>
        <v>3.3653089887310901</v>
      </c>
      <c r="D71" s="1">
        <f ca="1">IFERROR(__xludf.DUMMYFUNCTION("""COMPUTED_VALUE"""),4.00065182091676)</f>
        <v>4.0006518209167599</v>
      </c>
    </row>
    <row r="72" spans="1:4" ht="13" x14ac:dyDescent="0.15">
      <c r="A72" s="1">
        <f ca="1">IFERROR(__xludf.DUMMYFUNCTION("""COMPUTED_VALUE"""),5)</f>
        <v>5</v>
      </c>
      <c r="B72" s="1">
        <f ca="1">IFERROR(__xludf.DUMMYFUNCTION("""COMPUTED_VALUE"""),1.99920451300531)</f>
        <v>1.99920451300531</v>
      </c>
      <c r="C72" s="1">
        <f ca="1">IFERROR(__xludf.DUMMYFUNCTION("""COMPUTED_VALUE"""),2.6842338682466)</f>
        <v>2.6842338682465998</v>
      </c>
      <c r="D72" s="1">
        <f ca="1">IFERROR(__xludf.DUMMYFUNCTION("""COMPUTED_VALUE"""),3.6584998225058)</f>
        <v>3.6584998225057999</v>
      </c>
    </row>
    <row r="73" spans="1:4" ht="13" x14ac:dyDescent="0.15">
      <c r="A73" s="1">
        <f ca="1">IFERROR(__xludf.DUMMYFUNCTION("""COMPUTED_VALUE"""),5)</f>
        <v>5</v>
      </c>
      <c r="B73" s="1">
        <f ca="1">IFERROR(__xludf.DUMMYFUNCTION("""COMPUTED_VALUE"""),2.54447980842443)</f>
        <v>2.54447980842443</v>
      </c>
      <c r="C73" s="1">
        <f ca="1">IFERROR(__xludf.DUMMYFUNCTION("""COMPUTED_VALUE"""),2.66681458474529)</f>
        <v>2.66681458474529</v>
      </c>
      <c r="D73" s="1">
        <f ca="1">IFERROR(__xludf.DUMMYFUNCTION("""COMPUTED_VALUE"""),3.64829168962128)</f>
        <v>3.64829168962128</v>
      </c>
    </row>
    <row r="74" spans="1:4" ht="13" x14ac:dyDescent="0.15">
      <c r="A74" s="1">
        <f ca="1">IFERROR(__xludf.DUMMYFUNCTION("""COMPUTED_VALUE"""),5)</f>
        <v>5</v>
      </c>
      <c r="B74" s="1">
        <f ca="1">IFERROR(__xludf.DUMMYFUNCTION("""COMPUTED_VALUE"""),2.74945725741361)</f>
        <v>2.74945725741361</v>
      </c>
      <c r="C74" s="1">
        <f ca="1">IFERROR(__xludf.DUMMYFUNCTION("""COMPUTED_VALUE"""),3.08874934021394)</f>
        <v>3.0887493402139401</v>
      </c>
      <c r="D74" s="1">
        <f ca="1">IFERROR(__xludf.DUMMYFUNCTION("""COMPUTED_VALUE"""),3.94679146192737)</f>
        <v>3.9467914619273698</v>
      </c>
    </row>
    <row r="75" spans="1:4" ht="13" x14ac:dyDescent="0.15">
      <c r="A75" s="1">
        <f ca="1">IFERROR(__xludf.DUMMYFUNCTION("""COMPUTED_VALUE"""),5)</f>
        <v>5</v>
      </c>
      <c r="B75" s="1">
        <f ca="1">IFERROR(__xludf.DUMMYFUNCTION("""COMPUTED_VALUE"""),2.85843191952734)</f>
        <v>2.85843191952734</v>
      </c>
      <c r="C75" s="1">
        <f ca="1">IFERROR(__xludf.DUMMYFUNCTION("""COMPUTED_VALUE"""),3.3018112397745)</f>
        <v>3.3018112397745001</v>
      </c>
      <c r="D75" s="1">
        <f ca="1">IFERROR(__xludf.DUMMYFUNCTION("""COMPUTED_VALUE"""),4.09584799470011)</f>
        <v>4.0958479947001099</v>
      </c>
    </row>
    <row r="76" spans="1:4" ht="13" x14ac:dyDescent="0.15">
      <c r="A76" s="1">
        <f ca="1">IFERROR(__xludf.DUMMYFUNCTION("""COMPUTED_VALUE"""),5)</f>
        <v>5</v>
      </c>
      <c r="B76" s="1">
        <f ca="1">IFERROR(__xludf.DUMMYFUNCTION("""COMPUTED_VALUE"""),2.72795177214957)</f>
        <v>2.7279517721495701</v>
      </c>
      <c r="C76" s="1">
        <f ca="1">IFERROR(__xludf.DUMMYFUNCTION("""COMPUTED_VALUE"""),3.13104285865313)</f>
        <v>3.1310428586531298</v>
      </c>
      <c r="D76" s="1">
        <f ca="1">IFERROR(__xludf.DUMMYFUNCTION("""COMPUTED_VALUE"""),4.00338624761329)</f>
        <v>4.0033862476132898</v>
      </c>
    </row>
    <row r="77" spans="1:4" ht="13" x14ac:dyDescent="0.15">
      <c r="A77" s="1">
        <f ca="1">IFERROR(__xludf.DUMMYFUNCTION("""COMPUTED_VALUE"""),5)</f>
        <v>5</v>
      </c>
      <c r="B77" s="1">
        <f ca="1">IFERROR(__xludf.DUMMYFUNCTION("""COMPUTED_VALUE"""),2.06182930729469)</f>
        <v>2.0618293072946901</v>
      </c>
      <c r="C77" s="1">
        <f ca="1">IFERROR(__xludf.DUMMYFUNCTION("""COMPUTED_VALUE"""),2.99054840238085)</f>
        <v>2.99054840238085</v>
      </c>
      <c r="D77" s="1">
        <f ca="1">IFERROR(__xludf.DUMMYFUNCTION("""COMPUTED_VALUE"""),3.83292812382453)</f>
        <v>3.8329281238245301</v>
      </c>
    </row>
    <row r="78" spans="1:4" ht="13" x14ac:dyDescent="0.15">
      <c r="A78" s="1">
        <f ca="1">IFERROR(__xludf.DUMMYFUNCTION("""COMPUTED_VALUE"""),5)</f>
        <v>5</v>
      </c>
      <c r="B78" s="1">
        <f ca="1">IFERROR(__xludf.DUMMYFUNCTION("""COMPUTED_VALUE"""),2.70413163406052)</f>
        <v>2.7041316340605199</v>
      </c>
      <c r="C78" s="1">
        <f ca="1">IFERROR(__xludf.DUMMYFUNCTION("""COMPUTED_VALUE"""),2.94933486238404)</f>
        <v>2.9493348623840401</v>
      </c>
      <c r="D78" s="1">
        <f ca="1">IFERROR(__xludf.DUMMYFUNCTION("""COMPUTED_VALUE"""),3.80878753303635)</f>
        <v>3.8087875330363499</v>
      </c>
    </row>
    <row r="79" spans="1:4" ht="13" x14ac:dyDescent="0.15">
      <c r="A79" s="1">
        <f ca="1">IFERROR(__xludf.DUMMYFUNCTION("""COMPUTED_VALUE"""),5)</f>
        <v>5</v>
      </c>
      <c r="B79" s="1">
        <f ca="1">IFERROR(__xludf.DUMMYFUNCTION("""COMPUTED_VALUE"""),2.38254832275873)</f>
        <v>2.3825483227587299</v>
      </c>
      <c r="C79" s="1">
        <f ca="1">IFERROR(__xludf.DUMMYFUNCTION("""COMPUTED_VALUE"""),2.7409119219793)</f>
        <v>2.7409119219793001</v>
      </c>
      <c r="D79" s="1">
        <f ca="1">IFERROR(__xludf.DUMMYFUNCTION("""COMPUTED_VALUE"""),3.62739453547007)</f>
        <v>3.6273945354700698</v>
      </c>
    </row>
    <row r="80" spans="1:4" ht="13" x14ac:dyDescent="0.15">
      <c r="A80" s="1">
        <f ca="1">IFERROR(__xludf.DUMMYFUNCTION("""COMPUTED_VALUE"""),5)</f>
        <v>5</v>
      </c>
      <c r="B80" s="1">
        <f ca="1">IFERROR(__xludf.DUMMYFUNCTION("""COMPUTED_VALUE"""),2.26354849084384)</f>
        <v>2.2635484908438399</v>
      </c>
      <c r="C80" s="1">
        <f ca="1">IFERROR(__xludf.DUMMYFUNCTION("""COMPUTED_VALUE"""),3.13951198392529)</f>
        <v>3.1395119839252899</v>
      </c>
      <c r="D80" s="1">
        <f ca="1">IFERROR(__xludf.DUMMYFUNCTION("""COMPUTED_VALUE"""),4.02025750370504)</f>
        <v>4.0202575037050403</v>
      </c>
    </row>
    <row r="81" spans="1:4" ht="13" x14ac:dyDescent="0.15">
      <c r="A81" s="1">
        <f ca="1">IFERROR(__xludf.DUMMYFUNCTION("""COMPUTED_VALUE"""),5)</f>
        <v>5</v>
      </c>
      <c r="B81" s="1">
        <f ca="1">IFERROR(__xludf.DUMMYFUNCTION("""COMPUTED_VALUE"""),2.72238297918243)</f>
        <v>2.7223829791824299</v>
      </c>
      <c r="C81" s="1">
        <f ca="1">IFERROR(__xludf.DUMMYFUNCTION("""COMPUTED_VALUE"""),2.94770519361745)</f>
        <v>2.9477051936174501</v>
      </c>
      <c r="D81" s="1">
        <f ca="1">IFERROR(__xludf.DUMMYFUNCTION("""COMPUTED_VALUE"""),3.77908889260977)</f>
        <v>3.7790888926097699</v>
      </c>
    </row>
    <row r="82" spans="1:4" ht="13" x14ac:dyDescent="0.15">
      <c r="A82" s="1">
        <f ca="1">IFERROR(__xludf.DUMMYFUNCTION("""COMPUTED_VALUE"""),5)</f>
        <v>5</v>
      </c>
      <c r="B82" s="1">
        <f ca="1">IFERROR(__xludf.DUMMYFUNCTION("""COMPUTED_VALUE"""),2.65082894631464)</f>
        <v>2.6508289463146402</v>
      </c>
      <c r="C82" s="1">
        <f ca="1">IFERROR(__xludf.DUMMYFUNCTION("""COMPUTED_VALUE"""),2.78994998744381)</f>
        <v>2.7899499874438098</v>
      </c>
      <c r="D82" s="1">
        <f ca="1">IFERROR(__xludf.DUMMYFUNCTION("""COMPUTED_VALUE"""),3.72118880778048)</f>
        <v>3.72118880778048</v>
      </c>
    </row>
    <row r="83" spans="1:4" ht="13" x14ac:dyDescent="0.15">
      <c r="A83" s="1">
        <f ca="1">IFERROR(__xludf.DUMMYFUNCTION("""COMPUTED_VALUE"""),6)</f>
        <v>6</v>
      </c>
      <c r="B83" s="1">
        <f ca="1">IFERROR(__xludf.DUMMYFUNCTION("""COMPUTED_VALUE"""),3.31125614990062)</f>
        <v>3.3112561499006201</v>
      </c>
      <c r="C83" s="1">
        <f ca="1">IFERROR(__xludf.DUMMYFUNCTION("""COMPUTED_VALUE"""),3.73818092928774)</f>
        <v>3.7381809292877399</v>
      </c>
      <c r="D83" s="1">
        <f ca="1">IFERROR(__xludf.DUMMYFUNCTION("""COMPUTED_VALUE"""),4.44351568114328)</f>
        <v>4.4435156811432801</v>
      </c>
    </row>
    <row r="84" spans="1:4" ht="13" x14ac:dyDescent="0.15">
      <c r="A84" s="1">
        <f ca="1">IFERROR(__xludf.DUMMYFUNCTION("""COMPUTED_VALUE"""),6)</f>
        <v>6</v>
      </c>
      <c r="B84" s="1">
        <f ca="1">IFERROR(__xludf.DUMMYFUNCTION("""COMPUTED_VALUE"""),3.27603994306503)</f>
        <v>3.27603994306503</v>
      </c>
      <c r="C84" s="1">
        <f ca="1">IFERROR(__xludf.DUMMYFUNCTION("""COMPUTED_VALUE"""),3.51007051223848)</f>
        <v>3.5100705122384799</v>
      </c>
      <c r="D84" s="1">
        <f ca="1">IFERROR(__xludf.DUMMYFUNCTION("""COMPUTED_VALUE"""),4.48058243310023)</f>
        <v>4.4805824331002304</v>
      </c>
    </row>
    <row r="85" spans="1:4" ht="13" x14ac:dyDescent="0.15">
      <c r="A85" s="1">
        <f ca="1">IFERROR(__xludf.DUMMYFUNCTION("""COMPUTED_VALUE"""),6)</f>
        <v>6</v>
      </c>
      <c r="B85" s="1">
        <f ca="1">IFERROR(__xludf.DUMMYFUNCTION("""COMPUTED_VALUE"""),2.82916928156912)</f>
        <v>2.8291692815691198</v>
      </c>
      <c r="C85" s="1">
        <f ca="1">IFERROR(__xludf.DUMMYFUNCTION("""COMPUTED_VALUE"""),4.01236848193261)</f>
        <v>4.0123684819326098</v>
      </c>
      <c r="D85" s="1">
        <f ca="1">IFERROR(__xludf.DUMMYFUNCTION("""COMPUTED_VALUE"""),4.66895894699143)</f>
        <v>4.6689589469914301</v>
      </c>
    </row>
    <row r="86" spans="1:4" ht="13" x14ac:dyDescent="0.15">
      <c r="A86" s="1">
        <f ca="1">IFERROR(__xludf.DUMMYFUNCTION("""COMPUTED_VALUE"""),6)</f>
        <v>6</v>
      </c>
      <c r="B86" s="1">
        <f ca="1">IFERROR(__xludf.DUMMYFUNCTION("""COMPUTED_VALUE"""),2.69564713218074)</f>
        <v>2.6956471321807398</v>
      </c>
      <c r="C86" s="1">
        <f ca="1">IFERROR(__xludf.DUMMYFUNCTION("""COMPUTED_VALUE"""),3.47524016600163)</f>
        <v>3.4752401660016301</v>
      </c>
      <c r="D86" s="1">
        <f ca="1">IFERROR(__xludf.DUMMYFUNCTION("""COMPUTED_VALUE"""),4.37161694374283)</f>
        <v>4.3716169437428301</v>
      </c>
    </row>
    <row r="87" spans="1:4" ht="13" x14ac:dyDescent="0.15">
      <c r="A87" s="1">
        <f ca="1">IFERROR(__xludf.DUMMYFUNCTION("""COMPUTED_VALUE"""),6)</f>
        <v>6</v>
      </c>
      <c r="B87" s="1">
        <f ca="1">IFERROR(__xludf.DUMMYFUNCTION("""COMPUTED_VALUE"""),3.25794866522361)</f>
        <v>3.2579486652236098</v>
      </c>
      <c r="C87" s="1">
        <f ca="1">IFERROR(__xludf.DUMMYFUNCTION("""COMPUTED_VALUE"""),3.49349053472872)</f>
        <v>3.49349053472872</v>
      </c>
      <c r="D87" s="1">
        <f ca="1">IFERROR(__xludf.DUMMYFUNCTION("""COMPUTED_VALUE"""),4.42026001130845)</f>
        <v>4.42026001130845</v>
      </c>
    </row>
    <row r="88" spans="1:4" ht="13" x14ac:dyDescent="0.15">
      <c r="A88" s="1">
        <f ca="1">IFERROR(__xludf.DUMMYFUNCTION("""COMPUTED_VALUE"""),6)</f>
        <v>6</v>
      </c>
      <c r="B88" s="1">
        <f ca="1">IFERROR(__xludf.DUMMYFUNCTION("""COMPUTED_VALUE"""),3.15830156595703)</f>
        <v>3.1583015659570299</v>
      </c>
      <c r="C88" s="1">
        <f ca="1">IFERROR(__xludf.DUMMYFUNCTION("""COMPUTED_VALUE"""),3.73450516121499)</f>
        <v>3.7345051612149902</v>
      </c>
      <c r="D88" s="1">
        <f ca="1">IFERROR(__xludf.DUMMYFUNCTION("""COMPUTED_VALUE"""),4.56504569885966)</f>
        <v>4.5650456988596604</v>
      </c>
    </row>
    <row r="89" spans="1:4" ht="13" x14ac:dyDescent="0.15">
      <c r="A89" s="1">
        <f ca="1">IFERROR(__xludf.DUMMYFUNCTION("""COMPUTED_VALUE"""),3)</f>
        <v>3</v>
      </c>
      <c r="B89" s="1">
        <f ca="1">IFERROR(__xludf.DUMMYFUNCTION("""COMPUTED_VALUE"""),1.37156655248373)</f>
        <v>1.3715665524837299</v>
      </c>
      <c r="C89" s="1">
        <f ca="1">IFERROR(__xludf.DUMMYFUNCTION("""COMPUTED_VALUE"""),1.55158416936041)</f>
        <v>1.55158416936041</v>
      </c>
      <c r="D89" s="1">
        <f ca="1">IFERROR(__xludf.DUMMYFUNCTION("""COMPUTED_VALUE"""),2.27270237462767)</f>
        <v>2.27270237462767</v>
      </c>
    </row>
    <row r="90" spans="1:4" ht="13" x14ac:dyDescent="0.15">
      <c r="A90" s="1">
        <f ca="1">IFERROR(__xludf.DUMMYFUNCTION("""COMPUTED_VALUE"""),3)</f>
        <v>3</v>
      </c>
      <c r="B90" s="1">
        <f ca="1">IFERROR(__xludf.DUMMYFUNCTION("""COMPUTED_VALUE"""),1.28334646535604)</f>
        <v>1.28334646535604</v>
      </c>
      <c r="C90" s="1">
        <f ca="1">IFERROR(__xludf.DUMMYFUNCTION("""COMPUTED_VALUE"""),1.34713478291001)</f>
        <v>1.34713478291001</v>
      </c>
      <c r="D90" s="1">
        <f ca="1">IFERROR(__xludf.DUMMYFUNCTION("""COMPUTED_VALUE"""),2.02592818108121)</f>
        <v>2.02592818108121</v>
      </c>
    </row>
    <row r="91" spans="1:4" ht="13" x14ac:dyDescent="0.15">
      <c r="A91" s="1">
        <f ca="1">IFERROR(__xludf.DUMMYFUNCTION("""COMPUTED_VALUE"""),3)</f>
        <v>3</v>
      </c>
      <c r="B91" s="1">
        <f ca="1">IFERROR(__xludf.DUMMYFUNCTION("""COMPUTED_VALUE"""),1.16586726835294)</f>
        <v>1.1658672683529401</v>
      </c>
      <c r="C91" s="1">
        <f ca="1">IFERROR(__xludf.DUMMYFUNCTION("""COMPUTED_VALUE"""),1.34401873774591)</f>
        <v>1.3440187377459101</v>
      </c>
      <c r="D91" s="1">
        <f ca="1">IFERROR(__xludf.DUMMYFUNCTION("""COMPUTED_VALUE"""),2.10546590150635)</f>
        <v>2.1054659015063502</v>
      </c>
    </row>
    <row r="92" spans="1:4" ht="13" x14ac:dyDescent="0.15">
      <c r="A92" s="1">
        <f ca="1">IFERROR(__xludf.DUMMYFUNCTION("""COMPUTED_VALUE"""),4)</f>
        <v>4</v>
      </c>
      <c r="B92" s="1">
        <f ca="1">IFERROR(__xludf.DUMMYFUNCTION("""COMPUTED_VALUE"""),2.38963734830501)</f>
        <v>2.3896373483050102</v>
      </c>
      <c r="C92" s="1">
        <f ca="1">IFERROR(__xludf.DUMMYFUNCTION("""COMPUTED_VALUE"""),2.50278478761408)</f>
        <v>2.5027847876140799</v>
      </c>
      <c r="D92" s="1">
        <f ca="1">IFERROR(__xludf.DUMMYFUNCTION("""COMPUTED_VALUE"""),3.32305688167993)</f>
        <v>3.3230568816799302</v>
      </c>
    </row>
    <row r="93" spans="1:4" ht="13" x14ac:dyDescent="0.15">
      <c r="A93" s="1">
        <f ca="1">IFERROR(__xludf.DUMMYFUNCTION("""COMPUTED_VALUE"""),4)</f>
        <v>4</v>
      </c>
      <c r="B93" s="1">
        <f ca="1">IFERROR(__xludf.DUMMYFUNCTION("""COMPUTED_VALUE"""),2.08326605841903)</f>
        <v>2.0832660584190301</v>
      </c>
      <c r="C93" s="1">
        <f ca="1">IFERROR(__xludf.DUMMYFUNCTION("""COMPUTED_VALUE"""),2.25667445865596)</f>
        <v>2.2566744586559602</v>
      </c>
      <c r="D93" s="1">
        <f ca="1">IFERROR(__xludf.DUMMYFUNCTION("""COMPUTED_VALUE"""),3.07787821936084)</f>
        <v>3.0778782193608398</v>
      </c>
    </row>
    <row r="94" spans="1:4" ht="13" x14ac:dyDescent="0.15">
      <c r="A94" s="1">
        <f ca="1">IFERROR(__xludf.DUMMYFUNCTION("""COMPUTED_VALUE"""),4)</f>
        <v>4</v>
      </c>
      <c r="B94" s="1">
        <f ca="1">IFERROR(__xludf.DUMMYFUNCTION("""COMPUTED_VALUE"""),2.50300170191542)</f>
        <v>2.5030017019154198</v>
      </c>
      <c r="C94" s="1">
        <f ca="1">IFERROR(__xludf.DUMMYFUNCTION("""COMPUTED_VALUE"""),2.72981250716093)</f>
        <v>2.72981250716093</v>
      </c>
      <c r="D94" s="1">
        <f ca="1">IFERROR(__xludf.DUMMYFUNCTION("""COMPUTED_VALUE"""),3.39355239124314)</f>
        <v>3.3935523912431398</v>
      </c>
    </row>
    <row r="95" spans="1:4" ht="13" x14ac:dyDescent="0.15">
      <c r="A95" s="1">
        <f ca="1">IFERROR(__xludf.DUMMYFUNCTION("""COMPUTED_VALUE"""),4)</f>
        <v>4</v>
      </c>
      <c r="B95" s="1">
        <f ca="1">IFERROR(__xludf.DUMMYFUNCTION("""COMPUTED_VALUE"""),2.26183599713968)</f>
        <v>2.2618359971396802</v>
      </c>
      <c r="C95" s="1">
        <f ca="1">IFERROR(__xludf.DUMMYFUNCTION("""COMPUTED_VALUE"""),2.34957666983437)</f>
        <v>2.3495766698343701</v>
      </c>
      <c r="D95" s="1">
        <f ca="1">IFERROR(__xludf.DUMMYFUNCTION("""COMPUTED_VALUE"""),3.06475814769657)</f>
        <v>3.06475814769657</v>
      </c>
    </row>
    <row r="96" spans="1:4" ht="13" x14ac:dyDescent="0.15">
      <c r="A96" s="1">
        <f ca="1">IFERROR(__xludf.DUMMYFUNCTION("""COMPUTED_VALUE"""),4)</f>
        <v>4</v>
      </c>
      <c r="B96" s="1">
        <f ca="1">IFERROR(__xludf.DUMMYFUNCTION("""COMPUTED_VALUE"""),1.89210017053276)</f>
        <v>1.89210017053276</v>
      </c>
      <c r="C96" s="1">
        <f ca="1">IFERROR(__xludf.DUMMYFUNCTION("""COMPUTED_VALUE"""),2.45254387171405)</f>
        <v>2.4525438717140502</v>
      </c>
      <c r="D96" s="1">
        <f ca="1">IFERROR(__xludf.DUMMYFUNCTION("""COMPUTED_VALUE"""),3.26650686656337)</f>
        <v>3.2665068665633701</v>
      </c>
    </row>
    <row r="97" spans="1:4" ht="13" x14ac:dyDescent="0.15">
      <c r="A97" s="1">
        <f ca="1">IFERROR(__xludf.DUMMYFUNCTION("""COMPUTED_VALUE"""),4)</f>
        <v>4</v>
      </c>
      <c r="B97" s="1">
        <f ca="1">IFERROR(__xludf.DUMMYFUNCTION("""COMPUTED_VALUE"""),2.16879496467356)</f>
        <v>2.1687949646735598</v>
      </c>
      <c r="C97" s="1">
        <f ca="1">IFERROR(__xludf.DUMMYFUNCTION("""COMPUTED_VALUE"""),2.35123375545957)</f>
        <v>2.3512337554595701</v>
      </c>
      <c r="D97" s="1">
        <f ca="1">IFERROR(__xludf.DUMMYFUNCTION("""COMPUTED_VALUE"""),3.11565044496308)</f>
        <v>3.1156504449630802</v>
      </c>
    </row>
    <row r="98" spans="1:4" ht="13" x14ac:dyDescent="0.15">
      <c r="A98" s="1">
        <f ca="1">IFERROR(__xludf.DUMMYFUNCTION("""COMPUTED_VALUE"""),5)</f>
        <v>5</v>
      </c>
      <c r="B98" s="1">
        <f ca="1">IFERROR(__xludf.DUMMYFUNCTION("""COMPUTED_VALUE"""),3.15970221256333)</f>
        <v>3.1597022125633298</v>
      </c>
      <c r="C98" s="1">
        <f ca="1">IFERROR(__xludf.DUMMYFUNCTION("""COMPUTED_VALUE"""),3.29331812842351)</f>
        <v>3.2933181284235098</v>
      </c>
      <c r="D98" s="1">
        <f ca="1">IFERROR(__xludf.DUMMYFUNCTION("""COMPUTED_VALUE"""),4.12335884541888)</f>
        <v>4.1233588454188803</v>
      </c>
    </row>
    <row r="99" spans="1:4" ht="13" x14ac:dyDescent="0.15">
      <c r="A99" s="1">
        <f ca="1">IFERROR(__xludf.DUMMYFUNCTION("""COMPUTED_VALUE"""),5)</f>
        <v>5</v>
      </c>
      <c r="B99" s="1">
        <f ca="1">IFERROR(__xludf.DUMMYFUNCTION("""COMPUTED_VALUE"""),3.01163978985705)</f>
        <v>3.0116397898570502</v>
      </c>
      <c r="C99" s="1">
        <f ca="1">IFERROR(__xludf.DUMMYFUNCTION("""COMPUTED_VALUE"""),3.1859363255116)</f>
        <v>3.1859363255116002</v>
      </c>
      <c r="D99" s="1">
        <f ca="1">IFERROR(__xludf.DUMMYFUNCTION("""COMPUTED_VALUE"""),4.03226590435465)</f>
        <v>4.0322659043546496</v>
      </c>
    </row>
    <row r="100" spans="1:4" ht="13" x14ac:dyDescent="0.15">
      <c r="A100" s="1">
        <f ca="1">IFERROR(__xludf.DUMMYFUNCTION("""COMPUTED_VALUE"""),5)</f>
        <v>5</v>
      </c>
      <c r="B100" s="1">
        <f ca="1">IFERROR(__xludf.DUMMYFUNCTION("""COMPUTED_VALUE"""),3.15620315280338)</f>
        <v>3.1562031528033798</v>
      </c>
      <c r="C100" s="1">
        <f ca="1">IFERROR(__xludf.DUMMYFUNCTION("""COMPUTED_VALUE"""),3.39502708989592)</f>
        <v>3.3950270898959198</v>
      </c>
      <c r="D100" s="1">
        <f ca="1">IFERROR(__xludf.DUMMYFUNCTION("""COMPUTED_VALUE"""),4.20414126256418)</f>
        <v>4.2041412625641801</v>
      </c>
    </row>
    <row r="101" spans="1:4" ht="13" x14ac:dyDescent="0.15">
      <c r="A101" s="1">
        <f ca="1">IFERROR(__xludf.DUMMYFUNCTION("""COMPUTED_VALUE"""),5)</f>
        <v>5</v>
      </c>
      <c r="B101" s="1">
        <f ca="1">IFERROR(__xludf.DUMMYFUNCTION("""COMPUTED_VALUE"""),2.9882373529012)</f>
        <v>2.9882373529012001</v>
      </c>
      <c r="C101" s="1">
        <f ca="1">IFERROR(__xludf.DUMMYFUNCTION("""COMPUTED_VALUE"""),3.18686681300731)</f>
        <v>3.1868668130073101</v>
      </c>
      <c r="D101" s="1">
        <f ca="1">IFERROR(__xludf.DUMMYFUNCTION("""COMPUTED_VALUE"""),3.91699135144852)</f>
        <v>3.91699135144852</v>
      </c>
    </row>
    <row r="102" spans="1:4" ht="13" x14ac:dyDescent="0.15">
      <c r="A102" s="1">
        <f ca="1">IFERROR(__xludf.DUMMYFUNCTION("""COMPUTED_VALUE"""),5)</f>
        <v>5</v>
      </c>
      <c r="B102" s="1">
        <f ca="1">IFERROR(__xludf.DUMMYFUNCTION("""COMPUTED_VALUE"""),2.48581934459008)</f>
        <v>2.4858193445900798</v>
      </c>
      <c r="C102" s="1">
        <f ca="1">IFERROR(__xludf.DUMMYFUNCTION("""COMPUTED_VALUE"""),3.1740112268576)</f>
        <v>3.1740112268576</v>
      </c>
      <c r="D102" s="1">
        <f ca="1">IFERROR(__xludf.DUMMYFUNCTION("""COMPUTED_VALUE"""),4.01296943249196)</f>
        <v>4.0129694324919596</v>
      </c>
    </row>
    <row r="103" spans="1:4" ht="13" x14ac:dyDescent="0.15">
      <c r="A103" s="1">
        <f ca="1">IFERROR(__xludf.DUMMYFUNCTION("""COMPUTED_VALUE"""),5)</f>
        <v>5</v>
      </c>
      <c r="B103" s="1">
        <f ca="1">IFERROR(__xludf.DUMMYFUNCTION("""COMPUTED_VALUE"""),2.92255523516359)</f>
        <v>2.9225552351635899</v>
      </c>
      <c r="C103" s="1">
        <f ca="1">IFERROR(__xludf.DUMMYFUNCTION("""COMPUTED_VALUE"""),3.17446860257021)</f>
        <v>3.1744686025702098</v>
      </c>
      <c r="D103" s="1">
        <f ca="1">IFERROR(__xludf.DUMMYFUNCTION("""COMPUTED_VALUE"""),4.07474650190425)</f>
        <v>4.0747465019042499</v>
      </c>
    </row>
    <row r="104" spans="1:4" ht="13" x14ac:dyDescent="0.15">
      <c r="A104" s="1">
        <f ca="1">IFERROR(__xludf.DUMMYFUNCTION("""COMPUTED_VALUE"""),5)</f>
        <v>5</v>
      </c>
      <c r="B104" s="1">
        <f ca="1">IFERROR(__xludf.DUMMYFUNCTION("""COMPUTED_VALUE"""),2.98681426617918)</f>
        <v>2.9868142661791799</v>
      </c>
      <c r="C104" s="1">
        <f ca="1">IFERROR(__xludf.DUMMYFUNCTION("""COMPUTED_VALUE"""),3.18049805001909)</f>
        <v>3.1804980500190898</v>
      </c>
      <c r="D104" s="1">
        <f ca="1">IFERROR(__xludf.DUMMYFUNCTION("""COMPUTED_VALUE"""),3.99632596280715)</f>
        <v>3.9963259628071501</v>
      </c>
    </row>
    <row r="105" spans="1:4" ht="13" x14ac:dyDescent="0.15">
      <c r="A105" s="1">
        <f ca="1">IFERROR(__xludf.DUMMYFUNCTION("""COMPUTED_VALUE"""),5)</f>
        <v>5</v>
      </c>
      <c r="B105" s="1">
        <f ca="1">IFERROR(__xludf.DUMMYFUNCTION("""COMPUTED_VALUE"""),2.60178521316039)</f>
        <v>2.6017852131603898</v>
      </c>
      <c r="C105" s="1">
        <f ca="1">IFERROR(__xludf.DUMMYFUNCTION("""COMPUTED_VALUE"""),3.14713597936636)</f>
        <v>3.14713597936636</v>
      </c>
      <c r="D105" s="1">
        <f ca="1">IFERROR(__xludf.DUMMYFUNCTION("""COMPUTED_VALUE"""),3.93398714737008)</f>
        <v>3.9339871473700798</v>
      </c>
    </row>
    <row r="106" spans="1:4" ht="13" x14ac:dyDescent="0.15">
      <c r="A106" s="1">
        <f ca="1">IFERROR(__xludf.DUMMYFUNCTION("""COMPUTED_VALUE"""),6)</f>
        <v>6</v>
      </c>
      <c r="B106" s="1">
        <f ca="1">IFERROR(__xludf.DUMMYFUNCTION("""COMPUTED_VALUE"""),3.73724927228558)</f>
        <v>3.7372492722855801</v>
      </c>
      <c r="C106" s="1">
        <f ca="1">IFERROR(__xludf.DUMMYFUNCTION("""COMPUTED_VALUE"""),3.94223759763755)</f>
        <v>3.9422375976375501</v>
      </c>
      <c r="D106" s="1">
        <f ca="1">IFERROR(__xludf.DUMMYFUNCTION("""COMPUTED_VALUE"""),4.77304804340796)</f>
        <v>4.7730480434079601</v>
      </c>
    </row>
    <row r="107" spans="1:4" ht="13" x14ac:dyDescent="0.15">
      <c r="A107" s="1">
        <f ca="1">IFERROR(__xludf.DUMMYFUNCTION("""COMPUTED_VALUE"""),3)</f>
        <v>3</v>
      </c>
      <c r="B107" s="1">
        <f ca="1">IFERROR(__xludf.DUMMYFUNCTION("""COMPUTED_VALUE"""),1.06572905946234)</f>
        <v>1.0657290594623401</v>
      </c>
      <c r="C107" s="1">
        <f ca="1">IFERROR(__xludf.DUMMYFUNCTION("""COMPUTED_VALUE"""),1.32097667734282)</f>
        <v>1.32097667734282</v>
      </c>
      <c r="D107" s="1">
        <f ca="1">IFERROR(__xludf.DUMMYFUNCTION("""COMPUTED_VALUE"""),2.03628148052313)</f>
        <v>2.03628148052313</v>
      </c>
    </row>
    <row r="108" spans="1:4" ht="13" x14ac:dyDescent="0.15">
      <c r="A108" s="1">
        <f ca="1">IFERROR(__xludf.DUMMYFUNCTION("""COMPUTED_VALUE"""),3)</f>
        <v>3</v>
      </c>
      <c r="B108" s="1">
        <f ca="1">IFERROR(__xludf.DUMMYFUNCTION("""COMPUTED_VALUE"""),0.773054693364262)</f>
        <v>0.77305469336426202</v>
      </c>
      <c r="C108" s="1">
        <f ca="1">IFERROR(__xludf.DUMMYFUNCTION("""COMPUTED_VALUE"""),0.908002201172553)</f>
        <v>0.90800220117255304</v>
      </c>
      <c r="D108" s="1">
        <f ca="1">IFERROR(__xludf.DUMMYFUNCTION("""COMPUTED_VALUE"""),1.69442969095708)</f>
        <v>1.69442969095708</v>
      </c>
    </row>
    <row r="109" spans="1:4" ht="13" x14ac:dyDescent="0.15">
      <c r="A109" s="1">
        <f ca="1">IFERROR(__xludf.DUMMYFUNCTION("""COMPUTED_VALUE"""),3)</f>
        <v>3</v>
      </c>
      <c r="B109" s="1">
        <f ca="1">IFERROR(__xludf.DUMMYFUNCTION("""COMPUTED_VALUE"""),1.16369794589256)</f>
        <v>1.16369794589256</v>
      </c>
      <c r="C109" s="1">
        <f ca="1">IFERROR(__xludf.DUMMYFUNCTION("""COMPUTED_VALUE"""),1.4886494085772)</f>
        <v>1.4886494085772</v>
      </c>
      <c r="D109" s="1">
        <f ca="1">IFERROR(__xludf.DUMMYFUNCTION("""COMPUTED_VALUE"""),2.17379793037046)</f>
        <v>2.1737979303704602</v>
      </c>
    </row>
    <row r="110" spans="1:4" ht="13" x14ac:dyDescent="0.15">
      <c r="A110" s="1">
        <f ca="1">IFERROR(__xludf.DUMMYFUNCTION("""COMPUTED_VALUE"""),3)</f>
        <v>3</v>
      </c>
      <c r="B110" s="1">
        <f ca="1">IFERROR(__xludf.DUMMYFUNCTION("""COMPUTED_VALUE"""),0.721150843749684)</f>
        <v>0.72115084374968397</v>
      </c>
      <c r="C110" s="1">
        <f ca="1">IFERROR(__xludf.DUMMYFUNCTION("""COMPUTED_VALUE"""),0.913177833990468)</f>
        <v>0.91317783399046804</v>
      </c>
      <c r="D110" s="1">
        <f ca="1">IFERROR(__xludf.DUMMYFUNCTION("""COMPUTED_VALUE"""),1.69703744336914)</f>
        <v>1.69703744336914</v>
      </c>
    </row>
    <row r="111" spans="1:4" ht="13" x14ac:dyDescent="0.15">
      <c r="A111" s="1">
        <f ca="1">IFERROR(__xludf.DUMMYFUNCTION("""COMPUTED_VALUE"""),3)</f>
        <v>3</v>
      </c>
      <c r="B111" s="1">
        <f ca="1">IFERROR(__xludf.DUMMYFUNCTION("""COMPUTED_VALUE"""),0.703721159927019)</f>
        <v>0.703721159927019</v>
      </c>
      <c r="C111" s="1">
        <f ca="1">IFERROR(__xludf.DUMMYFUNCTION("""COMPUTED_VALUE"""),0.828402078491593)</f>
        <v>0.82840207849159297</v>
      </c>
      <c r="D111" s="1">
        <f ca="1">IFERROR(__xludf.DUMMYFUNCTION("""COMPUTED_VALUE"""),1.56114910569535)</f>
        <v>1.5611491056953499</v>
      </c>
    </row>
    <row r="112" spans="1:4" ht="13" x14ac:dyDescent="0.15">
      <c r="A112" s="1">
        <f ca="1">IFERROR(__xludf.DUMMYFUNCTION("""COMPUTED_VALUE"""),3)</f>
        <v>3</v>
      </c>
      <c r="B112" s="1">
        <f ca="1">IFERROR(__xludf.DUMMYFUNCTION("""COMPUTED_VALUE"""),0.747955306906729)</f>
        <v>0.74795530690672896</v>
      </c>
      <c r="C112" s="1">
        <f ca="1">IFERROR(__xludf.DUMMYFUNCTION("""COMPUTED_VALUE"""),0.795741020869243)</f>
        <v>0.79574102086924303</v>
      </c>
      <c r="D112" s="1">
        <f ca="1">IFERROR(__xludf.DUMMYFUNCTION("""COMPUTED_VALUE"""),1.60388020836629)</f>
        <v>1.60388020836629</v>
      </c>
    </row>
    <row r="113" spans="1:4" ht="13" x14ac:dyDescent="0.15">
      <c r="A113" s="1">
        <f ca="1">IFERROR(__xludf.DUMMYFUNCTION("""COMPUTED_VALUE"""),3)</f>
        <v>3</v>
      </c>
      <c r="B113" s="1">
        <f ca="1">IFERROR(__xludf.DUMMYFUNCTION("""COMPUTED_VALUE"""),0.787602146182337)</f>
        <v>0.78760214618233704</v>
      </c>
      <c r="C113" s="1">
        <f ca="1">IFERROR(__xludf.DUMMYFUNCTION("""COMPUTED_VALUE"""),1.05149981913274)</f>
        <v>1.05149981913274</v>
      </c>
      <c r="D113" s="1">
        <f ca="1">IFERROR(__xludf.DUMMYFUNCTION("""COMPUTED_VALUE"""),1.7978143935886)</f>
        <v>1.7978143935886</v>
      </c>
    </row>
    <row r="114" spans="1:4" ht="13" x14ac:dyDescent="0.15">
      <c r="A114" s="1">
        <f ca="1">IFERROR(__xludf.DUMMYFUNCTION("""COMPUTED_VALUE"""),3)</f>
        <v>3</v>
      </c>
      <c r="B114" s="1">
        <f ca="1">IFERROR(__xludf.DUMMYFUNCTION("""COMPUTED_VALUE"""),0.759365621655928)</f>
        <v>0.75936562165592802</v>
      </c>
      <c r="C114" s="1">
        <f ca="1">IFERROR(__xludf.DUMMYFUNCTION("""COMPUTED_VALUE"""),1.01292154554456)</f>
        <v>1.0129215455445599</v>
      </c>
      <c r="D114" s="1">
        <f ca="1">IFERROR(__xludf.DUMMYFUNCTION("""COMPUTED_VALUE"""),1.7917608040129)</f>
        <v>1.7917608040129001</v>
      </c>
    </row>
    <row r="115" spans="1:4" ht="13" x14ac:dyDescent="0.15">
      <c r="A115" s="1">
        <f ca="1">IFERROR(__xludf.DUMMYFUNCTION("""COMPUTED_VALUE"""),3)</f>
        <v>3</v>
      </c>
      <c r="B115" s="1">
        <f ca="1">IFERROR(__xludf.DUMMYFUNCTION("""COMPUTED_VALUE"""),0.863857961883973)</f>
        <v>0.86385796188397301</v>
      </c>
      <c r="C115" s="1">
        <f ca="1">IFERROR(__xludf.DUMMYFUNCTION("""COMPUTED_VALUE"""),1.3041241527329)</f>
        <v>1.3041241527328999</v>
      </c>
      <c r="D115" s="1">
        <f ca="1">IFERROR(__xludf.DUMMYFUNCTION("""COMPUTED_VALUE"""),2.0441593902174)</f>
        <v>2.0441593902173998</v>
      </c>
    </row>
    <row r="116" spans="1:4" ht="13" x14ac:dyDescent="0.15">
      <c r="A116" s="1">
        <f ca="1">IFERROR(__xludf.DUMMYFUNCTION("""COMPUTED_VALUE"""),3)</f>
        <v>3</v>
      </c>
      <c r="B116" s="1">
        <f ca="1">IFERROR(__xludf.DUMMYFUNCTION("""COMPUTED_VALUE"""),0.966423345943693)</f>
        <v>0.96642334594369295</v>
      </c>
      <c r="C116" s="1">
        <f ca="1">IFERROR(__xludf.DUMMYFUNCTION("""COMPUTED_VALUE"""),1.08004896757885)</f>
        <v>1.08004896757885</v>
      </c>
      <c r="D116" s="1">
        <f ca="1">IFERROR(__xludf.DUMMYFUNCTION("""COMPUTED_VALUE"""),1.83142181706502)</f>
        <v>1.8314218170650201</v>
      </c>
    </row>
    <row r="117" spans="1:4" ht="13" x14ac:dyDescent="0.15">
      <c r="A117" s="1">
        <f ca="1">IFERROR(__xludf.DUMMYFUNCTION("""COMPUTED_VALUE"""),3)</f>
        <v>3</v>
      </c>
      <c r="B117" s="1">
        <f ca="1">IFERROR(__xludf.DUMMYFUNCTION("""COMPUTED_VALUE"""),0.86135516019326)</f>
        <v>0.86135516019325997</v>
      </c>
      <c r="C117" s="1">
        <f ca="1">IFERROR(__xludf.DUMMYFUNCTION("""COMPUTED_VALUE"""),0.935960468989166)</f>
        <v>0.93596046898916596</v>
      </c>
      <c r="D117" s="1">
        <f ca="1">IFERROR(__xludf.DUMMYFUNCTION("""COMPUTED_VALUE"""),1.7095328331405)</f>
        <v>1.7095328331405</v>
      </c>
    </row>
    <row r="118" spans="1:4" ht="13" x14ac:dyDescent="0.15">
      <c r="A118" s="1">
        <f ca="1">IFERROR(__xludf.DUMMYFUNCTION("""COMPUTED_VALUE"""),3)</f>
        <v>3</v>
      </c>
      <c r="B118" s="1">
        <f ca="1">IFERROR(__xludf.DUMMYFUNCTION("""COMPUTED_VALUE"""),0.521791649639123)</f>
        <v>0.52179164963912295</v>
      </c>
      <c r="C118" s="1">
        <f ca="1">IFERROR(__xludf.DUMMYFUNCTION("""COMPUTED_VALUE"""),0.95235647732379)</f>
        <v>0.95235647732379003</v>
      </c>
      <c r="D118" s="1">
        <f ca="1">IFERROR(__xludf.DUMMYFUNCTION("""COMPUTED_VALUE"""),1.73041078697446)</f>
        <v>1.73041078697446</v>
      </c>
    </row>
    <row r="119" spans="1:4" ht="13" x14ac:dyDescent="0.15">
      <c r="A119" s="1">
        <f ca="1">IFERROR(__xludf.DUMMYFUNCTION("""COMPUTED_VALUE"""),3)</f>
        <v>3</v>
      </c>
      <c r="B119" s="1">
        <f ca="1">IFERROR(__xludf.DUMMYFUNCTION("""COMPUTED_VALUE"""),0.798581594728547)</f>
        <v>0.79858159472854695</v>
      </c>
      <c r="C119" s="1">
        <f ca="1">IFERROR(__xludf.DUMMYFUNCTION("""COMPUTED_VALUE"""),0.893095666096228)</f>
        <v>0.89309566609622804</v>
      </c>
      <c r="D119" s="1">
        <f ca="1">IFERROR(__xludf.DUMMYFUNCTION("""COMPUTED_VALUE"""),1.73953278941733)</f>
        <v>1.73953278941733</v>
      </c>
    </row>
    <row r="120" spans="1:4" ht="13" x14ac:dyDescent="0.15">
      <c r="A120" s="1">
        <f ca="1">IFERROR(__xludf.DUMMYFUNCTION("""COMPUTED_VALUE"""),3)</f>
        <v>3</v>
      </c>
      <c r="B120" s="1">
        <f ca="1">IFERROR(__xludf.DUMMYFUNCTION("""COMPUTED_VALUE"""),0.553883026643874)</f>
        <v>0.55388302664387401</v>
      </c>
      <c r="C120" s="1">
        <f ca="1">IFERROR(__xludf.DUMMYFUNCTION("""COMPUTED_VALUE"""),1.08951654422482)</f>
        <v>1.08951654422482</v>
      </c>
      <c r="D120" s="1">
        <f ca="1">IFERROR(__xludf.DUMMYFUNCTION("""COMPUTED_VALUE"""),1.92464621325395)</f>
        <v>1.9246462132539499</v>
      </c>
    </row>
    <row r="121" spans="1:4" ht="13" x14ac:dyDescent="0.15">
      <c r="A121" s="1">
        <f ca="1">IFERROR(__xludf.DUMMYFUNCTION("""COMPUTED_VALUE"""),3)</f>
        <v>3</v>
      </c>
      <c r="B121" s="1">
        <f ca="1">IFERROR(__xludf.DUMMYFUNCTION("""COMPUTED_VALUE"""),0.808750972349594)</f>
        <v>0.80875097234959403</v>
      </c>
      <c r="C121" s="1">
        <f ca="1">IFERROR(__xludf.DUMMYFUNCTION("""COMPUTED_VALUE"""),0.956600588213176)</f>
        <v>0.95660058821317595</v>
      </c>
      <c r="D121" s="1">
        <f ca="1">IFERROR(__xludf.DUMMYFUNCTION("""COMPUTED_VALUE"""),1.85011299370666)</f>
        <v>1.85011299370666</v>
      </c>
    </row>
    <row r="122" spans="1:4" ht="13" x14ac:dyDescent="0.15">
      <c r="A122" s="1">
        <f ca="1">IFERROR(__xludf.DUMMYFUNCTION("""COMPUTED_VALUE"""),3)</f>
        <v>3</v>
      </c>
      <c r="B122" s="1">
        <f ca="1">IFERROR(__xludf.DUMMYFUNCTION("""COMPUTED_VALUE"""),0.801472313521471)</f>
        <v>0.80147231352147097</v>
      </c>
      <c r="C122" s="1">
        <f ca="1">IFERROR(__xludf.DUMMYFUNCTION("""COMPUTED_VALUE"""),1.03806352699785)</f>
        <v>1.03806352699785</v>
      </c>
      <c r="D122" s="1">
        <f ca="1">IFERROR(__xludf.DUMMYFUNCTION("""COMPUTED_VALUE"""),1.81355430298755)</f>
        <v>1.81355430298755</v>
      </c>
    </row>
    <row r="123" spans="1:4" ht="13" x14ac:dyDescent="0.15">
      <c r="A123" s="1">
        <f ca="1">IFERROR(__xludf.DUMMYFUNCTION("""COMPUTED_VALUE"""),3)</f>
        <v>3</v>
      </c>
      <c r="B123" s="1">
        <f ca="1">IFERROR(__xludf.DUMMYFUNCTION("""COMPUTED_VALUE"""),1.04414762087872)</f>
        <v>1.0441476208787199</v>
      </c>
      <c r="C123" s="1">
        <f ca="1">IFERROR(__xludf.DUMMYFUNCTION("""COMPUTED_VALUE"""),1.09236969962912)</f>
        <v>1.0923696996291199</v>
      </c>
      <c r="D123" s="1">
        <f ca="1">IFERROR(__xludf.DUMMYFUNCTION("""COMPUTED_VALUE"""),1.8884153983775)</f>
        <v>1.8884153983775001</v>
      </c>
    </row>
    <row r="124" spans="1:4" ht="13" x14ac:dyDescent="0.15">
      <c r="A124" s="1">
        <f ca="1">IFERROR(__xludf.DUMMYFUNCTION("""COMPUTED_VALUE"""),4)</f>
        <v>4</v>
      </c>
      <c r="B124" s="1">
        <f ca="1">IFERROR(__xludf.DUMMYFUNCTION("""COMPUTED_VALUE"""),2.13881407484036)</f>
        <v>2.1388140748403601</v>
      </c>
      <c r="C124" s="1">
        <f ca="1">IFERROR(__xludf.DUMMYFUNCTION("""COMPUTED_VALUE"""),2.36902279473441)</f>
        <v>2.36902279473441</v>
      </c>
      <c r="D124" s="1">
        <f ca="1">IFERROR(__xludf.DUMMYFUNCTION("""COMPUTED_VALUE"""),3.12093569256113)</f>
        <v>3.12093569256113</v>
      </c>
    </row>
    <row r="125" spans="1:4" ht="13" x14ac:dyDescent="0.15">
      <c r="A125" s="1">
        <f ca="1">IFERROR(__xludf.DUMMYFUNCTION("""COMPUTED_VALUE"""),4)</f>
        <v>4</v>
      </c>
      <c r="B125" s="1">
        <f ca="1">IFERROR(__xludf.DUMMYFUNCTION("""COMPUTED_VALUE"""),1.68824179597771)</f>
        <v>1.6882417959777101</v>
      </c>
      <c r="C125" s="1">
        <f ca="1">IFERROR(__xludf.DUMMYFUNCTION("""COMPUTED_VALUE"""),1.84685647007558)</f>
        <v>1.8468564700755801</v>
      </c>
      <c r="D125" s="1">
        <f ca="1">IFERROR(__xludf.DUMMYFUNCTION("""COMPUTED_VALUE"""),2.82426970675527)</f>
        <v>2.82426970675527</v>
      </c>
    </row>
    <row r="126" spans="1:4" ht="13" x14ac:dyDescent="0.15">
      <c r="A126" s="1">
        <f ca="1">IFERROR(__xludf.DUMMYFUNCTION("""COMPUTED_VALUE"""),4)</f>
        <v>4</v>
      </c>
      <c r="B126" s="1">
        <f ca="1">IFERROR(__xludf.DUMMYFUNCTION("""COMPUTED_VALUE"""),2.18705233273778)</f>
        <v>2.18705233273778</v>
      </c>
      <c r="C126" s="1">
        <f ca="1">IFERROR(__xludf.DUMMYFUNCTION("""COMPUTED_VALUE"""),2.5917822699964)</f>
        <v>2.5917822699964002</v>
      </c>
      <c r="D126" s="1">
        <f ca="1">IFERROR(__xludf.DUMMYFUNCTION("""COMPUTED_VALUE"""),3.26200279943497)</f>
        <v>3.2620027994349701</v>
      </c>
    </row>
    <row r="127" spans="1:4" ht="13" x14ac:dyDescent="0.15">
      <c r="A127" s="1">
        <f ca="1">IFERROR(__xludf.DUMMYFUNCTION("""COMPUTED_VALUE"""),4)</f>
        <v>4</v>
      </c>
      <c r="B127" s="1">
        <f ca="1">IFERROR(__xludf.DUMMYFUNCTION("""COMPUTED_VALUE"""),1.72025855937299)</f>
        <v>1.72025855937299</v>
      </c>
      <c r="C127" s="1">
        <f ca="1">IFERROR(__xludf.DUMMYFUNCTION("""COMPUTED_VALUE"""),2.0839252420926)</f>
        <v>2.0839252420926</v>
      </c>
      <c r="D127" s="1">
        <f ca="1">IFERROR(__xludf.DUMMYFUNCTION("""COMPUTED_VALUE"""),2.9109603996053)</f>
        <v>2.9109603996053002</v>
      </c>
    </row>
    <row r="128" spans="1:4" ht="13" x14ac:dyDescent="0.15">
      <c r="A128" s="1">
        <f ca="1">IFERROR(__xludf.DUMMYFUNCTION("""COMPUTED_VALUE"""),4)</f>
        <v>4</v>
      </c>
      <c r="B128" s="1">
        <f ca="1">IFERROR(__xludf.DUMMYFUNCTION("""COMPUTED_VALUE"""),1.72375932570044)</f>
        <v>1.72375932570044</v>
      </c>
      <c r="C128" s="1">
        <f ca="1">IFERROR(__xludf.DUMMYFUNCTION("""COMPUTED_VALUE"""),1.8418473083147)</f>
        <v>1.8418473083147</v>
      </c>
      <c r="D128" s="1">
        <f ca="1">IFERROR(__xludf.DUMMYFUNCTION("""COMPUTED_VALUE"""),2.80066966063176)</f>
        <v>2.80066966063176</v>
      </c>
    </row>
    <row r="129" spans="1:4" ht="13" x14ac:dyDescent="0.15">
      <c r="A129" s="1">
        <f ca="1">IFERROR(__xludf.DUMMYFUNCTION("""COMPUTED_VALUE"""),4)</f>
        <v>4</v>
      </c>
      <c r="B129" s="1">
        <f ca="1">IFERROR(__xludf.DUMMYFUNCTION("""COMPUTED_VALUE"""),2.10455880495514)</f>
        <v>2.1045588049551398</v>
      </c>
      <c r="C129" s="1">
        <f ca="1">IFERROR(__xludf.DUMMYFUNCTION("""COMPUTED_VALUE"""),2.3416442015854)</f>
        <v>2.3416442015854</v>
      </c>
      <c r="D129" s="1">
        <f ca="1">IFERROR(__xludf.DUMMYFUNCTION("""COMPUTED_VALUE"""),3.09253959244873)</f>
        <v>3.09253959244873</v>
      </c>
    </row>
    <row r="130" spans="1:4" ht="13" x14ac:dyDescent="0.15">
      <c r="A130" s="1">
        <f ca="1">IFERROR(__xludf.DUMMYFUNCTION("""COMPUTED_VALUE"""),4)</f>
        <v>4</v>
      </c>
      <c r="B130" s="1">
        <f ca="1">IFERROR(__xludf.DUMMYFUNCTION("""COMPUTED_VALUE"""),2.07168689901546)</f>
        <v>2.07168689901546</v>
      </c>
      <c r="C130" s="1">
        <f ca="1">IFERROR(__xludf.DUMMYFUNCTION("""COMPUTED_VALUE"""),2.42797109249849)</f>
        <v>2.4279710924984901</v>
      </c>
      <c r="D130" s="1">
        <f ca="1">IFERROR(__xludf.DUMMYFUNCTION("""COMPUTED_VALUE"""),3.17130335885994)</f>
        <v>3.17130335885994</v>
      </c>
    </row>
    <row r="131" spans="1:4" ht="13" x14ac:dyDescent="0.15">
      <c r="A131" s="1">
        <f ca="1">IFERROR(__xludf.DUMMYFUNCTION("""COMPUTED_VALUE"""),4)</f>
        <v>4</v>
      </c>
      <c r="B131" s="1">
        <f ca="1">IFERROR(__xludf.DUMMYFUNCTION("""COMPUTED_VALUE"""),1.81546484364653)</f>
        <v>1.8154648436465299</v>
      </c>
      <c r="C131" s="1">
        <f ca="1">IFERROR(__xludf.DUMMYFUNCTION("""COMPUTED_VALUE"""),2.15219352326531)</f>
        <v>2.1521935232653102</v>
      </c>
      <c r="D131" s="1">
        <f ca="1">IFERROR(__xludf.DUMMYFUNCTION("""COMPUTED_VALUE"""),3.04420960247918)</f>
        <v>3.0442096024791798</v>
      </c>
    </row>
    <row r="132" spans="1:4" ht="13" x14ac:dyDescent="0.15">
      <c r="A132" s="1">
        <f ca="1">IFERROR(__xludf.DUMMYFUNCTION("""COMPUTED_VALUE"""),4)</f>
        <v>4</v>
      </c>
      <c r="B132" s="1">
        <f ca="1">IFERROR(__xludf.DUMMYFUNCTION("""COMPUTED_VALUE"""),1.69135560374528)</f>
        <v>1.6913556037452799</v>
      </c>
      <c r="C132" s="1">
        <f ca="1">IFERROR(__xludf.DUMMYFUNCTION("""COMPUTED_VALUE"""),1.99636717515583)</f>
        <v>1.9963671751558301</v>
      </c>
      <c r="D132" s="1">
        <f ca="1">IFERROR(__xludf.DUMMYFUNCTION("""COMPUTED_VALUE"""),2.95577335031309)</f>
        <v>2.9557733503130899</v>
      </c>
    </row>
    <row r="133" spans="1:4" ht="13" x14ac:dyDescent="0.15">
      <c r="A133" s="1">
        <f ca="1">IFERROR(__xludf.DUMMYFUNCTION("""COMPUTED_VALUE"""),4)</f>
        <v>4</v>
      </c>
      <c r="B133" s="1">
        <f ca="1">IFERROR(__xludf.DUMMYFUNCTION("""COMPUTED_VALUE"""),1.58932394545019)</f>
        <v>1.58932394545019</v>
      </c>
      <c r="C133" s="1">
        <f ca="1">IFERROR(__xludf.DUMMYFUNCTION("""COMPUTED_VALUE"""),1.85431818972857)</f>
        <v>1.8543181897285701</v>
      </c>
      <c r="D133" s="1">
        <f ca="1">IFERROR(__xludf.DUMMYFUNCTION("""COMPUTED_VALUE"""),2.81095462100628)</f>
        <v>2.8109546210062799</v>
      </c>
    </row>
    <row r="134" spans="1:4" ht="13" x14ac:dyDescent="0.15">
      <c r="A134" s="1">
        <f ca="1">IFERROR(__xludf.DUMMYFUNCTION("""COMPUTED_VALUE"""),4)</f>
        <v>4</v>
      </c>
      <c r="B134" s="1">
        <f ca="1">IFERROR(__xludf.DUMMYFUNCTION("""COMPUTED_VALUE"""),1.37516960885163)</f>
        <v>1.3751696088516301</v>
      </c>
      <c r="C134" s="1">
        <f ca="1">IFERROR(__xludf.DUMMYFUNCTION("""COMPUTED_VALUE"""),2.08411850841927)</f>
        <v>2.0841185084192699</v>
      </c>
      <c r="D134" s="1">
        <f ca="1">IFERROR(__xludf.DUMMYFUNCTION("""COMPUTED_VALUE"""),3.0200097265403)</f>
        <v>3.0200097265402999</v>
      </c>
    </row>
    <row r="135" spans="1:4" ht="13" x14ac:dyDescent="0.15">
      <c r="A135" s="1">
        <f ca="1">IFERROR(__xludf.DUMMYFUNCTION("""COMPUTED_VALUE"""),4)</f>
        <v>4</v>
      </c>
      <c r="B135" s="1">
        <f ca="1">IFERROR(__xludf.DUMMYFUNCTION("""COMPUTED_VALUE"""),1.84750479532731)</f>
        <v>1.84750479532731</v>
      </c>
      <c r="C135" s="1">
        <f ca="1">IFERROR(__xludf.DUMMYFUNCTION("""COMPUTED_VALUE"""),2.08230414958654)</f>
        <v>2.0823041495865402</v>
      </c>
      <c r="D135" s="1">
        <f ca="1">IFERROR(__xludf.DUMMYFUNCTION("""COMPUTED_VALUE"""),2.99213934896285)</f>
        <v>2.9921393489628501</v>
      </c>
    </row>
    <row r="136" spans="1:4" ht="13" x14ac:dyDescent="0.15">
      <c r="A136" s="1">
        <f ca="1">IFERROR(__xludf.DUMMYFUNCTION("""COMPUTED_VALUE"""),4)</f>
        <v>4</v>
      </c>
      <c r="B136" s="1">
        <f ca="1">IFERROR(__xludf.DUMMYFUNCTION("""COMPUTED_VALUE"""),1.84564986369905)</f>
        <v>1.8456498636990499</v>
      </c>
      <c r="C136" s="1">
        <f ca="1">IFERROR(__xludf.DUMMYFUNCTION("""COMPUTED_VALUE"""),2.02918891028054)</f>
        <v>2.0291889102805398</v>
      </c>
      <c r="D136" s="1">
        <f ca="1">IFERROR(__xludf.DUMMYFUNCTION("""COMPUTED_VALUE"""),2.88818511218058)</f>
        <v>2.8881851121805799</v>
      </c>
    </row>
    <row r="137" spans="1:4" ht="13" x14ac:dyDescent="0.15">
      <c r="A137" s="1">
        <f ca="1">IFERROR(__xludf.DUMMYFUNCTION("""COMPUTED_VALUE"""),4)</f>
        <v>4</v>
      </c>
      <c r="B137" s="1">
        <f ca="1">IFERROR(__xludf.DUMMYFUNCTION("""COMPUTED_VALUE"""),2.01520042898354)</f>
        <v>2.0152004289835399</v>
      </c>
      <c r="C137" s="1">
        <f ca="1">IFERROR(__xludf.DUMMYFUNCTION("""COMPUTED_VALUE"""),2.12070551565827)</f>
        <v>2.1207055156582699</v>
      </c>
      <c r="D137" s="1">
        <f ca="1">IFERROR(__xludf.DUMMYFUNCTION("""COMPUTED_VALUE"""),2.99250359097824)</f>
        <v>2.9925035909782398</v>
      </c>
    </row>
    <row r="138" spans="1:4" ht="13" x14ac:dyDescent="0.15">
      <c r="A138" s="1">
        <f ca="1">IFERROR(__xludf.DUMMYFUNCTION("""COMPUTED_VALUE"""),5)</f>
        <v>5</v>
      </c>
      <c r="B138" s="1">
        <f ca="1">IFERROR(__xludf.DUMMYFUNCTION("""COMPUTED_VALUE"""),2.82638582764744)</f>
        <v>2.8263858276474401</v>
      </c>
      <c r="C138" s="1">
        <f ca="1">IFERROR(__xludf.DUMMYFUNCTION("""COMPUTED_VALUE"""),3.23436186129278)</f>
        <v>3.23436186129278</v>
      </c>
      <c r="D138" s="1">
        <f ca="1">IFERROR(__xludf.DUMMYFUNCTION("""COMPUTED_VALUE"""),3.96717435974159)</f>
        <v>3.9671743597415898</v>
      </c>
    </row>
    <row r="139" spans="1:4" ht="13" x14ac:dyDescent="0.15">
      <c r="A139" s="1">
        <f ca="1">IFERROR(__xludf.DUMMYFUNCTION("""COMPUTED_VALUE"""),5)</f>
        <v>5</v>
      </c>
      <c r="B139" s="1">
        <f ca="1">IFERROR(__xludf.DUMMYFUNCTION("""COMPUTED_VALUE"""),2.59711464206443)</f>
        <v>2.59711464206443</v>
      </c>
      <c r="C139" s="1">
        <f ca="1">IFERROR(__xludf.DUMMYFUNCTION("""COMPUTED_VALUE"""),2.744882597186)</f>
        <v>2.7448825971859998</v>
      </c>
      <c r="D139" s="1">
        <f ca="1">IFERROR(__xludf.DUMMYFUNCTION("""COMPUTED_VALUE"""),3.71683130469641)</f>
        <v>3.7168313046964099</v>
      </c>
    </row>
    <row r="140" spans="1:4" ht="13" x14ac:dyDescent="0.15">
      <c r="A140" s="1">
        <f ca="1">IFERROR(__xludf.DUMMYFUNCTION("""COMPUTED_VALUE"""),5)</f>
        <v>5</v>
      </c>
      <c r="B140" s="1">
        <f ca="1">IFERROR(__xludf.DUMMYFUNCTION("""COMPUTED_VALUE"""),2.51944470085211)</f>
        <v>2.5194447008521101</v>
      </c>
      <c r="C140" s="1">
        <f ca="1">IFERROR(__xludf.DUMMYFUNCTION("""COMPUTED_VALUE"""),3.40592065623997)</f>
        <v>3.40592065623997</v>
      </c>
      <c r="D140" s="1">
        <f ca="1">IFERROR(__xludf.DUMMYFUNCTION("""COMPUTED_VALUE"""),4.05815610097931)</f>
        <v>4.0581561009793097</v>
      </c>
    </row>
    <row r="141" spans="1:4" ht="13" x14ac:dyDescent="0.15">
      <c r="A141" s="1">
        <f ca="1">IFERROR(__xludf.DUMMYFUNCTION("""COMPUTED_VALUE"""),5)</f>
        <v>5</v>
      </c>
      <c r="B141" s="1">
        <f ca="1">IFERROR(__xludf.DUMMYFUNCTION("""COMPUTED_VALUE"""),2.39406099035047)</f>
        <v>2.3940609903504702</v>
      </c>
      <c r="C141" s="1">
        <f ca="1">IFERROR(__xludf.DUMMYFUNCTION("""COMPUTED_VALUE"""),2.85283180042548)</f>
        <v>2.8528318004254798</v>
      </c>
      <c r="D141" s="1">
        <f ca="1">IFERROR(__xludf.DUMMYFUNCTION("""COMPUTED_VALUE"""),3.72821852084641)</f>
        <v>3.72821852084641</v>
      </c>
    </row>
    <row r="142" spans="1:4" ht="13" x14ac:dyDescent="0.15">
      <c r="A142" s="1">
        <f ca="1">IFERROR(__xludf.DUMMYFUNCTION("""COMPUTED_VALUE"""),5)</f>
        <v>5</v>
      </c>
      <c r="B142" s="1">
        <f ca="1">IFERROR(__xludf.DUMMYFUNCTION("""COMPUTED_VALUE"""),2.61021286497437)</f>
        <v>2.6102128649743701</v>
      </c>
      <c r="C142" s="1">
        <f ca="1">IFERROR(__xludf.DUMMYFUNCTION("""COMPUTED_VALUE"""),2.74863140139932)</f>
        <v>2.7486314013993201</v>
      </c>
      <c r="D142" s="1">
        <f ca="1">IFERROR(__xludf.DUMMYFUNCTION("""COMPUTED_VALUE"""),3.72186763837229)</f>
        <v>3.7218676383722902</v>
      </c>
    </row>
    <row r="143" spans="1:4" ht="13" x14ac:dyDescent="0.15">
      <c r="A143" s="1">
        <f ca="1">IFERROR(__xludf.DUMMYFUNCTION("""COMPUTED_VALUE"""),5)</f>
        <v>5</v>
      </c>
      <c r="B143" s="1">
        <f ca="1">IFERROR(__xludf.DUMMYFUNCTION("""COMPUTED_VALUE"""),2.98031931387514)</f>
        <v>2.9803193138751398</v>
      </c>
      <c r="C143" s="1">
        <f ca="1">IFERROR(__xludf.DUMMYFUNCTION("""COMPUTED_VALUE"""),3.34582543632889)</f>
        <v>3.34582543632889</v>
      </c>
      <c r="D143" s="1">
        <f ca="1">IFERROR(__xludf.DUMMYFUNCTION("""COMPUTED_VALUE"""),4.13237452538063)</f>
        <v>4.1323745253806301</v>
      </c>
    </row>
    <row r="144" spans="1:4" ht="13" x14ac:dyDescent="0.15">
      <c r="A144" s="1">
        <f ca="1">IFERROR(__xludf.DUMMYFUNCTION("""COMPUTED_VALUE"""),5)</f>
        <v>5</v>
      </c>
      <c r="B144" s="1">
        <f ca="1">IFERROR(__xludf.DUMMYFUNCTION("""COMPUTED_VALUE"""),2.96140448139148)</f>
        <v>2.9614044813914799</v>
      </c>
      <c r="C144" s="1">
        <f ca="1">IFERROR(__xludf.DUMMYFUNCTION("""COMPUTED_VALUE"""),3.34671375847853)</f>
        <v>3.34671375847853</v>
      </c>
      <c r="D144" s="1">
        <f ca="1">IFERROR(__xludf.DUMMYFUNCTION("""COMPUTED_VALUE"""),4.06458994228667)</f>
        <v>4.0645899422866698</v>
      </c>
    </row>
    <row r="145" spans="1:4" ht="13" x14ac:dyDescent="0.15">
      <c r="A145" s="1">
        <f ca="1">IFERROR(__xludf.DUMMYFUNCTION("""COMPUTED_VALUE"""),5)</f>
        <v>5</v>
      </c>
      <c r="B145" s="1">
        <f ca="1">IFERROR(__xludf.DUMMYFUNCTION("""COMPUTED_VALUE"""),2.76353505641851)</f>
        <v>2.7635350564185099</v>
      </c>
      <c r="C145" s="1">
        <f ca="1">IFERROR(__xludf.DUMMYFUNCTION("""COMPUTED_VALUE"""),3.19616623291999)</f>
        <v>3.1961662329199898</v>
      </c>
      <c r="D145" s="1">
        <f ca="1">IFERROR(__xludf.DUMMYFUNCTION("""COMPUTED_VALUE"""),4.06285766430767)</f>
        <v>4.0628576643076704</v>
      </c>
    </row>
    <row r="146" spans="1:4" ht="13" x14ac:dyDescent="0.15">
      <c r="A146" s="1">
        <f ca="1">IFERROR(__xludf.DUMMYFUNCTION("""COMPUTED_VALUE"""),5)</f>
        <v>5</v>
      </c>
      <c r="B146" s="1">
        <f ca="1">IFERROR(__xludf.DUMMYFUNCTION("""COMPUTED_VALUE"""),2.31937467640401)</f>
        <v>2.31937467640401</v>
      </c>
      <c r="C146" s="1">
        <f ca="1">IFERROR(__xludf.DUMMYFUNCTION("""COMPUTED_VALUE"""),2.69664902382501)</f>
        <v>2.6966490238250098</v>
      </c>
      <c r="D146" s="1">
        <f ca="1">IFERROR(__xludf.DUMMYFUNCTION("""COMPUTED_VALUE"""),3.65080895540387)</f>
        <v>3.6508089554038698</v>
      </c>
    </row>
    <row r="147" spans="1:4" ht="13" x14ac:dyDescent="0.15">
      <c r="A147" s="1">
        <f ca="1">IFERROR(__xludf.DUMMYFUNCTION("""COMPUTED_VALUE"""),5)</f>
        <v>5</v>
      </c>
      <c r="B147" s="1">
        <f ca="1">IFERROR(__xludf.DUMMYFUNCTION("""COMPUTED_VALUE"""),2.23536934478904)</f>
        <v>2.2353693447890399</v>
      </c>
      <c r="C147" s="1">
        <f ca="1">IFERROR(__xludf.DUMMYFUNCTION("""COMPUTED_VALUE"""),3.04970981527198)</f>
        <v>3.0497098152719802</v>
      </c>
      <c r="D147" s="1">
        <f ca="1">IFERROR(__xludf.DUMMYFUNCTION("""COMPUTED_VALUE"""),3.99182759994135)</f>
        <v>3.9918275999413502</v>
      </c>
    </row>
    <row r="148" spans="1:4" ht="13" x14ac:dyDescent="0.15">
      <c r="A148" s="1">
        <f ca="1">IFERROR(__xludf.DUMMYFUNCTION("""COMPUTED_VALUE"""),5)</f>
        <v>5</v>
      </c>
      <c r="B148" s="1">
        <f ca="1">IFERROR(__xludf.DUMMYFUNCTION("""COMPUTED_VALUE"""),2.78527501077161)</f>
        <v>2.7852750107716102</v>
      </c>
      <c r="C148" s="1">
        <f ca="1">IFERROR(__xludf.DUMMYFUNCTION("""COMPUTED_VALUE"""),2.97923141529665)</f>
        <v>2.9792314152966499</v>
      </c>
      <c r="D148" s="1">
        <f ca="1">IFERROR(__xludf.DUMMYFUNCTION("""COMPUTED_VALUE"""),3.79207888484809)</f>
        <v>3.79207888484809</v>
      </c>
    </row>
    <row r="149" spans="1:4" ht="13" x14ac:dyDescent="0.15">
      <c r="A149" s="1">
        <f ca="1">IFERROR(__xludf.DUMMYFUNCTION("""COMPUTED_VALUE"""),5)</f>
        <v>5</v>
      </c>
      <c r="B149" s="1">
        <f ca="1">IFERROR(__xludf.DUMMYFUNCTION("""COMPUTED_VALUE"""),2.8899697217909)</f>
        <v>2.8899697217909002</v>
      </c>
      <c r="C149" s="1">
        <f ca="1">IFERROR(__xludf.DUMMYFUNCTION("""COMPUTED_VALUE"""),2.99172389944164)</f>
        <v>2.9917238994416402</v>
      </c>
      <c r="D149" s="1">
        <f ca="1">IFERROR(__xludf.DUMMYFUNCTION("""COMPUTED_VALUE"""),3.85121344891228)</f>
        <v>3.8512134489122798</v>
      </c>
    </row>
    <row r="150" spans="1:4" ht="13" x14ac:dyDescent="0.15">
      <c r="A150" s="1">
        <f ca="1">IFERROR(__xludf.DUMMYFUNCTION("""COMPUTED_VALUE"""),6)</f>
        <v>6</v>
      </c>
      <c r="B150" s="1">
        <f ca="1">IFERROR(__xludf.DUMMYFUNCTION("""COMPUTED_VALUE"""),3.60608241603967)</f>
        <v>3.6060824160396701</v>
      </c>
      <c r="C150" s="1">
        <f ca="1">IFERROR(__xludf.DUMMYFUNCTION("""COMPUTED_VALUE"""),4.01373440148397)</f>
        <v>4.01373440148397</v>
      </c>
      <c r="D150" s="1">
        <f ca="1">IFERROR(__xludf.DUMMYFUNCTION("""COMPUTED_VALUE"""),4.71393002491565)</f>
        <v>4.7139300249156504</v>
      </c>
    </row>
    <row r="151" spans="1:4" ht="13" x14ac:dyDescent="0.15">
      <c r="A151" s="1">
        <f ca="1">IFERROR(__xludf.DUMMYFUNCTION("""COMPUTED_VALUE"""),6)</f>
        <v>6</v>
      </c>
      <c r="B151" s="1">
        <f ca="1">IFERROR(__xludf.DUMMYFUNCTION("""COMPUTED_VALUE"""),3.42142754117523)</f>
        <v>3.42142754117523</v>
      </c>
      <c r="C151" s="1">
        <f ca="1">IFERROR(__xludf.DUMMYFUNCTION("""COMPUTED_VALUE"""),3.59670637016009)</f>
        <v>3.5967063701600899</v>
      </c>
      <c r="D151" s="1">
        <f ca="1">IFERROR(__xludf.DUMMYFUNCTION("""COMPUTED_VALUE"""),4.52849485720267)</f>
        <v>4.52849485720267</v>
      </c>
    </row>
    <row r="152" spans="1:4" ht="13" x14ac:dyDescent="0.15">
      <c r="A152" s="1">
        <f ca="1">IFERROR(__xludf.DUMMYFUNCTION("""COMPUTED_VALUE"""),6)</f>
        <v>6</v>
      </c>
      <c r="B152" s="1">
        <f ca="1">IFERROR(__xludf.DUMMYFUNCTION("""COMPUTED_VALUE"""),3.0650379091485)</f>
        <v>3.0650379091484998</v>
      </c>
      <c r="C152" s="1">
        <f ca="1">IFERROR(__xludf.DUMMYFUNCTION("""COMPUTED_VALUE"""),4.10634044294073)</f>
        <v>4.1063404429407298</v>
      </c>
      <c r="D152" s="1">
        <f ca="1">IFERROR(__xludf.DUMMYFUNCTION("""COMPUTED_VALUE"""),4.74983603729688)</f>
        <v>4.7498360372968804</v>
      </c>
    </row>
    <row r="153" spans="1:4" ht="13" x14ac:dyDescent="0.15">
      <c r="A153" s="1">
        <f ca="1">IFERROR(__xludf.DUMMYFUNCTION("""COMPUTED_VALUE"""),6)</f>
        <v>6</v>
      </c>
      <c r="B153" s="1">
        <f ca="1">IFERROR(__xludf.DUMMYFUNCTION("""COMPUTED_VALUE"""),3.02442901689813)</f>
        <v>3.02442901689813</v>
      </c>
      <c r="C153" s="1">
        <f ca="1">IFERROR(__xludf.DUMMYFUNCTION("""COMPUTED_VALUE"""),3.63679450230724)</f>
        <v>3.6367945023072399</v>
      </c>
      <c r="D153" s="1">
        <f ca="1">IFERROR(__xludf.DUMMYFUNCTION("""COMPUTED_VALUE"""),4.45578610593234)</f>
        <v>4.45578610593234</v>
      </c>
    </row>
    <row r="154" spans="1:4" ht="13" x14ac:dyDescent="0.15">
      <c r="A154" s="1">
        <f ca="1">IFERROR(__xludf.DUMMYFUNCTION("""COMPUTED_VALUE"""),6)</f>
        <v>6</v>
      </c>
      <c r="B154" s="1">
        <f ca="1">IFERROR(__xludf.DUMMYFUNCTION("""COMPUTED_VALUE"""),3.385448612172)</f>
        <v>3.385448612172</v>
      </c>
      <c r="C154" s="1">
        <f ca="1">IFERROR(__xludf.DUMMYFUNCTION("""COMPUTED_VALUE"""),3.56633671475516)</f>
        <v>3.5663367147551601</v>
      </c>
      <c r="D154" s="1">
        <f ca="1">IFERROR(__xludf.DUMMYFUNCTION("""COMPUTED_VALUE"""),4.48960257758552)</f>
        <v>4.4896025775855204</v>
      </c>
    </row>
    <row r="155" spans="1:4" ht="13" x14ac:dyDescent="0.15">
      <c r="A155" s="1">
        <f ca="1">IFERROR(__xludf.DUMMYFUNCTION("""COMPUTED_VALUE"""),6)</f>
        <v>6</v>
      </c>
      <c r="B155" s="1">
        <f ca="1">IFERROR(__xludf.DUMMYFUNCTION("""COMPUTED_VALUE"""),3.42934863452157)</f>
        <v>3.42934863452157</v>
      </c>
      <c r="C155" s="1">
        <f ca="1">IFERROR(__xludf.DUMMYFUNCTION("""COMPUTED_VALUE"""),3.88036500878065)</f>
        <v>3.8803650087806498</v>
      </c>
      <c r="D155" s="1">
        <f ca="1">IFERROR(__xludf.DUMMYFUNCTION("""COMPUTED_VALUE"""),4.70023600187476)</f>
        <v>4.7002360018747602</v>
      </c>
    </row>
    <row r="156" spans="1:4" ht="13" x14ac:dyDescent="0.15">
      <c r="A156" s="1">
        <f ca="1">IFERROR(__xludf.DUMMYFUNCTION("""COMPUTED_VALUE"""),4)</f>
        <v>4</v>
      </c>
      <c r="B156" s="1">
        <f ca="1">IFERROR(__xludf.DUMMYFUNCTION("""COMPUTED_VALUE"""),2.32105755560317)</f>
        <v>2.3210575556031698</v>
      </c>
      <c r="C156" s="1">
        <f ca="1">IFERROR(__xludf.DUMMYFUNCTION("""COMPUTED_VALUE"""),2.4384600702711)</f>
        <v>2.4384600702711001</v>
      </c>
      <c r="D156" s="1">
        <f ca="1">IFERROR(__xludf.DUMMYFUNCTION("""COMPUTED_VALUE"""),3.27579008169429)</f>
        <v>3.2757900816942902</v>
      </c>
    </row>
    <row r="157" spans="1:4" ht="13" x14ac:dyDescent="0.15">
      <c r="A157" s="1">
        <f ca="1">IFERROR(__xludf.DUMMYFUNCTION("""COMPUTED_VALUE"""),4)</f>
        <v>4</v>
      </c>
      <c r="B157" s="1">
        <f ca="1">IFERROR(__xludf.DUMMYFUNCTION("""COMPUTED_VALUE"""),1.98144256911196)</f>
        <v>1.9814425691119599</v>
      </c>
      <c r="C157" s="1">
        <f ca="1">IFERROR(__xludf.DUMMYFUNCTION("""COMPUTED_VALUE"""),2.26571381064002)</f>
        <v>2.2657138106400199</v>
      </c>
      <c r="D157" s="1">
        <f ca="1">IFERROR(__xludf.DUMMYFUNCTION("""COMPUTED_VALUE"""),3.07776168086931)</f>
        <v>3.07776168086931</v>
      </c>
    </row>
    <row r="158" spans="1:4" ht="13" x14ac:dyDescent="0.15">
      <c r="A158" s="1">
        <f ca="1">IFERROR(__xludf.DUMMYFUNCTION("""COMPUTED_VALUE"""),4)</f>
        <v>4</v>
      </c>
      <c r="B158" s="1">
        <f ca="1">IFERROR(__xludf.DUMMYFUNCTION("""COMPUTED_VALUE"""),2.02559256885167)</f>
        <v>2.0255925688516698</v>
      </c>
      <c r="C158" s="1">
        <f ca="1">IFERROR(__xludf.DUMMYFUNCTION("""COMPUTED_VALUE"""),2.1640523152247)</f>
        <v>2.1640523152247</v>
      </c>
      <c r="D158" s="1">
        <f ca="1">IFERROR(__xludf.DUMMYFUNCTION("""COMPUTED_VALUE"""),2.89267828069173)</f>
        <v>2.8926782806917299</v>
      </c>
    </row>
    <row r="159" spans="1:4" ht="13" x14ac:dyDescent="0.15">
      <c r="A159" s="1">
        <f ca="1">IFERROR(__xludf.DUMMYFUNCTION("""COMPUTED_VALUE"""),4)</f>
        <v>4</v>
      </c>
      <c r="B159" s="1">
        <f ca="1">IFERROR(__xludf.DUMMYFUNCTION("""COMPUTED_VALUE"""),1.66030565501787)</f>
        <v>1.6603056550178701</v>
      </c>
      <c r="C159" s="1">
        <f ca="1">IFERROR(__xludf.DUMMYFUNCTION("""COMPUTED_VALUE"""),2.41043641041423)</f>
        <v>2.41043641041423</v>
      </c>
      <c r="D159" s="1">
        <f ca="1">IFERROR(__xludf.DUMMYFUNCTION("""COMPUTED_VALUE"""),3.25520180585835)</f>
        <v>3.2552018058583498</v>
      </c>
    </row>
    <row r="160" spans="1:4" ht="13" x14ac:dyDescent="0.15">
      <c r="A160" s="1">
        <f ca="1">IFERROR(__xludf.DUMMYFUNCTION("""COMPUTED_VALUE"""),5)</f>
        <v>5</v>
      </c>
      <c r="B160" s="1">
        <f ca="1">IFERROR(__xludf.DUMMYFUNCTION("""COMPUTED_VALUE"""),3.1705093100353)</f>
        <v>3.1705093100353001</v>
      </c>
      <c r="C160" s="1">
        <f ca="1">IFERROR(__xludf.DUMMYFUNCTION("""COMPUTED_VALUE"""),3.28658804059397)</f>
        <v>3.28658804059397</v>
      </c>
      <c r="D160" s="1">
        <f ca="1">IFERROR(__xludf.DUMMYFUNCTION("""COMPUTED_VALUE"""),4.13434980254704)</f>
        <v>4.1343498025470398</v>
      </c>
    </row>
    <row r="161" spans="1:4" ht="13" x14ac:dyDescent="0.15">
      <c r="A161" s="1">
        <f ca="1">IFERROR(__xludf.DUMMYFUNCTION("""COMPUTED_VALUE"""),5)</f>
        <v>5</v>
      </c>
      <c r="B161" s="1">
        <f ca="1">IFERROR(__xludf.DUMMYFUNCTION("""COMPUTED_VALUE"""),3.01722956266173)</f>
        <v>3.01722956266173</v>
      </c>
      <c r="C161" s="1">
        <f ca="1">IFERROR(__xludf.DUMMYFUNCTION("""COMPUTED_VALUE"""),3.25610458778964)</f>
        <v>3.2561045877896402</v>
      </c>
      <c r="D161" s="1">
        <f ca="1">IFERROR(__xludf.DUMMYFUNCTION("""COMPUTED_VALUE"""),4.05042314486948)</f>
        <v>4.0504231448694803</v>
      </c>
    </row>
    <row r="162" spans="1:4" ht="13" x14ac:dyDescent="0.15">
      <c r="A162" s="1">
        <f ca="1">IFERROR(__xludf.DUMMYFUNCTION("""COMPUTED_VALUE"""),5)</f>
        <v>5</v>
      </c>
      <c r="B162" s="1">
        <f ca="1">IFERROR(__xludf.DUMMYFUNCTION("""COMPUTED_VALUE"""),2.90623912002453)</f>
        <v>2.9062391200245301</v>
      </c>
      <c r="C162" s="1">
        <f ca="1">IFERROR(__xludf.DUMMYFUNCTION("""COMPUTED_VALUE"""),3.13431642934505)</f>
        <v>3.1343164293450498</v>
      </c>
      <c r="D162" s="1">
        <f ca="1">IFERROR(__xludf.DUMMYFUNCTION("""COMPUTED_VALUE"""),3.85624195399477)</f>
        <v>3.8562419539947701</v>
      </c>
    </row>
    <row r="163" spans="1:4" ht="13" x14ac:dyDescent="0.15">
      <c r="A163" s="1">
        <f ca="1">IFERROR(__xludf.DUMMYFUNCTION("""COMPUTED_VALUE"""),5)</f>
        <v>5</v>
      </c>
      <c r="B163" s="1">
        <f ca="1">IFERROR(__xludf.DUMMYFUNCTION("""COMPUTED_VALUE"""),2.45328928416256)</f>
        <v>2.45328928416256</v>
      </c>
      <c r="C163" s="1">
        <f ca="1">IFERROR(__xludf.DUMMYFUNCTION("""COMPUTED_VALUE"""),3.20826045231431)</f>
        <v>3.2082604523143101</v>
      </c>
      <c r="D163" s="1">
        <f ca="1">IFERROR(__xludf.DUMMYFUNCTION("""COMPUTED_VALUE"""),4.05501671481638)</f>
        <v>4.0550167148163796</v>
      </c>
    </row>
    <row r="164" spans="1:4" ht="13" x14ac:dyDescent="0.15">
      <c r="A164" s="1">
        <f ca="1">IFERROR(__xludf.DUMMYFUNCTION("""COMPUTED_VALUE"""),5)</f>
        <v>5</v>
      </c>
      <c r="B164" s="1">
        <f ca="1">IFERROR(__xludf.DUMMYFUNCTION("""COMPUTED_VALUE"""),2.83631082077421)</f>
        <v>2.83631082077421</v>
      </c>
      <c r="C164" s="1">
        <f ca="1">IFERROR(__xludf.DUMMYFUNCTION("""COMPUTED_VALUE"""),3.14140116732701)</f>
        <v>3.1414011673270101</v>
      </c>
      <c r="D164" s="1">
        <f ca="1">IFERROR(__xludf.DUMMYFUNCTION("""COMPUTED_VALUE"""),4.06276822090245)</f>
        <v>4.0627682209024503</v>
      </c>
    </row>
    <row r="165" spans="1:4" ht="13" x14ac:dyDescent="0.15">
      <c r="A165" s="1">
        <f ca="1">IFERROR(__xludf.DUMMYFUNCTION("""COMPUTED_VALUE"""),5)</f>
        <v>5</v>
      </c>
      <c r="B165" s="1">
        <f ca="1">IFERROR(__xludf.DUMMYFUNCTION("""COMPUTED_VALUE"""),3.07106380650816)</f>
        <v>3.0710638065081599</v>
      </c>
      <c r="C165" s="1">
        <f ca="1">IFERROR(__xludf.DUMMYFUNCTION("""COMPUTED_VALUE"""),3.24625305131369)</f>
        <v>3.24625305131369</v>
      </c>
      <c r="D165" s="1">
        <f ca="1">IFERROR(__xludf.DUMMYFUNCTION("""COMPUTED_VALUE"""),4.11274247285029)</f>
        <v>4.1127424728502904</v>
      </c>
    </row>
    <row r="166" spans="1:4" ht="13" x14ac:dyDescent="0.15">
      <c r="A166" s="1">
        <f ca="1">IFERROR(__xludf.DUMMYFUNCTION("""COMPUTED_VALUE"""),5)</f>
        <v>5</v>
      </c>
      <c r="B166" s="1">
        <f ca="1">IFERROR(__xludf.DUMMYFUNCTION("""COMPUTED_VALUE"""),2.63326944251628)</f>
        <v>2.6332694425162799</v>
      </c>
      <c r="C166" s="1">
        <f ca="1">IFERROR(__xludf.DUMMYFUNCTION("""COMPUTED_VALUE"""),3.158326902617)</f>
        <v>3.158326902617</v>
      </c>
      <c r="D166" s="1">
        <f ca="1">IFERROR(__xludf.DUMMYFUNCTION("""COMPUTED_VALUE"""),3.9255729508828)</f>
        <v>3.9255729508827999</v>
      </c>
    </row>
    <row r="167" spans="1:4" ht="13" x14ac:dyDescent="0.15">
      <c r="A167" s="1">
        <f ca="1">IFERROR(__xludf.DUMMYFUNCTION("""COMPUTED_VALUE"""),6)</f>
        <v>6</v>
      </c>
      <c r="B167" s="1">
        <f ca="1">IFERROR(__xludf.DUMMYFUNCTION("""COMPUTED_VALUE"""),3.76593307350037)</f>
        <v>3.7659330735003702</v>
      </c>
      <c r="C167" s="1">
        <f ca="1">IFERROR(__xludf.DUMMYFUNCTION("""COMPUTED_VALUE"""),3.95385885800475)</f>
        <v>3.9538588580047498</v>
      </c>
      <c r="D167" s="1">
        <f ca="1">IFERROR(__xludf.DUMMYFUNCTION("""COMPUTED_VALUE"""),4.78249418785694)</f>
        <v>4.7824941878569396</v>
      </c>
    </row>
    <row r="168" spans="1:4" ht="13" x14ac:dyDescent="0.15">
      <c r="A168" s="1">
        <f ca="1">IFERROR(__xludf.DUMMYFUNCTION("""COMPUTED_VALUE"""),6)</f>
        <v>6</v>
      </c>
      <c r="B168" s="1">
        <f ca="1">IFERROR(__xludf.DUMMYFUNCTION("""COMPUTED_VALUE"""),3.76298471216284)</f>
        <v>3.7629847121628401</v>
      </c>
      <c r="C168" s="1">
        <f ca="1">IFERROR(__xludf.DUMMYFUNCTION("""COMPUTED_VALUE"""),3.99115990721723)</f>
        <v>3.9911599072172299</v>
      </c>
      <c r="D168" s="1">
        <f ca="1">IFERROR(__xludf.DUMMYFUNCTION("""COMPUTED_VALUE"""),4.78367490017634)</f>
        <v>4.7836749001763401</v>
      </c>
    </row>
    <row r="169" spans="1:4" ht="13" x14ac:dyDescent="0.15">
      <c r="A169" s="1">
        <f ca="1">IFERROR(__xludf.DUMMYFUNCTION("""COMPUTED_VALUE"""),4)</f>
        <v>4</v>
      </c>
      <c r="B169" s="1">
        <f ca="1">IFERROR(__xludf.DUMMYFUNCTION("""COMPUTED_VALUE"""),1.8554343479074)</f>
        <v>1.8554343479074</v>
      </c>
      <c r="C169" s="1">
        <f ca="1">IFERROR(__xludf.DUMMYFUNCTION("""COMPUTED_VALUE"""),2.12011965856358)</f>
        <v>2.12011965856358</v>
      </c>
      <c r="D169" s="1">
        <f ca="1">IFERROR(__xludf.DUMMYFUNCTION("""COMPUTED_VALUE"""),2.86336331306482)</f>
        <v>2.8633633130648199</v>
      </c>
    </row>
    <row r="170" spans="1:4" ht="13" x14ac:dyDescent="0.15">
      <c r="A170" s="1">
        <f ca="1">IFERROR(__xludf.DUMMYFUNCTION("""COMPUTED_VALUE"""),4)</f>
        <v>4</v>
      </c>
      <c r="B170" s="1">
        <f ca="1">IFERROR(__xludf.DUMMYFUNCTION("""COMPUTED_VALUE"""),1.45851698504883)</f>
        <v>1.45851698504883</v>
      </c>
      <c r="C170" s="1">
        <f ca="1">IFERROR(__xludf.DUMMYFUNCTION("""COMPUTED_VALUE"""),1.70278368793627)</f>
        <v>1.7027836879362701</v>
      </c>
      <c r="D170" s="1">
        <f ca="1">IFERROR(__xludf.DUMMYFUNCTION("""COMPUTED_VALUE"""),2.68285147159331)</f>
        <v>2.6828514715933101</v>
      </c>
    </row>
    <row r="171" spans="1:4" ht="13" x14ac:dyDescent="0.15">
      <c r="A171" s="1">
        <f ca="1">IFERROR(__xludf.DUMMYFUNCTION("""COMPUTED_VALUE"""),4)</f>
        <v>4</v>
      </c>
      <c r="B171" s="1">
        <f ca="1">IFERROR(__xludf.DUMMYFUNCTION("""COMPUTED_VALUE"""),1.73487180613491)</f>
        <v>1.73487180613491</v>
      </c>
      <c r="C171" s="1">
        <f ca="1">IFERROR(__xludf.DUMMYFUNCTION("""COMPUTED_VALUE"""),2.36571069089724)</f>
        <v>2.3657106908972398</v>
      </c>
      <c r="D171" s="1">
        <f ca="1">IFERROR(__xludf.DUMMYFUNCTION("""COMPUTED_VALUE"""),3.00464117194523)</f>
        <v>3.0046411719452299</v>
      </c>
    </row>
    <row r="172" spans="1:4" ht="13" x14ac:dyDescent="0.15">
      <c r="A172" s="1">
        <f ca="1">IFERROR(__xludf.DUMMYFUNCTION("""COMPUTED_VALUE"""),4)</f>
        <v>4</v>
      </c>
      <c r="B172" s="1">
        <f ca="1">IFERROR(__xludf.DUMMYFUNCTION("""COMPUTED_VALUE"""),1.56225716755258)</f>
        <v>1.56225716755258</v>
      </c>
      <c r="C172" s="1">
        <f ca="1">IFERROR(__xludf.DUMMYFUNCTION("""COMPUTED_VALUE"""),2.12295927823937)</f>
        <v>2.12295927823937</v>
      </c>
      <c r="D172" s="1">
        <f ca="1">IFERROR(__xludf.DUMMYFUNCTION("""COMPUTED_VALUE"""),2.95895786611987)</f>
        <v>2.9589578661198699</v>
      </c>
    </row>
    <row r="173" spans="1:4" ht="13" x14ac:dyDescent="0.15">
      <c r="A173" s="1">
        <f ca="1">IFERROR(__xludf.DUMMYFUNCTION("""COMPUTED_VALUE"""),4)</f>
        <v>4</v>
      </c>
      <c r="B173" s="1">
        <f ca="1">IFERROR(__xludf.DUMMYFUNCTION("""COMPUTED_VALUE"""),1.75970560778533)</f>
        <v>1.7597056077853299</v>
      </c>
      <c r="C173" s="1">
        <f ca="1">IFERROR(__xludf.DUMMYFUNCTION("""COMPUTED_VALUE"""),1.84591622413446)</f>
        <v>1.84591622413446</v>
      </c>
      <c r="D173" s="1">
        <f ca="1">IFERROR(__xludf.DUMMYFUNCTION("""COMPUTED_VALUE"""),2.78232855210208)</f>
        <v>2.7823285521020802</v>
      </c>
    </row>
    <row r="174" spans="1:4" ht="13" x14ac:dyDescent="0.15">
      <c r="A174" s="1">
        <f ca="1">IFERROR(__xludf.DUMMYFUNCTION("""COMPUTED_VALUE"""),4)</f>
        <v>4</v>
      </c>
      <c r="B174" s="1">
        <f ca="1">IFERROR(__xludf.DUMMYFUNCTION("""COMPUTED_VALUE"""),2.01195931610817)</f>
        <v>2.0119593161081699</v>
      </c>
      <c r="C174" s="1">
        <f ca="1">IFERROR(__xludf.DUMMYFUNCTION("""COMPUTED_VALUE"""),2.25856784751562)</f>
        <v>2.2585678475156201</v>
      </c>
      <c r="D174" s="1">
        <f ca="1">IFERROR(__xludf.DUMMYFUNCTION("""COMPUTED_VALUE"""),3.01091787753542)</f>
        <v>3.01091787753542</v>
      </c>
    </row>
    <row r="175" spans="1:4" ht="13" x14ac:dyDescent="0.15">
      <c r="A175" s="1">
        <f ca="1">IFERROR(__xludf.DUMMYFUNCTION("""COMPUTED_VALUE"""),4)</f>
        <v>4</v>
      </c>
      <c r="B175" s="1">
        <f ca="1">IFERROR(__xludf.DUMMYFUNCTION("""COMPUTED_VALUE"""),2.18003694182552)</f>
        <v>2.1800369418255201</v>
      </c>
      <c r="C175" s="1">
        <f ca="1">IFERROR(__xludf.DUMMYFUNCTION("""COMPUTED_VALUE"""),2.55825724570178)</f>
        <v>2.55825724570178</v>
      </c>
      <c r="D175" s="1">
        <f ca="1">IFERROR(__xludf.DUMMYFUNCTION("""COMPUTED_VALUE"""),3.22973890849724)</f>
        <v>3.2297389084972399</v>
      </c>
    </row>
    <row r="176" spans="1:4" ht="13" x14ac:dyDescent="0.15">
      <c r="A176" s="1">
        <f ca="1">IFERROR(__xludf.DUMMYFUNCTION("""COMPUTED_VALUE"""),4)</f>
        <v>4</v>
      </c>
      <c r="B176" s="1">
        <f ca="1">IFERROR(__xludf.DUMMYFUNCTION("""COMPUTED_VALUE"""),2.06312686045854)</f>
        <v>2.06312686045854</v>
      </c>
      <c r="C176" s="1">
        <f ca="1">IFERROR(__xludf.DUMMYFUNCTION("""COMPUTED_VALUE"""),2.34476941549575)</f>
        <v>2.3447694154957501</v>
      </c>
      <c r="D176" s="1">
        <f ca="1">IFERROR(__xludf.DUMMYFUNCTION("""COMPUTED_VALUE"""),3.06488421226189)</f>
        <v>3.06488421226189</v>
      </c>
    </row>
    <row r="177" spans="1:4" ht="13" x14ac:dyDescent="0.15">
      <c r="A177" s="1">
        <f ca="1">IFERROR(__xludf.DUMMYFUNCTION("""COMPUTED_VALUE"""),4)</f>
        <v>4</v>
      </c>
      <c r="B177" s="1">
        <f ca="1">IFERROR(__xludf.DUMMYFUNCTION("""COMPUTED_VALUE"""),1.83147303556694)</f>
        <v>1.83147303556694</v>
      </c>
      <c r="C177" s="1">
        <f ca="1">IFERROR(__xludf.DUMMYFUNCTION("""COMPUTED_VALUE"""),2.02931477214544)</f>
        <v>2.0293147721454399</v>
      </c>
      <c r="D177" s="1">
        <f ca="1">IFERROR(__xludf.DUMMYFUNCTION("""COMPUTED_VALUE"""),2.93053490481007)</f>
        <v>2.9305349048100702</v>
      </c>
    </row>
    <row r="178" spans="1:4" ht="13" x14ac:dyDescent="0.15">
      <c r="A178" s="1">
        <f ca="1">IFERROR(__xludf.DUMMYFUNCTION("""COMPUTED_VALUE"""),4)</f>
        <v>4</v>
      </c>
      <c r="B178" s="1">
        <f ca="1">IFERROR(__xludf.DUMMYFUNCTION("""COMPUTED_VALUE"""),1.46161856395401)</f>
        <v>1.46161856395401</v>
      </c>
      <c r="C178" s="1">
        <f ca="1">IFERROR(__xludf.DUMMYFUNCTION("""COMPUTED_VALUE"""),1.91798837393814)</f>
        <v>1.91798837393814</v>
      </c>
      <c r="D178" s="1">
        <f ca="1">IFERROR(__xludf.DUMMYFUNCTION("""COMPUTED_VALUE"""),2.91931035164475)</f>
        <v>2.9193103516447501</v>
      </c>
    </row>
    <row r="179" spans="1:4" ht="13" x14ac:dyDescent="0.15">
      <c r="A179" s="1">
        <f ca="1">IFERROR(__xludf.DUMMYFUNCTION("""COMPUTED_VALUE"""),4)</f>
        <v>4</v>
      </c>
      <c r="B179" s="1">
        <f ca="1">IFERROR(__xludf.DUMMYFUNCTION("""COMPUTED_VALUE"""),1.63767981682722)</f>
        <v>1.63767981682722</v>
      </c>
      <c r="C179" s="1">
        <f ca="1">IFERROR(__xludf.DUMMYFUNCTION("""COMPUTED_VALUE"""),1.91177530618711)</f>
        <v>1.9117753061871099</v>
      </c>
      <c r="D179" s="1">
        <f ca="1">IFERROR(__xludf.DUMMYFUNCTION("""COMPUTED_VALUE"""),2.81460447642421)</f>
        <v>2.81460447642421</v>
      </c>
    </row>
    <row r="180" spans="1:4" ht="13" x14ac:dyDescent="0.15">
      <c r="A180" s="1">
        <f ca="1">IFERROR(__xludf.DUMMYFUNCTION("""COMPUTED_VALUE"""),4)</f>
        <v>4</v>
      </c>
      <c r="B180" s="1">
        <f ca="1">IFERROR(__xludf.DUMMYFUNCTION("""COMPUTED_VALUE"""),1.18839407126142)</f>
        <v>1.18839407126142</v>
      </c>
      <c r="C180" s="1">
        <f ca="1">IFERROR(__xludf.DUMMYFUNCTION("""COMPUTED_VALUE"""),1.97108557123028)</f>
        <v>1.9710855712302799</v>
      </c>
      <c r="D180" s="1">
        <f ca="1">IFERROR(__xludf.DUMMYFUNCTION("""COMPUTED_VALUE"""),2.89581135834697)</f>
        <v>2.89581135834697</v>
      </c>
    </row>
    <row r="181" spans="1:4" ht="13" x14ac:dyDescent="0.15">
      <c r="A181" s="1">
        <f ca="1">IFERROR(__xludf.DUMMYFUNCTION("""COMPUTED_VALUE"""),4)</f>
        <v>4</v>
      </c>
      <c r="B181" s="1">
        <f ca="1">IFERROR(__xludf.DUMMYFUNCTION("""COMPUTED_VALUE"""),1.9903388547876)</f>
        <v>1.9903388547876</v>
      </c>
      <c r="C181" s="1">
        <f ca="1">IFERROR(__xludf.DUMMYFUNCTION("""COMPUTED_VALUE"""),2.21058869912402)</f>
        <v>2.21058869912402</v>
      </c>
      <c r="D181" s="1">
        <f ca="1">IFERROR(__xludf.DUMMYFUNCTION("""COMPUTED_VALUE"""),3.1869667832564)</f>
        <v>3.1869667832564001</v>
      </c>
    </row>
    <row r="182" spans="1:4" ht="13" x14ac:dyDescent="0.15">
      <c r="A182" s="1">
        <f ca="1">IFERROR(__xludf.DUMMYFUNCTION("""COMPUTED_VALUE"""),4)</f>
        <v>4</v>
      </c>
      <c r="B182" s="1">
        <f ca="1">IFERROR(__xludf.DUMMYFUNCTION("""COMPUTED_VALUE"""),1.86270369806298)</f>
        <v>1.8627036980629801</v>
      </c>
      <c r="C182" s="1">
        <f ca="1">IFERROR(__xludf.DUMMYFUNCTION("""COMPUTED_VALUE"""),2.04391216710125)</f>
        <v>2.0439121671012499</v>
      </c>
      <c r="D182" s="1">
        <f ca="1">IFERROR(__xludf.DUMMYFUNCTION("""COMPUTED_VALUE"""),2.87500393273618)</f>
        <v>2.8750039327361798</v>
      </c>
    </row>
    <row r="183" spans="1:4" ht="13" x14ac:dyDescent="0.15">
      <c r="A183" s="1">
        <f ca="1">IFERROR(__xludf.DUMMYFUNCTION("""COMPUTED_VALUE"""),4)</f>
        <v>4</v>
      </c>
      <c r="B183" s="1">
        <f ca="1">IFERROR(__xludf.DUMMYFUNCTION("""COMPUTED_VALUE"""),1.99235023988783)</f>
        <v>1.9923502398878301</v>
      </c>
      <c r="C183" s="1">
        <f ca="1">IFERROR(__xludf.DUMMYFUNCTION("""COMPUTED_VALUE"""),2.24076883594561)</f>
        <v>2.2407688359456102</v>
      </c>
      <c r="D183" s="1">
        <f ca="1">IFERROR(__xludf.DUMMYFUNCTION("""COMPUTED_VALUE"""),3.04530811079313)</f>
        <v>3.0453081107931301</v>
      </c>
    </row>
    <row r="184" spans="1:4" ht="13" x14ac:dyDescent="0.15">
      <c r="A184" s="1">
        <f ca="1">IFERROR(__xludf.DUMMYFUNCTION("""COMPUTED_VALUE"""),4)</f>
        <v>4</v>
      </c>
      <c r="B184" s="1">
        <f ca="1">IFERROR(__xludf.DUMMYFUNCTION("""COMPUTED_VALUE"""),1.9928229354009)</f>
        <v>1.9928229354008999</v>
      </c>
      <c r="C184" s="1">
        <f ca="1">IFERROR(__xludf.DUMMYFUNCTION("""COMPUTED_VALUE"""),2.10260176502118)</f>
        <v>2.1026017650211801</v>
      </c>
      <c r="D184" s="1">
        <f ca="1">IFERROR(__xludf.DUMMYFUNCTION("""COMPUTED_VALUE"""),3.00274473536897)</f>
        <v>3.00274473536897</v>
      </c>
    </row>
    <row r="185" spans="1:4" ht="13" x14ac:dyDescent="0.15">
      <c r="A185" s="1">
        <f ca="1">IFERROR(__xludf.DUMMYFUNCTION("""COMPUTED_VALUE"""),5)</f>
        <v>5</v>
      </c>
      <c r="B185" s="1">
        <f ca="1">IFERROR(__xludf.DUMMYFUNCTION("""COMPUTED_VALUE"""),2.65657346077739)</f>
        <v>2.6565734607773899</v>
      </c>
      <c r="C185" s="1">
        <f ca="1">IFERROR(__xludf.DUMMYFUNCTION("""COMPUTED_VALUE"""),3.03111627769562)</f>
        <v>3.0311162776956202</v>
      </c>
      <c r="D185" s="1">
        <f ca="1">IFERROR(__xludf.DUMMYFUNCTION("""COMPUTED_VALUE"""),3.77291911080537)</f>
        <v>3.7729191108053701</v>
      </c>
    </row>
    <row r="186" spans="1:4" ht="13" x14ac:dyDescent="0.15">
      <c r="A186" s="1">
        <f ca="1">IFERROR(__xludf.DUMMYFUNCTION("""COMPUTED_VALUE"""),5)</f>
        <v>5</v>
      </c>
      <c r="B186" s="1">
        <f ca="1">IFERROR(__xludf.DUMMYFUNCTION("""COMPUTED_VALUE"""),2.36773413302979)</f>
        <v>2.3677341330297899</v>
      </c>
      <c r="C186" s="1">
        <f ca="1">IFERROR(__xludf.DUMMYFUNCTION("""COMPUTED_VALUE"""),2.56809842012115)</f>
        <v>2.5680984201211499</v>
      </c>
      <c r="D186" s="1">
        <f ca="1">IFERROR(__xludf.DUMMYFUNCTION("""COMPUTED_VALUE"""),3.62411587676005)</f>
        <v>3.6241158767600501</v>
      </c>
    </row>
    <row r="187" spans="1:4" ht="13" x14ac:dyDescent="0.15">
      <c r="A187" s="1">
        <f ca="1">IFERROR(__xludf.DUMMYFUNCTION("""COMPUTED_VALUE"""),5)</f>
        <v>5</v>
      </c>
      <c r="B187" s="1">
        <f ca="1">IFERROR(__xludf.DUMMYFUNCTION("""COMPUTED_VALUE"""),2.62483673067236)</f>
        <v>2.6248367306723601</v>
      </c>
      <c r="C187" s="1">
        <f ca="1">IFERROR(__xludf.DUMMYFUNCTION("""COMPUTED_VALUE"""),3.46640699436796)</f>
        <v>3.4664069943679601</v>
      </c>
      <c r="D187" s="1">
        <f ca="1">IFERROR(__xludf.DUMMYFUNCTION("""COMPUTED_VALUE"""),4.1468703856537)</f>
        <v>4.1468703856536999</v>
      </c>
    </row>
    <row r="188" spans="1:4" ht="13" x14ac:dyDescent="0.15">
      <c r="A188" s="1">
        <f ca="1">IFERROR(__xludf.DUMMYFUNCTION("""COMPUTED_VALUE"""),5)</f>
        <v>5</v>
      </c>
      <c r="B188" s="1">
        <f ca="1">IFERROR(__xludf.DUMMYFUNCTION("""COMPUTED_VALUE"""),2.36778627436386)</f>
        <v>2.3677862743638598</v>
      </c>
      <c r="C188" s="1">
        <f ca="1">IFERROR(__xludf.DUMMYFUNCTION("""COMPUTED_VALUE"""),2.93361583618619)</f>
        <v>2.9336158361861902</v>
      </c>
      <c r="D188" s="1">
        <f ca="1">IFERROR(__xludf.DUMMYFUNCTION("""COMPUTED_VALUE"""),3.8230734630825)</f>
        <v>3.8230734630824998</v>
      </c>
    </row>
    <row r="189" spans="1:4" ht="13" x14ac:dyDescent="0.15">
      <c r="A189" s="1">
        <f ca="1">IFERROR(__xludf.DUMMYFUNCTION("""COMPUTED_VALUE"""),5)</f>
        <v>5</v>
      </c>
      <c r="B189" s="1">
        <f ca="1">IFERROR(__xludf.DUMMYFUNCTION("""COMPUTED_VALUE"""),2.61160224083842)</f>
        <v>2.6116022408384199</v>
      </c>
      <c r="C189" s="1">
        <f ca="1">IFERROR(__xludf.DUMMYFUNCTION("""COMPUTED_VALUE"""),2.74346743071207)</f>
        <v>2.7434674307120699</v>
      </c>
      <c r="D189" s="1">
        <f ca="1">IFERROR(__xludf.DUMMYFUNCTION("""COMPUTED_VALUE"""),3.71646470341546)</f>
        <v>3.7164647034154599</v>
      </c>
    </row>
    <row r="190" spans="1:4" ht="13" x14ac:dyDescent="0.15">
      <c r="A190" s="1">
        <f ca="1">IFERROR(__xludf.DUMMYFUNCTION("""COMPUTED_VALUE"""),5)</f>
        <v>5</v>
      </c>
      <c r="B190" s="1">
        <f ca="1">IFERROR(__xludf.DUMMYFUNCTION("""COMPUTED_VALUE"""),2.91181148879172)</f>
        <v>2.9118114887917201</v>
      </c>
      <c r="C190" s="1">
        <f ca="1">IFERROR(__xludf.DUMMYFUNCTION("""COMPUTED_VALUE"""),3.25340900860819)</f>
        <v>3.2534090086081902</v>
      </c>
      <c r="D190" s="1">
        <f ca="1">IFERROR(__xludf.DUMMYFUNCTION("""COMPUTED_VALUE"""),4.02512125087662)</f>
        <v>4.0251212508766203</v>
      </c>
    </row>
    <row r="191" spans="1:4" ht="13" x14ac:dyDescent="0.15">
      <c r="A191" s="1">
        <f ca="1">IFERROR(__xludf.DUMMYFUNCTION("""COMPUTED_VALUE"""),5)</f>
        <v>5</v>
      </c>
      <c r="B191" s="1">
        <f ca="1">IFERROR(__xludf.DUMMYFUNCTION("""COMPUTED_VALUE"""),2.89059593102859)</f>
        <v>2.89059593102859</v>
      </c>
      <c r="C191" s="1">
        <f ca="1">IFERROR(__xludf.DUMMYFUNCTION("""COMPUTED_VALUE"""),3.23092765868403)</f>
        <v>3.2309276586840299</v>
      </c>
      <c r="D191" s="1">
        <f ca="1">IFERROR(__xludf.DUMMYFUNCTION("""COMPUTED_VALUE"""),4.06148603005584)</f>
        <v>4.06148603005584</v>
      </c>
    </row>
    <row r="192" spans="1:4" ht="13" x14ac:dyDescent="0.15">
      <c r="A192" s="1">
        <f ca="1">IFERROR(__xludf.DUMMYFUNCTION("""COMPUTED_VALUE"""),5)</f>
        <v>5</v>
      </c>
      <c r="B192" s="1">
        <f ca="1">IFERROR(__xludf.DUMMYFUNCTION("""COMPUTED_VALUE"""),3.01144906099209)</f>
        <v>3.0114490609920899</v>
      </c>
      <c r="C192" s="1">
        <f ca="1">IFERROR(__xludf.DUMMYFUNCTION("""COMPUTED_VALUE"""),3.34054742101129)</f>
        <v>3.3405474210112902</v>
      </c>
      <c r="D192" s="1">
        <f ca="1">IFERROR(__xludf.DUMMYFUNCTION("""COMPUTED_VALUE"""),4.05747070350027)</f>
        <v>4.0574707035002699</v>
      </c>
    </row>
    <row r="193" spans="1:4" ht="13" x14ac:dyDescent="0.15">
      <c r="A193" s="1">
        <f ca="1">IFERROR(__xludf.DUMMYFUNCTION("""COMPUTED_VALUE"""),5)</f>
        <v>5</v>
      </c>
      <c r="B193" s="1">
        <f ca="1">IFERROR(__xludf.DUMMYFUNCTION("""COMPUTED_VALUE"""),2.81365436546127)</f>
        <v>2.8136543654612698</v>
      </c>
      <c r="C193" s="1">
        <f ca="1">IFERROR(__xludf.DUMMYFUNCTION("""COMPUTED_VALUE"""),3.09053032771031)</f>
        <v>3.0905303277103102</v>
      </c>
      <c r="D193" s="1">
        <f ca="1">IFERROR(__xludf.DUMMYFUNCTION("""COMPUTED_VALUE"""),3.99907261698828)</f>
        <v>3.99907261698828</v>
      </c>
    </row>
    <row r="194" spans="1:4" ht="13" x14ac:dyDescent="0.15">
      <c r="A194" s="1">
        <f ca="1">IFERROR(__xludf.DUMMYFUNCTION("""COMPUTED_VALUE"""),5)</f>
        <v>5</v>
      </c>
      <c r="B194" s="1">
        <f ca="1">IFERROR(__xludf.DUMMYFUNCTION("""COMPUTED_VALUE"""),2.40493971257323)</f>
        <v>2.4049397125732299</v>
      </c>
      <c r="C194" s="1">
        <f ca="1">IFERROR(__xludf.DUMMYFUNCTION("""COMPUTED_VALUE"""),2.71463818373373)</f>
        <v>2.7146381837337299</v>
      </c>
      <c r="D194" s="1">
        <f ca="1">IFERROR(__xludf.DUMMYFUNCTION("""COMPUTED_VALUE"""),3.64713308109532)</f>
        <v>3.64713308109532</v>
      </c>
    </row>
    <row r="195" spans="1:4" ht="13" x14ac:dyDescent="0.15">
      <c r="A195" s="1">
        <f ca="1">IFERROR(__xludf.DUMMYFUNCTION("""COMPUTED_VALUE"""),5)</f>
        <v>5</v>
      </c>
      <c r="B195" s="1">
        <f ca="1">IFERROR(__xludf.DUMMYFUNCTION("""COMPUTED_VALUE"""),2.19628674880887)</f>
        <v>2.1962867488088702</v>
      </c>
      <c r="C195" s="1">
        <f ca="1">IFERROR(__xludf.DUMMYFUNCTION("""COMPUTED_VALUE"""),2.96101461310743)</f>
        <v>2.9610146131074302</v>
      </c>
      <c r="D195" s="1">
        <f ca="1">IFERROR(__xludf.DUMMYFUNCTION("""COMPUTED_VALUE"""),3.90062686286647)</f>
        <v>3.9006268628664702</v>
      </c>
    </row>
    <row r="196" spans="1:4" ht="13" x14ac:dyDescent="0.15">
      <c r="A196" s="1">
        <f ca="1">IFERROR(__xludf.DUMMYFUNCTION("""COMPUTED_VALUE"""),5)</f>
        <v>5</v>
      </c>
      <c r="B196" s="1">
        <f ca="1">IFERROR(__xludf.DUMMYFUNCTION("""COMPUTED_VALUE"""),3.12390453677279)</f>
        <v>3.1239045367727898</v>
      </c>
      <c r="C196" s="1">
        <f ca="1">IFERROR(__xludf.DUMMYFUNCTION("""COMPUTED_VALUE"""),3.28280150265177)</f>
        <v>3.2828015026517701</v>
      </c>
      <c r="D196" s="1">
        <f ca="1">IFERROR(__xludf.DUMMYFUNCTION("""COMPUTED_VALUE"""),4.05627237825819)</f>
        <v>4.05627237825819</v>
      </c>
    </row>
    <row r="197" spans="1:4" ht="13" x14ac:dyDescent="0.15">
      <c r="A197" s="1">
        <f ca="1">IFERROR(__xludf.DUMMYFUNCTION("""COMPUTED_VALUE"""),5)</f>
        <v>5</v>
      </c>
      <c r="B197" s="1">
        <f ca="1">IFERROR(__xludf.DUMMYFUNCTION("""COMPUTED_VALUE"""),2.84328137648292)</f>
        <v>2.8432813764829201</v>
      </c>
      <c r="C197" s="1">
        <f ca="1">IFERROR(__xludf.DUMMYFUNCTION("""COMPUTED_VALUE"""),2.96897953478535)</f>
        <v>2.9689795347853498</v>
      </c>
      <c r="D197" s="1">
        <f ca="1">IFERROR(__xludf.DUMMYFUNCTION("""COMPUTED_VALUE"""),3.86341607469883)</f>
        <v>3.8634160746988302</v>
      </c>
    </row>
    <row r="198" spans="1:4" ht="13" x14ac:dyDescent="0.15">
      <c r="A198" s="1">
        <f ca="1">IFERROR(__xludf.DUMMYFUNCTION("""COMPUTED_VALUE"""),6)</f>
        <v>6</v>
      </c>
      <c r="B198" s="1">
        <f ca="1">IFERROR(__xludf.DUMMYFUNCTION("""COMPUTED_VALUE"""),3.57825608267035)</f>
        <v>3.5782560826703498</v>
      </c>
      <c r="C198" s="1">
        <f ca="1">IFERROR(__xludf.DUMMYFUNCTION("""COMPUTED_VALUE"""),3.95113582136305)</f>
        <v>3.9511358213630499</v>
      </c>
      <c r="D198" s="1">
        <f ca="1">IFERROR(__xludf.DUMMYFUNCTION("""COMPUTED_VALUE"""),4.64317979461708)</f>
        <v>4.6431797946170796</v>
      </c>
    </row>
    <row r="199" spans="1:4" ht="13" x14ac:dyDescent="0.15">
      <c r="A199" s="1">
        <f ca="1">IFERROR(__xludf.DUMMYFUNCTION("""COMPUTED_VALUE"""),6)</f>
        <v>6</v>
      </c>
      <c r="B199" s="1">
        <f ca="1">IFERROR(__xludf.DUMMYFUNCTION("""COMPUTED_VALUE"""),3.32856999880867)</f>
        <v>3.3285699988086699</v>
      </c>
      <c r="C199" s="1">
        <f ca="1">IFERROR(__xludf.DUMMYFUNCTION("""COMPUTED_VALUE"""),3.50316779320205)</f>
        <v>3.5031677932020502</v>
      </c>
      <c r="D199" s="1">
        <f ca="1">IFERROR(__xludf.DUMMYFUNCTION("""COMPUTED_VALUE"""),4.47192136286885)</f>
        <v>4.4719213628688497</v>
      </c>
    </row>
    <row r="200" spans="1:4" ht="13" x14ac:dyDescent="0.15">
      <c r="A200" s="1">
        <f ca="1">IFERROR(__xludf.DUMMYFUNCTION("""COMPUTED_VALUE"""),6)</f>
        <v>6</v>
      </c>
      <c r="B200" s="1">
        <f ca="1">IFERROR(__xludf.DUMMYFUNCTION("""COMPUTED_VALUE"""),3.09840072978051)</f>
        <v>3.0984007297805101</v>
      </c>
      <c r="C200" s="1">
        <f ca="1">IFERROR(__xludf.DUMMYFUNCTION("""COMPUTED_VALUE"""),3.72074111628619)</f>
        <v>3.7207411162861899</v>
      </c>
      <c r="D200" s="1">
        <f ca="1">IFERROR(__xludf.DUMMYFUNCTION("""COMPUTED_VALUE"""),4.58929279552179)</f>
        <v>4.5892927955217901</v>
      </c>
    </row>
    <row r="201" spans="1:4" ht="13" x14ac:dyDescent="0.15">
      <c r="A201" s="1">
        <f ca="1">IFERROR(__xludf.DUMMYFUNCTION("""COMPUTED_VALUE"""),6)</f>
        <v>6</v>
      </c>
      <c r="B201" s="1">
        <f ca="1">IFERROR(__xludf.DUMMYFUNCTION("""COMPUTED_VALUE"""),3.47320279742863)</f>
        <v>3.4732027974286299</v>
      </c>
      <c r="C201" s="1">
        <f ca="1">IFERROR(__xludf.DUMMYFUNCTION("""COMPUTED_VALUE"""),3.63254383875456)</f>
        <v>3.6325438387545601</v>
      </c>
      <c r="D201" s="1">
        <f ca="1">IFERROR(__xludf.DUMMYFUNCTION("""COMPUTED_VALUE"""),4.52493730909055)</f>
        <v>4.52493730909055</v>
      </c>
    </row>
    <row r="202" spans="1:4" ht="13" x14ac:dyDescent="0.15">
      <c r="A202" s="1">
        <f ca="1">IFERROR(__xludf.DUMMYFUNCTION("""COMPUTED_VALUE"""),5)</f>
        <v>5</v>
      </c>
      <c r="B202" s="1">
        <f ca="1">IFERROR(__xludf.DUMMYFUNCTION("""COMPUTED_VALUE"""),2.83761873679361)</f>
        <v>2.8376187367936101</v>
      </c>
      <c r="C202" s="1">
        <f ca="1">IFERROR(__xludf.DUMMYFUNCTION("""COMPUTED_VALUE"""),3.04766380544862)</f>
        <v>3.0476638054486198</v>
      </c>
      <c r="D202" s="1">
        <f ca="1">IFERROR(__xludf.DUMMYFUNCTION("""COMPUTED_VALUE"""),3.7592089117881)</f>
        <v>3.7592089117880998</v>
      </c>
    </row>
    <row r="203" spans="1:4" ht="13" x14ac:dyDescent="0.15">
      <c r="A203" s="1">
        <f ca="1">IFERROR(__xludf.DUMMYFUNCTION("""COMPUTED_VALUE"""),5)</f>
        <v>5</v>
      </c>
      <c r="B203" s="1">
        <f ca="1">IFERROR(__xludf.DUMMYFUNCTION("""COMPUTED_VALUE"""),2.82450526883975)</f>
        <v>2.8245052688397498</v>
      </c>
      <c r="C203" s="1">
        <f ca="1">IFERROR(__xludf.DUMMYFUNCTION("""COMPUTED_VALUE"""),3.09775727627345)</f>
        <v>3.09775727627345</v>
      </c>
      <c r="D203" s="1">
        <f ca="1">IFERROR(__xludf.DUMMYFUNCTION("""COMPUTED_VALUE"""),3.99440167126358)</f>
        <v>3.9944016712635801</v>
      </c>
    </row>
    <row r="204" spans="1:4" ht="13" x14ac:dyDescent="0.15">
      <c r="A204" s="1">
        <f ca="1">IFERROR(__xludf.DUMMYFUNCTION("""COMPUTED_VALUE"""),5)</f>
        <v>5</v>
      </c>
      <c r="B204" s="1">
        <f ca="1">IFERROR(__xludf.DUMMYFUNCTION("""COMPUTED_VALUE"""),2.83841835920079)</f>
        <v>2.8384183592007899</v>
      </c>
      <c r="C204" s="1">
        <f ca="1">IFERROR(__xludf.DUMMYFUNCTION("""COMPUTED_VALUE"""),3.0685606038053)</f>
        <v>3.0685606038053002</v>
      </c>
      <c r="D204" s="1">
        <f ca="1">IFERROR(__xludf.DUMMYFUNCTION("""COMPUTED_VALUE"""),3.89563814790335)</f>
        <v>3.8956381479033499</v>
      </c>
    </row>
    <row r="205" spans="1:4" ht="13" x14ac:dyDescent="0.15">
      <c r="A205" s="1">
        <f ca="1">IFERROR(__xludf.DUMMYFUNCTION("""COMPUTED_VALUE"""),5)</f>
        <v>5</v>
      </c>
      <c r="B205" s="1">
        <f ca="1">IFERROR(__xludf.DUMMYFUNCTION("""COMPUTED_VALUE"""),2.49677609644866)</f>
        <v>2.4967760964486598</v>
      </c>
      <c r="C205" s="1">
        <f ca="1">IFERROR(__xludf.DUMMYFUNCTION("""COMPUTED_VALUE"""),3.11766099123132)</f>
        <v>3.11766099123132</v>
      </c>
      <c r="D205" s="1">
        <f ca="1">IFERROR(__xludf.DUMMYFUNCTION("""COMPUTED_VALUE"""),3.9075212104849)</f>
        <v>3.9075212104849002</v>
      </c>
    </row>
    <row r="206" spans="1:4" ht="13" x14ac:dyDescent="0.15">
      <c r="A206" s="1">
        <f ca="1">IFERROR(__xludf.DUMMYFUNCTION("""COMPUTED_VALUE"""),6)</f>
        <v>6</v>
      </c>
      <c r="B206" s="1">
        <f ca="1">IFERROR(__xludf.DUMMYFUNCTION("""COMPUTED_VALUE"""),3.74186047275604)</f>
        <v>3.7418604727560401</v>
      </c>
      <c r="C206" s="1">
        <f ca="1">IFERROR(__xludf.DUMMYFUNCTION("""COMPUTED_VALUE"""),4.00888590312513)</f>
        <v>4.0088859031251296</v>
      </c>
      <c r="D206" s="1">
        <f ca="1">IFERROR(__xludf.DUMMYFUNCTION("""COMPUTED_VALUE"""),4.78377555067624)</f>
        <v>4.7837755506762401</v>
      </c>
    </row>
    <row r="207" spans="1:4" ht="13" x14ac:dyDescent="0.15">
      <c r="A207" s="1">
        <f ca="1">IFERROR(__xludf.DUMMYFUNCTION("""COMPUTED_VALUE"""),5)</f>
        <v>5</v>
      </c>
      <c r="B207" s="1">
        <f ca="1">IFERROR(__xludf.DUMMYFUNCTION("""COMPUTED_VALUE"""),2.6418437975016)</f>
        <v>2.6418437975016</v>
      </c>
      <c r="C207" s="1">
        <f ca="1">IFERROR(__xludf.DUMMYFUNCTION("""COMPUTED_VALUE"""),3.02265185366472)</f>
        <v>3.02265185366472</v>
      </c>
      <c r="D207" s="1">
        <f ca="1">IFERROR(__xludf.DUMMYFUNCTION("""COMPUTED_VALUE"""),3.74286199495958)</f>
        <v>3.7428619949595801</v>
      </c>
    </row>
    <row r="208" spans="1:4" ht="13" x14ac:dyDescent="0.15">
      <c r="A208" s="1">
        <f ca="1">IFERROR(__xludf.DUMMYFUNCTION("""COMPUTED_VALUE"""),5)</f>
        <v>5</v>
      </c>
      <c r="B208" s="1">
        <f ca="1">IFERROR(__xludf.DUMMYFUNCTION("""COMPUTED_VALUE"""),2.35743168834699)</f>
        <v>2.3574316883469901</v>
      </c>
      <c r="C208" s="1">
        <f ca="1">IFERROR(__xludf.DUMMYFUNCTION("""COMPUTED_VALUE"""),2.5900377909933)</f>
        <v>2.5900377909932999</v>
      </c>
      <c r="D208" s="1">
        <f ca="1">IFERROR(__xludf.DUMMYFUNCTION("""COMPUTED_VALUE"""),3.60621116142499)</f>
        <v>3.6062111614249899</v>
      </c>
    </row>
    <row r="209" spans="1:4" ht="13" x14ac:dyDescent="0.15">
      <c r="A209" s="1">
        <f ca="1">IFERROR(__xludf.DUMMYFUNCTION("""COMPUTED_VALUE"""),5)</f>
        <v>5</v>
      </c>
      <c r="B209" s="1">
        <f ca="1">IFERROR(__xludf.DUMMYFUNCTION("""COMPUTED_VALUE"""),2.39964949720885)</f>
        <v>2.3996494972088498</v>
      </c>
      <c r="C209" s="1">
        <f ca="1">IFERROR(__xludf.DUMMYFUNCTION("""COMPUTED_VALUE"""),3.42288993441026)</f>
        <v>3.4228899344102599</v>
      </c>
      <c r="D209" s="1">
        <f ca="1">IFERROR(__xludf.DUMMYFUNCTION("""COMPUTED_VALUE"""),4.11804762382275)</f>
        <v>4.1180476238227497</v>
      </c>
    </row>
    <row r="210" spans="1:4" ht="13" x14ac:dyDescent="0.15">
      <c r="A210" s="1">
        <f ca="1">IFERROR(__xludf.DUMMYFUNCTION("""COMPUTED_VALUE"""),5)</f>
        <v>5</v>
      </c>
      <c r="B210" s="1">
        <f ca="1">IFERROR(__xludf.DUMMYFUNCTION("""COMPUTED_VALUE"""),2.50361910965732)</f>
        <v>2.5036191096573202</v>
      </c>
      <c r="C210" s="1">
        <f ca="1">IFERROR(__xludf.DUMMYFUNCTION("""COMPUTED_VALUE"""),2.93850221294915)</f>
        <v>2.93850221294915</v>
      </c>
      <c r="D210" s="1">
        <f ca="1">IFERROR(__xludf.DUMMYFUNCTION("""COMPUTED_VALUE"""),3.81678929234193)</f>
        <v>3.8167892923419302</v>
      </c>
    </row>
    <row r="211" spans="1:4" ht="13" x14ac:dyDescent="0.15">
      <c r="A211" s="1">
        <f ca="1">IFERROR(__xludf.DUMMYFUNCTION("""COMPUTED_VALUE"""),5)</f>
        <v>5</v>
      </c>
      <c r="B211" s="1">
        <f ca="1">IFERROR(__xludf.DUMMYFUNCTION("""COMPUTED_VALUE"""),1.998468586552)</f>
        <v>1.998468586552</v>
      </c>
      <c r="C211" s="1">
        <f ca="1">IFERROR(__xludf.DUMMYFUNCTION("""COMPUTED_VALUE"""),2.81482671281675)</f>
        <v>2.8148267128167501</v>
      </c>
      <c r="D211" s="1">
        <f ca="1">IFERROR(__xludf.DUMMYFUNCTION("""COMPUTED_VALUE"""),3.74192428628843)</f>
        <v>3.7419242862884299</v>
      </c>
    </row>
    <row r="212" spans="1:4" ht="13" x14ac:dyDescent="0.15">
      <c r="A212" s="1">
        <f ca="1">IFERROR(__xludf.DUMMYFUNCTION("""COMPUTED_VALUE"""),5)</f>
        <v>5</v>
      </c>
      <c r="B212" s="1">
        <f ca="1">IFERROR(__xludf.DUMMYFUNCTION("""COMPUTED_VALUE"""),2.66545997202388)</f>
        <v>2.6654599720238799</v>
      </c>
      <c r="C212" s="1">
        <f ca="1">IFERROR(__xludf.DUMMYFUNCTION("""COMPUTED_VALUE"""),2.76605053607183)</f>
        <v>2.7660505360718299</v>
      </c>
      <c r="D212" s="1">
        <f ca="1">IFERROR(__xludf.DUMMYFUNCTION("""COMPUTED_VALUE"""),3.71801439127572)</f>
        <v>3.71801439127572</v>
      </c>
    </row>
    <row r="213" spans="1:4" ht="13" x14ac:dyDescent="0.15">
      <c r="A213" s="1">
        <f ca="1">IFERROR(__xludf.DUMMYFUNCTION("""COMPUTED_VALUE"""),5)</f>
        <v>5</v>
      </c>
      <c r="B213" s="1">
        <f ca="1">IFERROR(__xludf.DUMMYFUNCTION("""COMPUTED_VALUE"""),2.82255837653585)</f>
        <v>2.82255837653585</v>
      </c>
      <c r="C213" s="1">
        <f ca="1">IFERROR(__xludf.DUMMYFUNCTION("""COMPUTED_VALUE"""),3.11286261990811)</f>
        <v>3.11286261990811</v>
      </c>
      <c r="D213" s="1">
        <f ca="1">IFERROR(__xludf.DUMMYFUNCTION("""COMPUTED_VALUE"""),3.93900403361307)</f>
        <v>3.9390040336130698</v>
      </c>
    </row>
    <row r="214" spans="1:4" ht="13" x14ac:dyDescent="0.15">
      <c r="A214" s="1">
        <f ca="1">IFERROR(__xludf.DUMMYFUNCTION("""COMPUTED_VALUE"""),5)</f>
        <v>5</v>
      </c>
      <c r="B214" s="1">
        <f ca="1">IFERROR(__xludf.DUMMYFUNCTION("""COMPUTED_VALUE"""),2.73712264088317)</f>
        <v>2.7371226408831699</v>
      </c>
      <c r="C214" s="1">
        <f ca="1">IFERROR(__xludf.DUMMYFUNCTION("""COMPUTED_VALUE"""),3.11161229579412)</f>
        <v>3.1116122957941199</v>
      </c>
      <c r="D214" s="1">
        <f ca="1">IFERROR(__xludf.DUMMYFUNCTION("""COMPUTED_VALUE"""),3.90877948863995)</f>
        <v>3.9087794886399498</v>
      </c>
    </row>
    <row r="215" spans="1:4" ht="13" x14ac:dyDescent="0.15">
      <c r="A215" s="1">
        <f ca="1">IFERROR(__xludf.DUMMYFUNCTION("""COMPUTED_VALUE"""),5)</f>
        <v>5</v>
      </c>
      <c r="B215" s="1">
        <f ca="1">IFERROR(__xludf.DUMMYFUNCTION("""COMPUTED_VALUE"""),2.49411004871024)</f>
        <v>2.4941100487102399</v>
      </c>
      <c r="C215" s="1">
        <f ca="1">IFERROR(__xludf.DUMMYFUNCTION("""COMPUTED_VALUE"""),2.90523606209971)</f>
        <v>2.9052360620997102</v>
      </c>
      <c r="D215" s="1">
        <f ca="1">IFERROR(__xludf.DUMMYFUNCTION("""COMPUTED_VALUE"""),3.76482783239452)</f>
        <v>3.7648278323945199</v>
      </c>
    </row>
    <row r="216" spans="1:4" ht="13" x14ac:dyDescent="0.15">
      <c r="A216" s="1">
        <f ca="1">IFERROR(__xludf.DUMMYFUNCTION("""COMPUTED_VALUE"""),5)</f>
        <v>5</v>
      </c>
      <c r="B216" s="1">
        <f ca="1">IFERROR(__xludf.DUMMYFUNCTION("""COMPUTED_VALUE"""),2.85565541916792)</f>
        <v>2.85565541916792</v>
      </c>
      <c r="C216" s="1">
        <f ca="1">IFERROR(__xludf.DUMMYFUNCTION("""COMPUTED_VALUE"""),3.27088533889469)</f>
        <v>3.2708853388946899</v>
      </c>
      <c r="D216" s="1">
        <f ca="1">IFERROR(__xludf.DUMMYFUNCTION("""COMPUTED_VALUE"""),4.00588613954598)</f>
        <v>4.0058861395459804</v>
      </c>
    </row>
    <row r="217" spans="1:4" ht="13" x14ac:dyDescent="0.15">
      <c r="A217" s="1">
        <f ca="1">IFERROR(__xludf.DUMMYFUNCTION("""COMPUTED_VALUE"""),5)</f>
        <v>5</v>
      </c>
      <c r="B217" s="1">
        <f ca="1">IFERROR(__xludf.DUMMYFUNCTION("""COMPUTED_VALUE"""),2.58704610925455)</f>
        <v>2.5870461092545498</v>
      </c>
      <c r="C217" s="1">
        <f ca="1">IFERROR(__xludf.DUMMYFUNCTION("""COMPUTED_VALUE"""),3.05397378076415)</f>
        <v>3.0539737807641498</v>
      </c>
      <c r="D217" s="1">
        <f ca="1">IFERROR(__xludf.DUMMYFUNCTION("""COMPUTED_VALUE"""),3.93030877698639)</f>
        <v>3.93030877698639</v>
      </c>
    </row>
    <row r="218" spans="1:4" ht="13" x14ac:dyDescent="0.15">
      <c r="A218" s="1">
        <f ca="1">IFERROR(__xludf.DUMMYFUNCTION("""COMPUTED_VALUE"""),5)</f>
        <v>5</v>
      </c>
      <c r="B218" s="1">
        <f ca="1">IFERROR(__xludf.DUMMYFUNCTION("""COMPUTED_VALUE"""),1.72060577672612)</f>
        <v>1.72060577672612</v>
      </c>
      <c r="C218" s="1">
        <f ca="1">IFERROR(__xludf.DUMMYFUNCTION("""COMPUTED_VALUE"""),2.94616329428663)</f>
        <v>2.94616329428663</v>
      </c>
      <c r="D218" s="1">
        <f ca="1">IFERROR(__xludf.DUMMYFUNCTION("""COMPUTED_VALUE"""),3.81775854466877)</f>
        <v>3.8177585446687701</v>
      </c>
    </row>
    <row r="219" spans="1:4" ht="13" x14ac:dyDescent="0.15">
      <c r="A219" s="1">
        <f ca="1">IFERROR(__xludf.DUMMYFUNCTION("""COMPUTED_VALUE"""),5)</f>
        <v>5</v>
      </c>
      <c r="B219" s="1">
        <f ca="1">IFERROR(__xludf.DUMMYFUNCTION("""COMPUTED_VALUE"""),2.63728854653713)</f>
        <v>2.6372885465371301</v>
      </c>
      <c r="C219" s="1">
        <f ca="1">IFERROR(__xludf.DUMMYFUNCTION("""COMPUTED_VALUE"""),2.89858148969689)</f>
        <v>2.8985814896968898</v>
      </c>
      <c r="D219" s="1">
        <f ca="1">IFERROR(__xludf.DUMMYFUNCTION("""COMPUTED_VALUE"""),3.78252851985886)</f>
        <v>3.7825285198588601</v>
      </c>
    </row>
    <row r="220" spans="1:4" ht="13" x14ac:dyDescent="0.15">
      <c r="A220" s="1">
        <f ca="1">IFERROR(__xludf.DUMMYFUNCTION("""COMPUTED_VALUE"""),5)</f>
        <v>5</v>
      </c>
      <c r="B220" s="1">
        <f ca="1">IFERROR(__xludf.DUMMYFUNCTION("""COMPUTED_VALUE"""),1.87602721740792)</f>
        <v>1.87602721740792</v>
      </c>
      <c r="C220" s="1">
        <f ca="1">IFERROR(__xludf.DUMMYFUNCTION("""COMPUTED_VALUE"""),2.90388943830628)</f>
        <v>2.9038894383062801</v>
      </c>
      <c r="D220" s="1">
        <f ca="1">IFERROR(__xludf.DUMMYFUNCTION("""COMPUTED_VALUE"""),3.82006911419592)</f>
        <v>3.82006911419592</v>
      </c>
    </row>
    <row r="221" spans="1:4" ht="13" x14ac:dyDescent="0.15">
      <c r="A221" s="1">
        <f ca="1">IFERROR(__xludf.DUMMYFUNCTION("""COMPUTED_VALUE"""),5)</f>
        <v>5</v>
      </c>
      <c r="B221" s="1">
        <f ca="1">IFERROR(__xludf.DUMMYFUNCTION("""COMPUTED_VALUE"""),3.18143338600546)</f>
        <v>3.1814333860054602</v>
      </c>
      <c r="C221" s="1">
        <f ca="1">IFERROR(__xludf.DUMMYFUNCTION("""COMPUTED_VALUE"""),3.34614360187452)</f>
        <v>3.3461436018745201</v>
      </c>
      <c r="D221" s="1">
        <f ca="1">IFERROR(__xludf.DUMMYFUNCTION("""COMPUTED_VALUE"""),4.07855903560904)</f>
        <v>4.0785590356090404</v>
      </c>
    </row>
    <row r="222" spans="1:4" ht="13" x14ac:dyDescent="0.15">
      <c r="A222" s="1">
        <f ca="1">IFERROR(__xludf.DUMMYFUNCTION("""COMPUTED_VALUE"""),5)</f>
        <v>5</v>
      </c>
      <c r="B222" s="1">
        <f ca="1">IFERROR(__xludf.DUMMYFUNCTION("""COMPUTED_VALUE"""),2.68973672587479)</f>
        <v>2.68973672587479</v>
      </c>
      <c r="C222" s="1">
        <f ca="1">IFERROR(__xludf.DUMMYFUNCTION("""COMPUTED_VALUE"""),2.81456920091089)</f>
        <v>2.8145692009108898</v>
      </c>
      <c r="D222" s="1">
        <f ca="1">IFERROR(__xludf.DUMMYFUNCTION("""COMPUTED_VALUE"""),3.69324174511728)</f>
        <v>3.6932417451172799</v>
      </c>
    </row>
    <row r="223" spans="1:4" ht="13" x14ac:dyDescent="0.15">
      <c r="A223" s="1">
        <f ca="1">IFERROR(__xludf.DUMMYFUNCTION("""COMPUTED_VALUE"""),6)</f>
        <v>6</v>
      </c>
      <c r="B223" s="1">
        <f ca="1">IFERROR(__xludf.DUMMYFUNCTION("""COMPUTED_VALUE"""),3.5964963716065)</f>
        <v>3.5964963716064999</v>
      </c>
      <c r="C223" s="1">
        <f ca="1">IFERROR(__xludf.DUMMYFUNCTION("""COMPUTED_VALUE"""),3.92559269329718)</f>
        <v>3.9255926932971801</v>
      </c>
      <c r="D223" s="1">
        <f ca="1">IFERROR(__xludf.DUMMYFUNCTION("""COMPUTED_VALUE"""),4.61807093058312)</f>
        <v>4.6180709305831202</v>
      </c>
    </row>
    <row r="224" spans="1:4" ht="13" x14ac:dyDescent="0.15">
      <c r="A224" s="1">
        <f ca="1">IFERROR(__xludf.DUMMYFUNCTION("""COMPUTED_VALUE"""),6)</f>
        <v>6</v>
      </c>
      <c r="B224" s="1">
        <f ca="1">IFERROR(__xludf.DUMMYFUNCTION("""COMPUTED_VALUE"""),3.31803326738089)</f>
        <v>3.3180332673808901</v>
      </c>
      <c r="C224" s="1">
        <f ca="1">IFERROR(__xludf.DUMMYFUNCTION("""COMPUTED_VALUE"""),3.52312136125623)</f>
        <v>3.52312136125623</v>
      </c>
      <c r="D224" s="1">
        <f ca="1">IFERROR(__xludf.DUMMYFUNCTION("""COMPUTED_VALUE"""),4.47866517455686)</f>
        <v>4.47866517455686</v>
      </c>
    </row>
    <row r="225" spans="1:4" ht="13" x14ac:dyDescent="0.15">
      <c r="A225" s="1">
        <f ca="1">IFERROR(__xludf.DUMMYFUNCTION("""COMPUTED_VALUE"""),6)</f>
        <v>6</v>
      </c>
      <c r="B225" s="1">
        <f ca="1">IFERROR(__xludf.DUMMYFUNCTION("""COMPUTED_VALUE"""),3.13531269513347)</f>
        <v>3.1353126951334702</v>
      </c>
      <c r="C225" s="1">
        <f ca="1">IFERROR(__xludf.DUMMYFUNCTION("""COMPUTED_VALUE"""),4.16811611517569)</f>
        <v>4.1681161151756898</v>
      </c>
      <c r="D225" s="1">
        <f ca="1">IFERROR(__xludf.DUMMYFUNCTION("""COMPUTED_VALUE"""),4.83835339754323)</f>
        <v>4.83835339754323</v>
      </c>
    </row>
    <row r="226" spans="1:4" ht="13" x14ac:dyDescent="0.15">
      <c r="A226" s="1">
        <f ca="1">IFERROR(__xludf.DUMMYFUNCTION("""COMPUTED_VALUE"""),6)</f>
        <v>6</v>
      </c>
      <c r="B226" s="1">
        <f ca="1">IFERROR(__xludf.DUMMYFUNCTION("""COMPUTED_VALUE"""),3.39208587385728)</f>
        <v>3.3920858738572801</v>
      </c>
      <c r="C226" s="1">
        <f ca="1">IFERROR(__xludf.DUMMYFUNCTION("""COMPUTED_VALUE"""),3.78088447737609)</f>
        <v>3.7808844773760901</v>
      </c>
      <c r="D226" s="1">
        <f ca="1">IFERROR(__xludf.DUMMYFUNCTION("""COMPUTED_VALUE"""),4.62904181211607)</f>
        <v>4.6290418121160704</v>
      </c>
    </row>
    <row r="227" spans="1:4" ht="13" x14ac:dyDescent="0.15">
      <c r="A227" s="1">
        <f ca="1">IFERROR(__xludf.DUMMYFUNCTION("""COMPUTED_VALUE"""),6)</f>
        <v>6</v>
      </c>
      <c r="B227" s="1">
        <f ca="1">IFERROR(__xludf.DUMMYFUNCTION("""COMPUTED_VALUE"""),3.25969921477203)</f>
        <v>3.2596992147720298</v>
      </c>
      <c r="C227" s="1">
        <f ca="1">IFERROR(__xludf.DUMMYFUNCTION("""COMPUTED_VALUE"""),4.00825165966342)</f>
        <v>4.0082516596634203</v>
      </c>
      <c r="D227" s="1">
        <f ca="1">IFERROR(__xludf.DUMMYFUNCTION("""COMPUTED_VALUE"""),4.81459733502802)</f>
        <v>4.8145973350280196</v>
      </c>
    </row>
    <row r="228" spans="1:4" ht="13" x14ac:dyDescent="0.15">
      <c r="A228" s="1">
        <f ca="1">IFERROR(__xludf.DUMMYFUNCTION("""COMPUTED_VALUE"""),6)</f>
        <v>6</v>
      </c>
      <c r="B228" s="1">
        <f ca="1">IFERROR(__xludf.DUMMYFUNCTION("""COMPUTED_VALUE"""),3.55851333408045)</f>
        <v>3.55851333408045</v>
      </c>
      <c r="C228" s="1">
        <f ca="1">IFERROR(__xludf.DUMMYFUNCTION("""COMPUTED_VALUE"""),3.7318275212239)</f>
        <v>3.7318275212239</v>
      </c>
      <c r="D228" s="1">
        <f ca="1">IFERROR(__xludf.DUMMYFUNCTION("""COMPUTED_VALUE"""),4.59402088726935)</f>
        <v>4.59402088726935</v>
      </c>
    </row>
    <row r="229" spans="1:4" ht="13" x14ac:dyDescent="0.15">
      <c r="A229" s="1">
        <f ca="1">IFERROR(__xludf.DUMMYFUNCTION("""COMPUTED_VALUE"""),6)</f>
        <v>6</v>
      </c>
      <c r="B229" s="1">
        <f ca="1">IFERROR(__xludf.DUMMYFUNCTION("""COMPUTED_VALUE"""),3.4257312711441)</f>
        <v>3.4257312711440999</v>
      </c>
      <c r="C229" s="1">
        <f ca="1">IFERROR(__xludf.DUMMYFUNCTION("""COMPUTED_VALUE"""),3.86596737961383)</f>
        <v>3.8659673796138301</v>
      </c>
      <c r="D229" s="1">
        <f ca="1">IFERROR(__xludf.DUMMYFUNCTION("""COMPUTED_VALUE"""),4.56787558733657)</f>
        <v>4.5678755873365704</v>
      </c>
    </row>
    <row r="230" spans="1:4" ht="13" x14ac:dyDescent="0.15">
      <c r="A230" s="1">
        <f ca="1">IFERROR(__xludf.DUMMYFUNCTION("""COMPUTED_VALUE"""),6)</f>
        <v>6</v>
      </c>
      <c r="B230" s="1">
        <f ca="1">IFERROR(__xludf.DUMMYFUNCTION("""COMPUTED_VALUE"""),3.18868076688822)</f>
        <v>3.1886807668882202</v>
      </c>
      <c r="C230" s="1">
        <f ca="1">IFERROR(__xludf.DUMMYFUNCTION("""COMPUTED_VALUE"""),3.4074191199471)</f>
        <v>3.4074191199470998</v>
      </c>
      <c r="D230" s="1">
        <f ca="1">IFERROR(__xludf.DUMMYFUNCTION("""COMPUTED_VALUE"""),4.38850710559895)</f>
        <v>4.3885071055989497</v>
      </c>
    </row>
    <row r="231" spans="1:4" ht="13" x14ac:dyDescent="0.15">
      <c r="A231" s="1">
        <f ca="1">IFERROR(__xludf.DUMMYFUNCTION("""COMPUTED_VALUE"""),6)</f>
        <v>6</v>
      </c>
      <c r="B231" s="1">
        <f ca="1">IFERROR(__xludf.DUMMYFUNCTION("""COMPUTED_VALUE"""),2.66245088474381)</f>
        <v>2.66245088474381</v>
      </c>
      <c r="C231" s="1">
        <f ca="1">IFERROR(__xludf.DUMMYFUNCTION("""COMPUTED_VALUE"""),3.8341842890394)</f>
        <v>3.8341842890394</v>
      </c>
      <c r="D231" s="1">
        <f ca="1">IFERROR(__xludf.DUMMYFUNCTION("""COMPUTED_VALUE"""),4.52638040416394)</f>
        <v>4.5263804041639402</v>
      </c>
    </row>
    <row r="232" spans="1:4" ht="13" x14ac:dyDescent="0.15">
      <c r="A232" s="1">
        <f ca="1">IFERROR(__xludf.DUMMYFUNCTION("""COMPUTED_VALUE"""),6)</f>
        <v>6</v>
      </c>
      <c r="B232" s="1">
        <f ca="1">IFERROR(__xludf.DUMMYFUNCTION("""COMPUTED_VALUE"""),3.29415902504276)</f>
        <v>3.2941590250427599</v>
      </c>
      <c r="C232" s="1">
        <f ca="1">IFERROR(__xludf.DUMMYFUNCTION("""COMPUTED_VALUE"""),3.70732571021469)</f>
        <v>3.7073257102146902</v>
      </c>
      <c r="D232" s="1">
        <f ca="1">IFERROR(__xludf.DUMMYFUNCTION("""COMPUTED_VALUE"""),4.59538628952305)</f>
        <v>4.5953862895230504</v>
      </c>
    </row>
    <row r="233" spans="1:4" ht="13" x14ac:dyDescent="0.15">
      <c r="A233" s="1">
        <f ca="1">IFERROR(__xludf.DUMMYFUNCTION("""COMPUTED_VALUE"""),6)</f>
        <v>6</v>
      </c>
      <c r="B233" s="1">
        <f ca="1">IFERROR(__xludf.DUMMYFUNCTION("""COMPUTED_VALUE"""),3.08065967094663)</f>
        <v>3.0806596709466301</v>
      </c>
      <c r="C233" s="1">
        <f ca="1">IFERROR(__xludf.DUMMYFUNCTION("""COMPUTED_VALUE"""),3.92092196479974)</f>
        <v>3.92092196479974</v>
      </c>
      <c r="D233" s="1">
        <f ca="1">IFERROR(__xludf.DUMMYFUNCTION("""COMPUTED_VALUE"""),4.76534181710269)</f>
        <v>4.7653418171026898</v>
      </c>
    </row>
    <row r="234" spans="1:4" ht="13" x14ac:dyDescent="0.15">
      <c r="A234" s="1">
        <f ca="1">IFERROR(__xludf.DUMMYFUNCTION("""COMPUTED_VALUE"""),6)</f>
        <v>6</v>
      </c>
      <c r="B234" s="1">
        <f ca="1">IFERROR(__xludf.DUMMYFUNCTION("""COMPUTED_VALUE"""),3.49533046770719)</f>
        <v>3.4953304677071899</v>
      </c>
      <c r="C234" s="1">
        <f ca="1">IFERROR(__xludf.DUMMYFUNCTION("""COMPUTED_VALUE"""),3.67664350286579)</f>
        <v>3.6766435028657898</v>
      </c>
      <c r="D234" s="1">
        <f ca="1">IFERROR(__xludf.DUMMYFUNCTION("""COMPUTED_VALUE"""),4.54507315308957)</f>
        <v>4.5450731530895698</v>
      </c>
    </row>
    <row r="235" spans="1:4" ht="13" x14ac:dyDescent="0.15">
      <c r="A235" s="1">
        <f ca="1">IFERROR(__xludf.DUMMYFUNCTION("""COMPUTED_VALUE"""),6)</f>
        <v>6</v>
      </c>
      <c r="B235" s="1">
        <f ca="1">IFERROR(__xludf.DUMMYFUNCTION("""COMPUTED_VALUE"""),3.72571770753991)</f>
        <v>3.7257177075399102</v>
      </c>
      <c r="C235" s="1">
        <f ca="1">IFERROR(__xludf.DUMMYFUNCTION("""COMPUTED_VALUE"""),4.00736151934251)</f>
        <v>4.0073615193425098</v>
      </c>
      <c r="D235" s="1">
        <f ca="1">IFERROR(__xludf.DUMMYFUNCTION("""COMPUTED_VALUE"""),4.78393552874252)</f>
        <v>4.7839355287425196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15"/>
  <cols>
    <col min="4" max="4" width="15.6640625" customWidth="1"/>
  </cols>
  <sheetData>
    <row r="1" spans="1:5" ht="15.75" customHeight="1" x14ac:dyDescent="0.15">
      <c r="A1" s="1" t="str">
        <f t="array" ref="A1:A1000">IF(
    ISNUMBER(dardel_experiment_results!F1:F1000),
    IF(dardel_experiment_results!F1:F1000 &gt; 0,
       LOG(dardel_experiment_results!F1:F1000),
       ),
    dardel_experiment_results!F1:F1000
  )</f>
        <v>time_crit_pts</v>
      </c>
      <c r="B1" s="1" t="str">
        <f t="array" ref="B1:B1000">IF(
    ISNUMBER(dardel_experiment_results!H1:H1000),
    IF(dardel_experiment_results!H1:H1000 &gt; 0,
       ABS(LOG(dardel_experiment_results!H1:H1000)),
       ),
    dardel_experiment_results!H1:H1000
  )</f>
        <v>time_bneck</v>
      </c>
      <c r="C1" s="1" t="str">
        <f t="array" ref="C1:C1000">IF(
    ISNUMBER(dardel_experiment_results!I1:I1000),
    IF(dardel_experiment_results!I1:I1000 &gt; 0,
       ABS(LOG(dardel_experiment_results!I1:I1000)),
       ),
    dardel_experiment_results!I1:I1000
  )</f>
        <v>time_switch</v>
      </c>
      <c r="D1" s="1" t="str">
        <f t="array" ref="D1:D1000">IF(
    ISNUMBER(dardel_experiment_results!J1:J1000),
    IF(dardel_experiment_results!J1:J1000 &gt; 0,
       ABS(LOG(dardel_experiment_results!J1:J1000)),
       ),
    dardel_experiment_results!J1:J1000
  )</f>
        <v>time_match_dist</v>
      </c>
      <c r="E1" s="1" t="str">
        <f t="array" ref="E1:E1000">IF(
    ISNUMBER(dardel_experiment_results!K1:K1000),
    IF(dardel_experiment_results!K1:K1000 &gt; 0,
       ABS(LOG(dardel_experiment_results!K1:K1000)),
       ),
    dardel_experiment_results!K1:K1000
  )</f>
        <v>total_exact_time</v>
      </c>
    </row>
    <row r="2" spans="1:5" ht="15.75" customHeight="1" x14ac:dyDescent="0.15">
      <c r="A2" s="1">
        <v>-2.1549019599857431</v>
      </c>
      <c r="B2" s="1">
        <v>0.40560744962457329</v>
      </c>
      <c r="C2" s="1">
        <v>0.40450377817442584</v>
      </c>
      <c r="D2" s="1">
        <v>0.3777859770337047</v>
      </c>
      <c r="E2" s="1">
        <v>8.9909454405931857E-2</v>
      </c>
    </row>
    <row r="3" spans="1:5" ht="15.75" customHeight="1" x14ac:dyDescent="0.15">
      <c r="A3" s="1">
        <v>-3</v>
      </c>
      <c r="B3" s="1">
        <v>0.40782324260413316</v>
      </c>
      <c r="C3" s="1">
        <v>0.44977164694490596</v>
      </c>
      <c r="D3" s="1">
        <v>0.38299965887910109</v>
      </c>
      <c r="E3" s="1">
        <v>0.11407366019856895</v>
      </c>
    </row>
    <row r="4" spans="1:5" ht="15.75" customHeight="1" x14ac:dyDescent="0.15">
      <c r="A4" s="1">
        <v>-2.0969100130080562</v>
      </c>
      <c r="B4" s="1">
        <v>1.0381033103058979</v>
      </c>
      <c r="C4" s="1">
        <v>0.20303288701471064</v>
      </c>
      <c r="D4" s="1">
        <v>1.0711821559900807</v>
      </c>
      <c r="E4" s="1">
        <v>1.1263587270692696</v>
      </c>
    </row>
    <row r="5" spans="1:5" ht="15.75" customHeight="1" x14ac:dyDescent="0.15">
      <c r="A5" s="1">
        <v>-2.3010299956639813</v>
      </c>
      <c r="B5" s="1">
        <v>1.0598662204109395</v>
      </c>
      <c r="C5" s="1">
        <v>0.43838410703471409</v>
      </c>
      <c r="D5" s="1">
        <v>1.1176689405624427</v>
      </c>
      <c r="E5" s="1">
        <v>1.2001936371412001</v>
      </c>
    </row>
    <row r="6" spans="1:5" ht="15.75" customHeight="1" x14ac:dyDescent="0.15">
      <c r="A6" s="1">
        <v>-2.0457574905606752</v>
      </c>
      <c r="B6" s="1">
        <v>1.1632210267155783</v>
      </c>
      <c r="C6" s="1">
        <v>0.21058602490515654</v>
      </c>
      <c r="D6" s="1">
        <v>1.1930132265159481</v>
      </c>
      <c r="E6" s="1">
        <v>1.236033147117636</v>
      </c>
    </row>
    <row r="7" spans="1:5" ht="15.75" customHeight="1" x14ac:dyDescent="0.15">
      <c r="A7" s="1">
        <v>-1.5086383061657274</v>
      </c>
      <c r="B7" s="1">
        <v>2.4380151799196357</v>
      </c>
      <c r="C7" s="1">
        <v>0.97767788767399388</v>
      </c>
      <c r="D7" s="1">
        <v>2.4603775800778203</v>
      </c>
      <c r="E7" s="1">
        <v>2.4744406401659931</v>
      </c>
    </row>
    <row r="8" spans="1:5" ht="15.75" customHeight="1" x14ac:dyDescent="0.15">
      <c r="A8" s="1">
        <v>-1.5686362358410126</v>
      </c>
      <c r="B8" s="1">
        <v>2.2071278888965264</v>
      </c>
      <c r="C8" s="1">
        <v>0.78653848049780239</v>
      </c>
      <c r="D8" s="1">
        <v>2.2349346737244424</v>
      </c>
      <c r="E8" s="1">
        <v>2.2501320037546395</v>
      </c>
    </row>
    <row r="9" spans="1:5" ht="15.75" customHeight="1" x14ac:dyDescent="0.15">
      <c r="A9" s="1">
        <v>-1.8860566476931633</v>
      </c>
      <c r="B9" s="1">
        <v>2.1080675326002871</v>
      </c>
      <c r="C9" s="1">
        <v>0.98980565093682604</v>
      </c>
      <c r="D9" s="1">
        <v>2.1646977746697349</v>
      </c>
      <c r="E9" s="1">
        <v>2.1928015413061757</v>
      </c>
    </row>
    <row r="10" spans="1:5" ht="15.75" customHeight="1" x14ac:dyDescent="0.15">
      <c r="A10" s="1">
        <v>-1.6382721639824072</v>
      </c>
      <c r="B10" s="1">
        <v>2.1859923638380168</v>
      </c>
      <c r="C10" s="1">
        <v>0.79961620448149895</v>
      </c>
      <c r="D10" s="1">
        <v>2.2170889514791718</v>
      </c>
      <c r="E10" s="1">
        <v>2.2333870533870006</v>
      </c>
    </row>
    <row r="11" spans="1:5" ht="15.75" customHeight="1" x14ac:dyDescent="0.15">
      <c r="A11" s="1">
        <v>-1.2924298239020637</v>
      </c>
      <c r="B11" s="1">
        <v>3.1377742747296851</v>
      </c>
      <c r="C11" s="1">
        <v>1.3982352285563431</v>
      </c>
      <c r="D11" s="1">
        <v>3.164787230428463</v>
      </c>
      <c r="E11" s="1">
        <v>3.1721584859934926</v>
      </c>
    </row>
    <row r="12" spans="1:5" ht="15.75" customHeight="1" x14ac:dyDescent="0.15">
      <c r="A12" s="1">
        <v>-1.2924298239020637</v>
      </c>
      <c r="B12" s="1">
        <v>2.8402755115670049</v>
      </c>
      <c r="C12" s="1">
        <v>1.1689097791223608</v>
      </c>
      <c r="D12" s="1">
        <v>2.874423250676271</v>
      </c>
      <c r="E12" s="1">
        <v>2.8828966309222972</v>
      </c>
    </row>
    <row r="13" spans="1:5" ht="15.75" customHeight="1" x14ac:dyDescent="0.15">
      <c r="A13" s="1">
        <v>-1.4559319556497243</v>
      </c>
      <c r="B13" s="1">
        <v>2.8636529174603815</v>
      </c>
      <c r="C13" s="1">
        <v>1.3456089505405939</v>
      </c>
      <c r="D13" s="1">
        <v>2.9137084437367857</v>
      </c>
      <c r="E13" s="1">
        <v>2.9252930068810055</v>
      </c>
    </row>
    <row r="14" spans="1:5" ht="15.75" customHeight="1" x14ac:dyDescent="0.15">
      <c r="A14" s="1">
        <v>-1.3010299956639813</v>
      </c>
      <c r="B14" s="1">
        <v>2.9624214289393089</v>
      </c>
      <c r="C14" s="1">
        <v>1.169762576902915</v>
      </c>
      <c r="D14" s="1">
        <v>2.9914285515252468</v>
      </c>
      <c r="E14" s="1">
        <v>2.9979282589333422</v>
      </c>
    </row>
    <row r="15" spans="1:5" ht="15.75" customHeight="1" x14ac:dyDescent="0.15">
      <c r="A15" s="1">
        <v>-1.3872161432802645</v>
      </c>
      <c r="B15" s="1">
        <v>2.9425710299555434</v>
      </c>
      <c r="C15" s="1">
        <v>1.3004433020060284</v>
      </c>
      <c r="D15" s="1">
        <v>2.9788075305687722</v>
      </c>
      <c r="E15" s="1">
        <v>2.9878217252464601</v>
      </c>
    </row>
    <row r="16" spans="1:5" ht="15.75" customHeight="1" x14ac:dyDescent="0.15">
      <c r="A16" s="1">
        <v>-1.6382721639824072</v>
      </c>
      <c r="B16" s="1">
        <v>2.203726224833225</v>
      </c>
      <c r="C16" s="1">
        <v>1.0726909550128685</v>
      </c>
      <c r="D16" s="1">
        <v>2.2765766816985544</v>
      </c>
      <c r="E16" s="1">
        <v>2.302919403682167</v>
      </c>
    </row>
    <row r="17" spans="1:5" ht="15.75" customHeight="1" x14ac:dyDescent="0.15">
      <c r="A17" s="1">
        <v>-0.77469071827413716</v>
      </c>
      <c r="B17" s="1">
        <v>3.706555296798562</v>
      </c>
      <c r="C17" s="1">
        <v>1.6681994841986618</v>
      </c>
      <c r="D17" s="1">
        <v>3.7352180065443781</v>
      </c>
      <c r="E17" s="1">
        <v>3.7389254048220928</v>
      </c>
    </row>
    <row r="18" spans="1:5" ht="15.75" customHeight="1" x14ac:dyDescent="0.15">
      <c r="A18" s="1">
        <v>0</v>
      </c>
      <c r="B18" s="1">
        <v>1.4559319556497243</v>
      </c>
      <c r="C18" s="1">
        <v>0.47108329972234525</v>
      </c>
      <c r="D18" s="1">
        <v>1.3665315444204136</v>
      </c>
      <c r="E18" s="1">
        <v>0.41793663708829126</v>
      </c>
    </row>
    <row r="19" spans="1:5" ht="15.75" customHeight="1" x14ac:dyDescent="0.15">
      <c r="A19" s="1">
        <v>0</v>
      </c>
      <c r="B19" s="1">
        <v>1.0555173278498313</v>
      </c>
      <c r="C19" s="1">
        <v>0.38510278396686543</v>
      </c>
      <c r="D19" s="1">
        <v>0.92811799269387463</v>
      </c>
      <c r="E19" s="1">
        <v>0.27572413039921095</v>
      </c>
    </row>
    <row r="20" spans="1:5" ht="15.75" customHeight="1" x14ac:dyDescent="0.15">
      <c r="A20" s="1">
        <v>-3</v>
      </c>
      <c r="B20" s="1">
        <v>0.73282827159698616</v>
      </c>
      <c r="C20" s="1">
        <v>0.43889861635094402</v>
      </c>
      <c r="D20" s="1">
        <v>0.68402965454308229</v>
      </c>
      <c r="E20" s="1">
        <v>0.24412514432750865</v>
      </c>
    </row>
    <row r="21" spans="1:5" ht="15.75" customHeight="1" x14ac:dyDescent="0.15">
      <c r="A21" s="1">
        <v>-3</v>
      </c>
      <c r="B21" s="1">
        <v>0.69250396208678711</v>
      </c>
      <c r="C21" s="1">
        <v>0.40782324260413316</v>
      </c>
      <c r="D21" s="1">
        <v>0.64589156085259902</v>
      </c>
      <c r="E21" s="1">
        <v>0.20971483596675833</v>
      </c>
    </row>
    <row r="22" spans="1:5" ht="15.75" customHeight="1" x14ac:dyDescent="0.15">
      <c r="A22" s="1">
        <v>0</v>
      </c>
      <c r="B22" s="1">
        <v>1.585026652029182</v>
      </c>
      <c r="C22" s="1">
        <v>0.29499204066666401</v>
      </c>
      <c r="D22" s="1">
        <v>1.5086383061657274</v>
      </c>
      <c r="E22" s="1">
        <v>0.2692177243336108</v>
      </c>
    </row>
    <row r="23" spans="1:5" ht="15.75" customHeight="1" x14ac:dyDescent="0.15">
      <c r="A23" s="1">
        <v>0</v>
      </c>
      <c r="B23" s="1">
        <v>1.3767507096020994</v>
      </c>
      <c r="C23" s="1">
        <v>0.44611697335612566</v>
      </c>
      <c r="D23" s="1">
        <v>1.2596373105057561</v>
      </c>
      <c r="E23" s="1">
        <v>0.38404994834359901</v>
      </c>
    </row>
    <row r="24" spans="1:5" ht="15.75" customHeight="1" x14ac:dyDescent="0.15">
      <c r="A24" s="1">
        <v>0</v>
      </c>
      <c r="B24" s="1">
        <v>1.2839966563652008</v>
      </c>
      <c r="C24" s="1">
        <v>0.39685562737981767</v>
      </c>
      <c r="D24" s="1">
        <v>1.1938200260161129</v>
      </c>
      <c r="E24" s="1">
        <v>0.33254704711004607</v>
      </c>
    </row>
    <row r="25" spans="1:5" ht="15.75" customHeight="1" x14ac:dyDescent="0.15">
      <c r="A25" s="1">
        <v>-3</v>
      </c>
      <c r="B25" s="1">
        <v>0.69680394257951106</v>
      </c>
      <c r="C25" s="1">
        <v>0.47237009912866135</v>
      </c>
      <c r="D25" s="1">
        <v>0.65560772631488928</v>
      </c>
      <c r="E25" s="1">
        <v>0.25258819211357664</v>
      </c>
    </row>
    <row r="26" spans="1:5" ht="15.75" customHeight="1" x14ac:dyDescent="0.15">
      <c r="A26" s="1">
        <v>-3</v>
      </c>
      <c r="B26" s="1">
        <v>1</v>
      </c>
      <c r="C26" s="1">
        <v>0.42365864979420714</v>
      </c>
      <c r="D26" s="1">
        <v>0.91721462968354994</v>
      </c>
      <c r="E26" s="1">
        <v>0.30277065724028246</v>
      </c>
    </row>
    <row r="27" spans="1:5" ht="15.75" customHeight="1" x14ac:dyDescent="0.15">
      <c r="A27" s="1">
        <v>0</v>
      </c>
      <c r="B27" s="1">
        <v>1.2676062401770316</v>
      </c>
      <c r="C27" s="1">
        <v>0.38933983691012009</v>
      </c>
      <c r="D27" s="1">
        <v>1.1426675035687315</v>
      </c>
      <c r="E27" s="1">
        <v>0.31875876262441277</v>
      </c>
    </row>
    <row r="28" spans="1:5" ht="15.75" customHeight="1" x14ac:dyDescent="0.15">
      <c r="A28" s="1">
        <v>0</v>
      </c>
      <c r="B28" s="1">
        <v>1.3872161432802645</v>
      </c>
      <c r="C28" s="1">
        <v>0.51570016065321422</v>
      </c>
      <c r="D28" s="1">
        <v>1.2839966563652008</v>
      </c>
      <c r="E28" s="1">
        <v>0.44855000202712486</v>
      </c>
    </row>
    <row r="29" spans="1:5" ht="15.75" customHeight="1" x14ac:dyDescent="0.15">
      <c r="A29" s="1">
        <v>0</v>
      </c>
      <c r="B29" s="1">
        <v>1.3767507096020994</v>
      </c>
      <c r="C29" s="1">
        <v>0.54060751224076919</v>
      </c>
      <c r="D29" s="1">
        <v>1.2757241303992111</v>
      </c>
      <c r="E29" s="1">
        <v>0.46597389394386496</v>
      </c>
    </row>
    <row r="30" spans="1:5" ht="15.75" customHeight="1" x14ac:dyDescent="0.15">
      <c r="A30" s="1">
        <v>0</v>
      </c>
      <c r="B30" s="1">
        <v>1.5376020021010439</v>
      </c>
      <c r="C30" s="1">
        <v>0.41907502432438071</v>
      </c>
      <c r="D30" s="1">
        <v>1.3665315444204136</v>
      </c>
      <c r="E30" s="1">
        <v>0.37365963262495766</v>
      </c>
    </row>
    <row r="31" spans="1:5" ht="15.75" customHeight="1" x14ac:dyDescent="0.15">
      <c r="A31" s="1">
        <v>-3</v>
      </c>
      <c r="B31" s="1">
        <v>0.78251605578609373</v>
      </c>
      <c r="C31" s="1">
        <v>0.5767541260631921</v>
      </c>
      <c r="D31" s="1">
        <v>0.75202673363819339</v>
      </c>
      <c r="E31" s="1">
        <v>0.35457773065090809</v>
      </c>
    </row>
    <row r="32" spans="1:5" ht="15.75" customHeight="1" x14ac:dyDescent="0.15">
      <c r="A32" s="1">
        <v>0</v>
      </c>
      <c r="B32" s="1">
        <v>1.494850021680094</v>
      </c>
      <c r="C32" s="1">
        <v>0.54668165995296236</v>
      </c>
      <c r="D32" s="1">
        <v>1.3665315444204136</v>
      </c>
      <c r="E32" s="1">
        <v>0.48545224733971393</v>
      </c>
    </row>
    <row r="33" spans="1:5" ht="15.75" customHeight="1" x14ac:dyDescent="0.15">
      <c r="A33" s="1">
        <v>0</v>
      </c>
      <c r="B33" s="1">
        <v>1.3979400086720375</v>
      </c>
      <c r="C33" s="1">
        <v>0.31069114087637978</v>
      </c>
      <c r="D33" s="1">
        <v>1.2924298239020637</v>
      </c>
      <c r="E33" s="1">
        <v>0.26760624017703144</v>
      </c>
    </row>
    <row r="34" spans="1:5" ht="15.75" customHeight="1" x14ac:dyDescent="0.15">
      <c r="A34" s="1">
        <v>0</v>
      </c>
      <c r="B34" s="1">
        <v>1.494850021680094</v>
      </c>
      <c r="C34" s="1">
        <v>0.43889861635094402</v>
      </c>
      <c r="D34" s="1">
        <v>1.3665315444204136</v>
      </c>
      <c r="E34" s="1">
        <v>0.39040559077477999</v>
      </c>
    </row>
    <row r="35" spans="1:5" ht="15.75" customHeight="1" x14ac:dyDescent="0.15">
      <c r="A35" s="1">
        <v>0</v>
      </c>
      <c r="B35" s="1">
        <v>1.3010299956639813</v>
      </c>
      <c r="C35" s="1">
        <v>0.36855623098682799</v>
      </c>
      <c r="D35" s="1">
        <v>1.2076083105017461</v>
      </c>
      <c r="E35" s="1">
        <v>0.30980391997148632</v>
      </c>
    </row>
    <row r="36" spans="1:5" ht="15.75" customHeight="1" x14ac:dyDescent="0.15">
      <c r="A36" s="1">
        <v>-2.6989700043360187</v>
      </c>
      <c r="B36" s="1">
        <v>0.4212747912103465</v>
      </c>
      <c r="C36" s="1">
        <v>0.31344537042641407</v>
      </c>
      <c r="D36" s="1">
        <v>0.50528567414413239</v>
      </c>
      <c r="E36" s="1">
        <v>0.72090317081345745</v>
      </c>
    </row>
    <row r="37" spans="1:5" ht="15.75" customHeight="1" x14ac:dyDescent="0.15">
      <c r="A37" s="1">
        <v>-2.5228787452803374</v>
      </c>
      <c r="B37" s="1">
        <v>4.218159451576628E-2</v>
      </c>
      <c r="C37" s="1">
        <v>0.25863728272407649</v>
      </c>
      <c r="D37" s="1">
        <v>0.10209052551183669</v>
      </c>
      <c r="E37" s="1">
        <v>0.48840968890319814</v>
      </c>
    </row>
    <row r="38" spans="1:5" ht="15.75" customHeight="1" x14ac:dyDescent="0.15">
      <c r="A38" s="1">
        <v>-2.0457574905606752</v>
      </c>
      <c r="B38" s="1">
        <v>1.2535076184826865</v>
      </c>
      <c r="C38" s="1">
        <v>0.29380435991933673</v>
      </c>
      <c r="D38" s="1">
        <v>1.2793703181791083</v>
      </c>
      <c r="E38" s="1">
        <v>1.3220951928665501</v>
      </c>
    </row>
    <row r="39" spans="1:5" ht="15.75" customHeight="1" x14ac:dyDescent="0.15">
      <c r="A39" s="1">
        <v>-2.3979400086720375</v>
      </c>
      <c r="B39" s="1">
        <v>0.70440792738684088</v>
      </c>
      <c r="C39" s="1">
        <v>0.33765889102614233</v>
      </c>
      <c r="D39" s="1">
        <v>0.76886000084295714</v>
      </c>
      <c r="E39" s="1">
        <v>0.90574192739160142</v>
      </c>
    </row>
    <row r="40" spans="1:5" ht="15.75" customHeight="1" x14ac:dyDescent="0.15">
      <c r="A40" s="1">
        <v>-2.6989700043360187</v>
      </c>
      <c r="B40" s="1">
        <v>0.20655604409902956</v>
      </c>
      <c r="C40" s="1">
        <v>0.43408963841789078</v>
      </c>
      <c r="D40" s="1">
        <v>0.28194193344082474</v>
      </c>
      <c r="E40" s="1">
        <v>0.66558099101795309</v>
      </c>
    </row>
    <row r="41" spans="1:5" ht="15.75" customHeight="1" x14ac:dyDescent="0.15">
      <c r="A41" s="1">
        <v>-2.6989700043360187</v>
      </c>
      <c r="B41" s="1">
        <v>0.44263652578223173</v>
      </c>
      <c r="C41" s="1">
        <v>0.47928731647617012</v>
      </c>
      <c r="D41" s="1">
        <v>0.54728230796330324</v>
      </c>
      <c r="E41" s="1">
        <v>0.81564414913196537</v>
      </c>
    </row>
    <row r="42" spans="1:5" ht="15.75" customHeight="1" x14ac:dyDescent="0.15">
      <c r="A42" s="1">
        <v>-2.5228787452803374</v>
      </c>
      <c r="B42" s="1">
        <v>0.24870873560091777</v>
      </c>
      <c r="C42" s="1">
        <v>0.21457895357049908</v>
      </c>
      <c r="D42" s="1">
        <v>0.33162971762993226</v>
      </c>
      <c r="E42" s="1">
        <v>0.57806588383609159</v>
      </c>
    </row>
    <row r="43" spans="1:5" ht="15.75" customHeight="1" x14ac:dyDescent="0.15">
      <c r="A43" s="1">
        <v>-2.3010299956639813</v>
      </c>
      <c r="B43" s="1">
        <v>0.69460519893356876</v>
      </c>
      <c r="C43" s="1">
        <v>0.2380461031287954</v>
      </c>
      <c r="D43" s="1">
        <v>0.74327452351193335</v>
      </c>
      <c r="E43" s="1">
        <v>0.86129539352669593</v>
      </c>
    </row>
    <row r="44" spans="1:5" ht="15.75" customHeight="1" x14ac:dyDescent="0.15">
      <c r="A44" s="1">
        <v>-2.5228787452803374</v>
      </c>
      <c r="B44" s="1">
        <v>0.65118106244468787</v>
      </c>
      <c r="C44" s="1">
        <v>0.34772021703403816</v>
      </c>
      <c r="D44" s="1">
        <v>0.74225366990659369</v>
      </c>
      <c r="E44" s="1">
        <v>0.88935773688893149</v>
      </c>
    </row>
    <row r="45" spans="1:5" ht="15.75" customHeight="1" x14ac:dyDescent="0.15">
      <c r="A45" s="1">
        <v>-2.6989700043360187</v>
      </c>
      <c r="B45" s="1">
        <v>0.57345182203548528</v>
      </c>
      <c r="C45" s="1">
        <v>0.39093510710337914</v>
      </c>
      <c r="D45" s="1">
        <v>0.66586230020315518</v>
      </c>
      <c r="E45" s="1">
        <v>0.85089118413592402</v>
      </c>
    </row>
    <row r="46" spans="1:5" ht="15.75" customHeight="1" x14ac:dyDescent="0.15">
      <c r="A46" s="1">
        <v>-2.6989700043360187</v>
      </c>
      <c r="B46" s="1">
        <v>0.33785842904109437</v>
      </c>
      <c r="C46" s="1">
        <v>0.18041263283832379</v>
      </c>
      <c r="D46" s="1">
        <v>0.41813549842523218</v>
      </c>
      <c r="E46" s="1">
        <v>0.61647551388856547</v>
      </c>
    </row>
    <row r="47" spans="1:5" ht="15.75" customHeight="1" x14ac:dyDescent="0.15">
      <c r="A47" s="1">
        <v>-2.6989700043360187</v>
      </c>
      <c r="B47" s="1">
        <v>0.5113485154902131</v>
      </c>
      <c r="C47" s="1">
        <v>0.41178800454386888</v>
      </c>
      <c r="D47" s="1">
        <v>0.61119206086843425</v>
      </c>
      <c r="E47" s="1">
        <v>0.8238653093245113</v>
      </c>
    </row>
    <row r="48" spans="1:5" ht="15.75" customHeight="1" x14ac:dyDescent="0.15">
      <c r="A48" s="1">
        <v>-2.5228787452803374</v>
      </c>
      <c r="B48" s="1">
        <v>0.47436197603263075</v>
      </c>
      <c r="C48" s="1">
        <v>7.9181246047624818E-2</v>
      </c>
      <c r="D48" s="1">
        <v>0.51574141666936524</v>
      </c>
      <c r="E48" s="1">
        <v>0.651278013998144</v>
      </c>
    </row>
    <row r="49" spans="1:5" ht="15.75" customHeight="1" x14ac:dyDescent="0.15">
      <c r="A49" s="1">
        <v>-2.5228787452803374</v>
      </c>
      <c r="B49" s="1">
        <v>0.56300618706179384</v>
      </c>
      <c r="C49" s="1">
        <v>0.29797924415936239</v>
      </c>
      <c r="D49" s="1">
        <v>0.63134228648393276</v>
      </c>
      <c r="E49" s="1">
        <v>0.79692107533016876</v>
      </c>
    </row>
    <row r="50" spans="1:5" ht="15.75" customHeight="1" x14ac:dyDescent="0.15">
      <c r="A50" s="1">
        <v>-2.5228787452803374</v>
      </c>
      <c r="B50" s="1">
        <v>0.47567118832442967</v>
      </c>
      <c r="C50" s="1">
        <v>0.39304846641677821</v>
      </c>
      <c r="D50" s="1">
        <v>0.54332290064691213</v>
      </c>
      <c r="E50" s="1">
        <v>0.77568324902604391</v>
      </c>
    </row>
    <row r="51" spans="1:5" ht="15.75" customHeight="1" x14ac:dyDescent="0.15">
      <c r="A51" s="1">
        <v>-2.5228787452803374</v>
      </c>
      <c r="B51" s="1">
        <v>0.46434048462766725</v>
      </c>
      <c r="C51" s="1">
        <v>0.32899085544942874</v>
      </c>
      <c r="D51" s="1">
        <v>0.55144999797287519</v>
      </c>
      <c r="E51" s="1">
        <v>0.75534118381154758</v>
      </c>
    </row>
    <row r="52" spans="1:5" ht="15.75" customHeight="1" x14ac:dyDescent="0.15">
      <c r="A52" s="1">
        <v>-2.5228787452803374</v>
      </c>
      <c r="B52" s="1">
        <v>0.56549362986886242</v>
      </c>
      <c r="C52" s="1">
        <v>0.33785842904109437</v>
      </c>
      <c r="D52" s="1">
        <v>0.64028262969668082</v>
      </c>
      <c r="E52" s="1">
        <v>0.81597600097198553</v>
      </c>
    </row>
    <row r="53" spans="1:5" ht="15.75" customHeight="1" x14ac:dyDescent="0.15">
      <c r="A53" s="1">
        <v>-2.0969100130080562</v>
      </c>
      <c r="B53" s="1">
        <v>1.7561566746679804</v>
      </c>
      <c r="C53" s="1">
        <v>0.87250589934592493</v>
      </c>
      <c r="D53" s="1">
        <v>1.8227302052602563</v>
      </c>
      <c r="E53" s="1">
        <v>1.8688970666998306</v>
      </c>
    </row>
    <row r="54" spans="1:5" ht="15.75" customHeight="1" x14ac:dyDescent="0.15">
      <c r="A54" s="1">
        <v>-2.2218487496163561</v>
      </c>
      <c r="B54" s="1">
        <v>1.2440048280914533</v>
      </c>
      <c r="C54" s="1">
        <v>0.87034537108095966</v>
      </c>
      <c r="D54" s="1">
        <v>1.3030663979235104</v>
      </c>
      <c r="E54" s="1">
        <v>1.4395379481654138</v>
      </c>
    </row>
    <row r="55" spans="1:5" ht="15.75" customHeight="1" x14ac:dyDescent="0.15">
      <c r="A55" s="1">
        <v>-1.6020599913279623</v>
      </c>
      <c r="B55" s="1">
        <v>2.118486282135108</v>
      </c>
      <c r="C55" s="1">
        <v>0.77887447200273952</v>
      </c>
      <c r="D55" s="1">
        <v>2.151192050413322</v>
      </c>
      <c r="E55" s="1">
        <v>2.1692393340175284</v>
      </c>
    </row>
    <row r="56" spans="1:5" ht="15.75" customHeight="1" x14ac:dyDescent="0.15">
      <c r="A56" s="1">
        <v>-2.1549019599857431</v>
      </c>
      <c r="B56" s="1">
        <v>1.2288364875279341</v>
      </c>
      <c r="C56" s="1">
        <v>0.68618923424402367</v>
      </c>
      <c r="D56" s="1">
        <v>1.2963580047413907</v>
      </c>
      <c r="E56" s="1">
        <v>1.3916583287224751</v>
      </c>
    </row>
    <row r="57" spans="1:5" ht="15.75" customHeight="1" x14ac:dyDescent="0.15">
      <c r="A57" s="1">
        <v>-2.3010299956639813</v>
      </c>
      <c r="B57" s="1">
        <v>1.5566401540717196</v>
      </c>
      <c r="C57" s="1">
        <v>0.96684542365491644</v>
      </c>
      <c r="D57" s="1">
        <v>1.6535019469629328</v>
      </c>
      <c r="E57" s="1">
        <v>1.7347678361834102</v>
      </c>
    </row>
    <row r="58" spans="1:5" ht="15.75" customHeight="1" x14ac:dyDescent="0.15">
      <c r="A58" s="1">
        <v>-2.0457574905606752</v>
      </c>
      <c r="B58" s="1">
        <v>1.5260030860928138</v>
      </c>
      <c r="C58" s="1">
        <v>0.80597635071756268</v>
      </c>
      <c r="D58" s="1">
        <v>1.6023096388882596</v>
      </c>
      <c r="E58" s="1">
        <v>1.666705136119899</v>
      </c>
    </row>
    <row r="59" spans="1:5" ht="15.75" customHeight="1" x14ac:dyDescent="0.15">
      <c r="A59" s="1">
        <v>-1.7695510786217261</v>
      </c>
      <c r="B59" s="1">
        <v>1.9024598029992956</v>
      </c>
      <c r="C59" s="1">
        <v>0.81736701628759412</v>
      </c>
      <c r="D59" s="1">
        <v>1.9477424219938062</v>
      </c>
      <c r="E59" s="1">
        <v>1.9787737843301225</v>
      </c>
    </row>
    <row r="60" spans="1:5" ht="15.75" customHeight="1" x14ac:dyDescent="0.15">
      <c r="A60" s="1">
        <v>-1.9208187539523751</v>
      </c>
      <c r="B60" s="1">
        <v>1.6815216286951955</v>
      </c>
      <c r="C60" s="1">
        <v>0.77995705124690606</v>
      </c>
      <c r="D60" s="1">
        <v>1.7405679438293948</v>
      </c>
      <c r="E60" s="1">
        <v>1.7856856682809013</v>
      </c>
    </row>
    <row r="61" spans="1:5" ht="15.75" customHeight="1" x14ac:dyDescent="0.15">
      <c r="A61" s="1">
        <v>-1.9586073148417751</v>
      </c>
      <c r="B61" s="1">
        <v>1.410389146513233</v>
      </c>
      <c r="C61" s="1">
        <v>0.51174971134498282</v>
      </c>
      <c r="D61" s="1">
        <v>1.450172098924372</v>
      </c>
      <c r="E61" s="1">
        <v>1.4975377876036771</v>
      </c>
    </row>
    <row r="62" spans="1:5" ht="15.75" customHeight="1" x14ac:dyDescent="0.15">
      <c r="A62" s="1">
        <v>-2.1549019599857431</v>
      </c>
      <c r="B62" s="1">
        <v>1.5493711523331772</v>
      </c>
      <c r="C62" s="1">
        <v>0.81710240425692315</v>
      </c>
      <c r="D62" s="1">
        <v>1.628777066916437</v>
      </c>
      <c r="E62" s="1">
        <v>1.6910903371343617</v>
      </c>
    </row>
    <row r="63" spans="1:5" ht="15.75" customHeight="1" x14ac:dyDescent="0.15">
      <c r="A63" s="1">
        <v>-2.2218487496163561</v>
      </c>
      <c r="B63" s="1">
        <v>1.4890580369990618</v>
      </c>
      <c r="C63" s="1">
        <v>0.82652830634065155</v>
      </c>
      <c r="D63" s="1">
        <v>1.5826882062999785</v>
      </c>
      <c r="E63" s="1">
        <v>1.652845621280872</v>
      </c>
    </row>
    <row r="64" spans="1:5" ht="15.75" customHeight="1" x14ac:dyDescent="0.15">
      <c r="A64" s="1">
        <v>-1.8239087409443189</v>
      </c>
      <c r="B64" s="1">
        <v>1.3377187620574487</v>
      </c>
      <c r="C64" s="1">
        <v>0.46627432178929207</v>
      </c>
      <c r="D64" s="1">
        <v>1.368324081979958</v>
      </c>
      <c r="E64" s="1">
        <v>1.4195923082995843</v>
      </c>
    </row>
    <row r="65" spans="1:5" ht="13" x14ac:dyDescent="0.15">
      <c r="A65" s="1">
        <v>-2</v>
      </c>
      <c r="B65" s="1">
        <v>1.7423480031398293</v>
      </c>
      <c r="C65" s="1">
        <v>0.8380931384455983</v>
      </c>
      <c r="D65" s="1">
        <v>1.8045891748293046</v>
      </c>
      <c r="E65" s="1">
        <v>1.8491367539942372</v>
      </c>
    </row>
    <row r="66" spans="1:5" ht="13" x14ac:dyDescent="0.15">
      <c r="A66" s="1">
        <v>-2.0969100130080562</v>
      </c>
      <c r="B66" s="1">
        <v>1.6054989805181508</v>
      </c>
      <c r="C66" s="1">
        <v>0.92572452693606266</v>
      </c>
      <c r="D66" s="1">
        <v>1.6817747298677934</v>
      </c>
      <c r="E66" s="1">
        <v>1.7519485101577668</v>
      </c>
    </row>
    <row r="67" spans="1:5" ht="13" x14ac:dyDescent="0.15">
      <c r="A67" s="1">
        <v>-2.0969100130080562</v>
      </c>
      <c r="B67" s="1">
        <v>1.6201152250026798</v>
      </c>
      <c r="C67" s="1">
        <v>0.85351569675692862</v>
      </c>
      <c r="D67" s="1">
        <v>1.7019735975855246</v>
      </c>
      <c r="E67" s="1">
        <v>1.759546980712811</v>
      </c>
    </row>
    <row r="68" spans="1:5" ht="13" x14ac:dyDescent="0.15">
      <c r="A68" s="1">
        <v>-2</v>
      </c>
      <c r="B68" s="1">
        <v>1.665927912802659</v>
      </c>
      <c r="C68" s="1">
        <v>0.89259542282889814</v>
      </c>
      <c r="D68" s="1">
        <v>1.7339992865383869</v>
      </c>
      <c r="E68" s="1">
        <v>1.7924617313469506</v>
      </c>
    </row>
    <row r="69" spans="1:5" ht="13" x14ac:dyDescent="0.15">
      <c r="A69" s="1">
        <v>-1.6989700043360187</v>
      </c>
      <c r="B69" s="1">
        <v>2.4959285112565857</v>
      </c>
      <c r="C69" s="1">
        <v>1.1881688585866963</v>
      </c>
      <c r="D69" s="1">
        <v>2.5525514153364193</v>
      </c>
      <c r="E69" s="1">
        <v>2.570924531050077</v>
      </c>
    </row>
    <row r="70" spans="1:5" ht="13" x14ac:dyDescent="0.15">
      <c r="A70" s="1">
        <v>-1.7958800173440752</v>
      </c>
      <c r="B70" s="1">
        <v>2.401310915212481</v>
      </c>
      <c r="C70" s="1">
        <v>1.317833599243589</v>
      </c>
      <c r="D70" s="1">
        <v>2.4543493293219556</v>
      </c>
      <c r="E70" s="1">
        <v>2.4849600344718348</v>
      </c>
    </row>
    <row r="71" spans="1:5" ht="13" x14ac:dyDescent="0.15">
      <c r="A71" s="1">
        <v>-1.2218487496163564</v>
      </c>
      <c r="B71" s="1">
        <v>2.227673359663743</v>
      </c>
      <c r="C71" s="1">
        <v>0.83752530944960124</v>
      </c>
      <c r="D71" s="1">
        <v>2.2645415805297491</v>
      </c>
      <c r="E71" s="1">
        <v>2.2804895904096778</v>
      </c>
    </row>
    <row r="72" spans="1:5" ht="13" x14ac:dyDescent="0.15">
      <c r="A72" s="1">
        <v>-1.7695510786217261</v>
      </c>
      <c r="B72" s="1">
        <v>1.9012184941202099</v>
      </c>
      <c r="C72" s="1">
        <v>1.0473527607539341</v>
      </c>
      <c r="D72" s="1">
        <v>1.9477522184045686</v>
      </c>
      <c r="E72" s="1">
        <v>1.9992045130053129</v>
      </c>
    </row>
    <row r="73" spans="1:5" ht="13" x14ac:dyDescent="0.15">
      <c r="A73" s="1">
        <v>-1.7958800173440752</v>
      </c>
      <c r="B73" s="1">
        <v>2.4285089687091985</v>
      </c>
      <c r="C73" s="1">
        <v>1.3564274416923547</v>
      </c>
      <c r="D73" s="1">
        <v>2.5153584753811122</v>
      </c>
      <c r="E73" s="1">
        <v>2.5444798084244376</v>
      </c>
    </row>
    <row r="74" spans="1:5" ht="13" x14ac:dyDescent="0.15">
      <c r="A74" s="1">
        <v>-1.4685210829577449</v>
      </c>
      <c r="B74" s="1">
        <v>2.6958457708116383</v>
      </c>
      <c r="C74" s="1">
        <v>1.2322589623427016</v>
      </c>
      <c r="D74" s="1">
        <v>2.7360521176654693</v>
      </c>
      <c r="E74" s="1">
        <v>2.7494572574136193</v>
      </c>
    </row>
    <row r="75" spans="1:5" ht="13" x14ac:dyDescent="0.15">
      <c r="A75" s="1">
        <v>-1.2676062401770316</v>
      </c>
      <c r="B75" s="1">
        <v>2.8182186333111701</v>
      </c>
      <c r="C75" s="1">
        <v>1.1546977935963878</v>
      </c>
      <c r="D75" s="1">
        <v>2.8497552938962416</v>
      </c>
      <c r="E75" s="1">
        <v>2.8584319195273484</v>
      </c>
    </row>
    <row r="76" spans="1:5" ht="13" x14ac:dyDescent="0.15">
      <c r="A76" s="1">
        <v>-1.3979400086720375</v>
      </c>
      <c r="B76" s="1">
        <v>2.6748161480698354</v>
      </c>
      <c r="C76" s="1">
        <v>1.1732154147148859</v>
      </c>
      <c r="D76" s="1">
        <v>2.7156724856866736</v>
      </c>
      <c r="E76" s="1">
        <v>2.7279517721495732</v>
      </c>
    </row>
    <row r="77" spans="1:5" ht="13" x14ac:dyDescent="0.15">
      <c r="A77" s="1">
        <v>-1.6020599913279623</v>
      </c>
      <c r="B77" s="1">
        <v>1.9906495883188544</v>
      </c>
      <c r="C77" s="1">
        <v>0.86958370771342375</v>
      </c>
      <c r="D77" s="1">
        <v>2.0329972941792627</v>
      </c>
      <c r="E77" s="1">
        <v>2.0618293072946989</v>
      </c>
    </row>
    <row r="78" spans="1:5" ht="13" x14ac:dyDescent="0.15">
      <c r="A78" s="1">
        <v>-1.6020599913279623</v>
      </c>
      <c r="B78" s="1">
        <v>2.6321332220404803</v>
      </c>
      <c r="C78" s="1">
        <v>1.2532652936901574</v>
      </c>
      <c r="D78" s="1">
        <v>2.6884732155829147</v>
      </c>
      <c r="E78" s="1">
        <v>2.7041316340605226</v>
      </c>
    </row>
    <row r="79" spans="1:5" ht="13" x14ac:dyDescent="0.15">
      <c r="A79" s="1">
        <v>-1.8239087409443189</v>
      </c>
      <c r="B79" s="1">
        <v>2.2764411229912169</v>
      </c>
      <c r="C79" s="1">
        <v>1.2116010441452396</v>
      </c>
      <c r="D79" s="1">
        <v>2.352215330232664</v>
      </c>
      <c r="E79" s="1">
        <v>2.3825483227587343</v>
      </c>
    </row>
    <row r="80" spans="1:5" ht="13" x14ac:dyDescent="0.15">
      <c r="A80" s="1">
        <v>-1.3187587626244128</v>
      </c>
      <c r="B80" s="1">
        <v>2.2133503819197697</v>
      </c>
      <c r="C80" s="1">
        <v>0.8427340189482696</v>
      </c>
      <c r="D80" s="1">
        <v>2.2467496308798904</v>
      </c>
      <c r="E80" s="1">
        <v>2.2635484908438404</v>
      </c>
    </row>
    <row r="81" spans="1:5" ht="13" x14ac:dyDescent="0.15">
      <c r="A81" s="1">
        <v>-1.585026652029182</v>
      </c>
      <c r="B81" s="1">
        <v>2.6409711085910312</v>
      </c>
      <c r="C81" s="1">
        <v>1.3318320444362486</v>
      </c>
      <c r="D81" s="1">
        <v>2.7043435890520793</v>
      </c>
      <c r="E81" s="1">
        <v>2.7223829791824352</v>
      </c>
    </row>
    <row r="82" spans="1:5" ht="13" x14ac:dyDescent="0.15">
      <c r="A82" s="1">
        <v>-1.6777807052660807</v>
      </c>
      <c r="B82" s="1">
        <v>2.5741435907072252</v>
      </c>
      <c r="C82" s="1">
        <v>1.3302107845715281</v>
      </c>
      <c r="D82" s="1">
        <v>2.6295594354325376</v>
      </c>
      <c r="E82" s="1">
        <v>2.6508289463146486</v>
      </c>
    </row>
    <row r="83" spans="1:5" ht="13" x14ac:dyDescent="0.15">
      <c r="A83" s="1">
        <v>-0.8477116556169435</v>
      </c>
      <c r="B83" s="1">
        <v>3.2514442652667164</v>
      </c>
      <c r="C83" s="1">
        <v>1.5250448070368452</v>
      </c>
      <c r="D83" s="1">
        <v>3.3040892232112902</v>
      </c>
      <c r="E83" s="1">
        <v>3.3112561499006272</v>
      </c>
    </row>
    <row r="84" spans="1:5" ht="13" x14ac:dyDescent="0.15">
      <c r="A84" s="1">
        <v>-1.3187587626244128</v>
      </c>
      <c r="B84" s="1">
        <v>3.2227632788087384</v>
      </c>
      <c r="C84" s="1">
        <v>1.6365179849980136</v>
      </c>
      <c r="D84" s="1">
        <v>3.2659636500576354</v>
      </c>
      <c r="E84" s="1">
        <v>3.2760399430650313</v>
      </c>
    </row>
    <row r="85" spans="1:5" ht="13" x14ac:dyDescent="0.15">
      <c r="A85" s="1">
        <v>-0.80410034759076621</v>
      </c>
      <c r="B85" s="1">
        <v>2.7948023258725296</v>
      </c>
      <c r="C85" s="1">
        <v>1.1114977488080302</v>
      </c>
      <c r="D85" s="1">
        <v>2.8207602293774623</v>
      </c>
      <c r="E85" s="1">
        <v>2.8291692815691287</v>
      </c>
    </row>
    <row r="86" spans="1:5" ht="13" x14ac:dyDescent="0.15">
      <c r="A86" s="1">
        <v>-1.3372421683184259</v>
      </c>
      <c r="B86" s="1">
        <v>2.6203609550240743</v>
      </c>
      <c r="C86" s="1">
        <v>1.3228186210073947</v>
      </c>
      <c r="D86" s="1">
        <v>2.6768398736598948</v>
      </c>
      <c r="E86" s="1">
        <v>2.6956471321807411</v>
      </c>
    </row>
    <row r="87" spans="1:5" ht="13" x14ac:dyDescent="0.15">
      <c r="A87" s="1">
        <v>-1.3565473235138126</v>
      </c>
      <c r="B87" s="1">
        <v>3.1823401711074397</v>
      </c>
      <c r="C87" s="1">
        <v>1.612052355179759</v>
      </c>
      <c r="D87" s="1">
        <v>3.2480211097286591</v>
      </c>
      <c r="E87" s="1">
        <v>3.2579486652236125</v>
      </c>
    </row>
    <row r="88" spans="1:5" ht="13" x14ac:dyDescent="0.15">
      <c r="A88" s="1">
        <v>-1.1487416512809248</v>
      </c>
      <c r="B88" s="1">
        <v>3.1083874137415575</v>
      </c>
      <c r="C88" s="1">
        <v>1.4231475319772444</v>
      </c>
      <c r="D88" s="1">
        <v>3.1502282130928307</v>
      </c>
      <c r="E88" s="1">
        <v>3.1583015659570357</v>
      </c>
    </row>
    <row r="89" spans="1:5" ht="13" x14ac:dyDescent="0.15">
      <c r="A89" s="1">
        <v>-2.0969100130080562</v>
      </c>
      <c r="B89" s="1">
        <v>1.3016158978195196</v>
      </c>
      <c r="C89" s="1">
        <v>0.33825723024625559</v>
      </c>
      <c r="D89" s="1">
        <v>1.3293368500874239</v>
      </c>
      <c r="E89" s="1">
        <v>1.3715665524837344</v>
      </c>
    </row>
    <row r="90" spans="1:5" ht="13" x14ac:dyDescent="0.15">
      <c r="A90" s="1">
        <v>-2.1549019599857431</v>
      </c>
      <c r="B90" s="1">
        <v>1.1738852403687914</v>
      </c>
      <c r="C90" s="1">
        <v>0.44247976906444858</v>
      </c>
      <c r="D90" s="1">
        <v>1.2156639956484476</v>
      </c>
      <c r="E90" s="1">
        <v>1.2833464653560465</v>
      </c>
    </row>
    <row r="91" spans="1:5" ht="13" x14ac:dyDescent="0.15">
      <c r="A91" s="1">
        <v>-2.1549019599857431</v>
      </c>
      <c r="B91" s="1">
        <v>1.0603200286882852</v>
      </c>
      <c r="C91" s="1">
        <v>0.37767043933432309</v>
      </c>
      <c r="D91" s="1">
        <v>1.0886675525424045</v>
      </c>
      <c r="E91" s="1">
        <v>1.1658672683529434</v>
      </c>
    </row>
    <row r="92" spans="1:5" ht="13" x14ac:dyDescent="0.15">
      <c r="A92" s="1">
        <v>-1.585026652029182</v>
      </c>
      <c r="B92" s="1">
        <v>2.3458224983301741</v>
      </c>
      <c r="C92" s="1">
        <v>0.96717342295553954</v>
      </c>
      <c r="D92" s="1">
        <v>2.3729009614446146</v>
      </c>
      <c r="E92" s="1">
        <v>2.3896373483050133</v>
      </c>
    </row>
    <row r="93" spans="1:5" ht="13" x14ac:dyDescent="0.15">
      <c r="A93" s="1">
        <v>-1.8860566476931633</v>
      </c>
      <c r="B93" s="1">
        <v>2.0102108832079471</v>
      </c>
      <c r="C93" s="1">
        <v>0.93308216236979102</v>
      </c>
      <c r="D93" s="1">
        <v>2.0513918010333634</v>
      </c>
      <c r="E93" s="1">
        <v>2.083266058419039</v>
      </c>
    </row>
    <row r="94" spans="1:5" ht="13" x14ac:dyDescent="0.15">
      <c r="A94" s="1">
        <v>-1.4685210829577449</v>
      </c>
      <c r="B94" s="1">
        <v>2.4693786621640794</v>
      </c>
      <c r="C94" s="1">
        <v>0.87198135384336939</v>
      </c>
      <c r="D94" s="1">
        <v>2.492725476491596</v>
      </c>
      <c r="E94" s="1">
        <v>2.503001701915422</v>
      </c>
    </row>
    <row r="95" spans="1:5" ht="13" x14ac:dyDescent="0.15">
      <c r="A95" s="1">
        <v>-1.7695510786217261</v>
      </c>
      <c r="B95" s="1">
        <v>2.1933945565155528</v>
      </c>
      <c r="C95" s="1">
        <v>1.0008243766056055</v>
      </c>
      <c r="D95" s="1">
        <v>2.2373476581817497</v>
      </c>
      <c r="E95" s="1">
        <v>2.2618359971396869</v>
      </c>
    </row>
    <row r="96" spans="1:5" ht="13" x14ac:dyDescent="0.15">
      <c r="A96" s="1">
        <v>-1.744727494896694</v>
      </c>
      <c r="B96" s="1">
        <v>1.8401813991094742</v>
      </c>
      <c r="C96" s="1">
        <v>0.65810683550639293</v>
      </c>
      <c r="D96" s="1">
        <v>1.8659918001262754</v>
      </c>
      <c r="E96" s="1">
        <v>1.8921001705327622</v>
      </c>
    </row>
    <row r="97" spans="1:5" ht="13" x14ac:dyDescent="0.15">
      <c r="A97" s="1">
        <v>-1.7958800173440752</v>
      </c>
      <c r="B97" s="1">
        <v>2.1091869316985101</v>
      </c>
      <c r="C97" s="1">
        <v>0.92992956008458783</v>
      </c>
      <c r="D97" s="1">
        <v>2.1429866795571049</v>
      </c>
      <c r="E97" s="1">
        <v>2.1687949646735696</v>
      </c>
    </row>
    <row r="98" spans="1:5" ht="13" x14ac:dyDescent="0.15">
      <c r="A98" s="1">
        <v>-1.3098039199714864</v>
      </c>
      <c r="B98" s="1">
        <v>3.1267020790559528</v>
      </c>
      <c r="C98" s="1">
        <v>1.3824493197989152</v>
      </c>
      <c r="D98" s="1">
        <v>3.1523877313949193</v>
      </c>
      <c r="E98" s="1">
        <v>3.1597022125633334</v>
      </c>
    </row>
    <row r="99" spans="1:5" ht="13" x14ac:dyDescent="0.15">
      <c r="A99" s="1">
        <v>-1.3979400086720375</v>
      </c>
      <c r="B99" s="1">
        <v>2.9697694481513337</v>
      </c>
      <c r="C99" s="1">
        <v>1.3483048630481607</v>
      </c>
      <c r="D99" s="1">
        <v>3.0021072875811119</v>
      </c>
      <c r="E99" s="1">
        <v>3.0116397898570546</v>
      </c>
    </row>
    <row r="100" spans="1:5" ht="13" x14ac:dyDescent="0.15">
      <c r="A100" s="1">
        <v>-1.1739251972991736</v>
      </c>
      <c r="B100" s="1">
        <v>3.1244080303437625</v>
      </c>
      <c r="C100" s="1">
        <v>1.2633756505094427</v>
      </c>
      <c r="D100" s="1">
        <v>3.1506087853311771</v>
      </c>
      <c r="E100" s="1">
        <v>3.1562031528033807</v>
      </c>
    </row>
    <row r="101" spans="1:5" ht="13" x14ac:dyDescent="0.15">
      <c r="A101" s="1">
        <v>-1.3565473235138126</v>
      </c>
      <c r="B101" s="1">
        <v>2.9393494951651769</v>
      </c>
      <c r="C101" s="1">
        <v>1.344863649797128</v>
      </c>
      <c r="D101" s="1">
        <v>2.9782512952334455</v>
      </c>
      <c r="E101" s="1">
        <v>2.9882373529012076</v>
      </c>
    </row>
    <row r="102" spans="1:5" ht="13" x14ac:dyDescent="0.15">
      <c r="A102" s="1">
        <v>-1.4814860601221125</v>
      </c>
      <c r="B102" s="1">
        <v>2.4431972514272307</v>
      </c>
      <c r="C102" s="1">
        <v>1.0197392326747052</v>
      </c>
      <c r="D102" s="1">
        <v>2.4707088372898869</v>
      </c>
      <c r="E102" s="1">
        <v>2.4858193445900882</v>
      </c>
    </row>
    <row r="103" spans="1:5" ht="13" x14ac:dyDescent="0.15">
      <c r="A103" s="1">
        <v>-1.3979400086720375</v>
      </c>
      <c r="B103" s="1">
        <v>2.8790964532044256</v>
      </c>
      <c r="C103" s="1">
        <v>1.2733948539971365</v>
      </c>
      <c r="D103" s="1">
        <v>2.912702863119057</v>
      </c>
      <c r="E103" s="1">
        <v>2.9225552351635922</v>
      </c>
    </row>
    <row r="104" spans="1:5" ht="13" x14ac:dyDescent="0.15">
      <c r="A104" s="1">
        <v>-1.4089353929735009</v>
      </c>
      <c r="B104" s="1">
        <v>2.9394823110571036</v>
      </c>
      <c r="C104" s="1">
        <v>1.3427778673872475</v>
      </c>
      <c r="D104" s="1">
        <v>2.9768431527997272</v>
      </c>
      <c r="E104" s="1">
        <v>2.9868142661791808</v>
      </c>
    </row>
    <row r="105" spans="1:5" ht="13" x14ac:dyDescent="0.15">
      <c r="A105" s="1">
        <v>-1.431798275933005</v>
      </c>
      <c r="B105" s="1">
        <v>2.5492988251862894</v>
      </c>
      <c r="C105" s="1">
        <v>1.1028451642454182</v>
      </c>
      <c r="D105" s="1">
        <v>2.5877951224616518</v>
      </c>
      <c r="E105" s="1">
        <v>2.6017852131603996</v>
      </c>
    </row>
    <row r="106" spans="1:5" ht="13" x14ac:dyDescent="0.15">
      <c r="A106" s="1">
        <v>-0.69897000433601875</v>
      </c>
      <c r="B106" s="1">
        <v>3.7051487609892613</v>
      </c>
      <c r="C106" s="1">
        <v>1.6695957810243134</v>
      </c>
      <c r="D106" s="1">
        <v>3.7335150427452652</v>
      </c>
      <c r="E106" s="1">
        <v>3.7372492722855837</v>
      </c>
    </row>
    <row r="107" spans="1:5" ht="13" x14ac:dyDescent="0.15">
      <c r="A107" s="1">
        <v>-2.3979400086720375</v>
      </c>
      <c r="B107" s="1">
        <v>0.94718856552609354</v>
      </c>
      <c r="C107" s="1">
        <v>0.32118402730231416</v>
      </c>
      <c r="D107" s="1">
        <v>0.97950284878740124</v>
      </c>
      <c r="E107" s="1">
        <v>1.065729059462349</v>
      </c>
    </row>
    <row r="108" spans="1:5" ht="13" x14ac:dyDescent="0.15">
      <c r="A108" s="1">
        <v>-2.5228787452803374</v>
      </c>
      <c r="B108" s="1">
        <v>0.45788189673399232</v>
      </c>
      <c r="C108" s="1">
        <v>0.40019248859257595</v>
      </c>
      <c r="D108" s="1">
        <v>0.53364497879876283</v>
      </c>
      <c r="E108" s="1">
        <v>0.77305469336426258</v>
      </c>
    </row>
    <row r="109" spans="1:5" ht="13" x14ac:dyDescent="0.15">
      <c r="A109" s="1">
        <v>-2.0969100130080562</v>
      </c>
      <c r="B109" s="1">
        <v>1.0754739645889464</v>
      </c>
      <c r="C109" s="1">
        <v>0.25959387888594865</v>
      </c>
      <c r="D109" s="1">
        <v>1.1058506743851435</v>
      </c>
      <c r="E109" s="1">
        <v>1.1636979458925691</v>
      </c>
    </row>
    <row r="110" spans="1:5" ht="13" x14ac:dyDescent="0.15">
      <c r="A110" s="1">
        <v>-2.6989700043360187</v>
      </c>
      <c r="B110" s="1">
        <v>0.39863432453839209</v>
      </c>
      <c r="C110" s="1">
        <v>0.31048089146267516</v>
      </c>
      <c r="D110" s="1">
        <v>0.50758603976301075</v>
      </c>
      <c r="E110" s="1">
        <v>0.72115084374968408</v>
      </c>
    </row>
    <row r="111" spans="1:5" ht="13" x14ac:dyDescent="0.15">
      <c r="A111" s="1">
        <v>-3</v>
      </c>
      <c r="B111" s="1">
        <v>0.23426412437878932</v>
      </c>
      <c r="C111" s="1">
        <v>0.45757914699576252</v>
      </c>
      <c r="D111" s="1">
        <v>0.33984878303763705</v>
      </c>
      <c r="E111" s="1">
        <v>0.70372115992701989</v>
      </c>
    </row>
    <row r="112" spans="1:5" ht="13" x14ac:dyDescent="0.15">
      <c r="A112" s="1">
        <v>-2.6989700043360187</v>
      </c>
      <c r="B112" s="1">
        <v>0.31576049066573458</v>
      </c>
      <c r="C112" s="1">
        <v>0.48301642014413215</v>
      </c>
      <c r="D112" s="1">
        <v>0.40773072802633542</v>
      </c>
      <c r="E112" s="1">
        <v>0.74795530690672984</v>
      </c>
    </row>
    <row r="113" spans="1:5" ht="13" x14ac:dyDescent="0.15">
      <c r="A113" s="1">
        <v>-2.5228787452803374</v>
      </c>
      <c r="B113" s="1">
        <v>0.54924855685405594</v>
      </c>
      <c r="C113" s="1">
        <v>0.28600712207947454</v>
      </c>
      <c r="D113" s="1">
        <v>0.62324929039790045</v>
      </c>
      <c r="E113" s="1">
        <v>0.78760214618233748</v>
      </c>
    </row>
    <row r="114" spans="1:5" ht="13" x14ac:dyDescent="0.15">
      <c r="A114" s="1">
        <v>-2.5228787452803374</v>
      </c>
      <c r="B114" s="1">
        <v>0.48244479191826517</v>
      </c>
      <c r="C114" s="1">
        <v>0.30621050816776152</v>
      </c>
      <c r="D114" s="1">
        <v>0.57077636879474825</v>
      </c>
      <c r="E114" s="1">
        <v>0.75936562165592869</v>
      </c>
    </row>
    <row r="115" spans="1:5" ht="13" x14ac:dyDescent="0.15">
      <c r="A115" s="1">
        <v>-2.3010299956639813</v>
      </c>
      <c r="B115" s="1">
        <v>0.72024201828705703</v>
      </c>
      <c r="C115" s="1">
        <v>0.13830269816628146</v>
      </c>
      <c r="D115" s="1">
        <v>0.77334754198082301</v>
      </c>
      <c r="E115" s="1">
        <v>0.86385796188397301</v>
      </c>
    </row>
    <row r="116" spans="1:5" ht="13" x14ac:dyDescent="0.15">
      <c r="A116" s="1">
        <v>-2.3979400086720375</v>
      </c>
      <c r="B116" s="1">
        <v>0.75921443123424392</v>
      </c>
      <c r="C116" s="1">
        <v>0.37730625106819882</v>
      </c>
      <c r="D116" s="1">
        <v>0.83708315082318585</v>
      </c>
      <c r="E116" s="1">
        <v>0.96642334594369317</v>
      </c>
    </row>
    <row r="117" spans="1:5" ht="13" x14ac:dyDescent="0.15">
      <c r="A117" s="1">
        <v>-2.6989700043360187</v>
      </c>
      <c r="B117" s="1">
        <v>0.57368369309379796</v>
      </c>
      <c r="C117" s="1">
        <v>0.41830129131974547</v>
      </c>
      <c r="D117" s="1">
        <v>0.66717267247886847</v>
      </c>
      <c r="E117" s="1">
        <v>0.86135516019326008</v>
      </c>
    </row>
    <row r="118" spans="1:5" ht="13" x14ac:dyDescent="0.15">
      <c r="A118" s="1">
        <v>-2.6989700043360187</v>
      </c>
      <c r="B118" s="1">
        <v>0.21537315278342195</v>
      </c>
      <c r="C118" s="1">
        <v>0.11627558758054428</v>
      </c>
      <c r="D118" s="1">
        <v>0.30492116190089169</v>
      </c>
      <c r="E118" s="1">
        <v>0.52179164963912339</v>
      </c>
    </row>
    <row r="119" spans="1:5" ht="13" x14ac:dyDescent="0.15">
      <c r="A119" s="1">
        <v>-2.6989700043360187</v>
      </c>
      <c r="B119" s="1">
        <v>0.47377883464672477</v>
      </c>
      <c r="C119" s="1">
        <v>0.41060854256836787</v>
      </c>
      <c r="D119" s="1">
        <v>0.57007570532160423</v>
      </c>
      <c r="E119" s="1">
        <v>0.79858159472854773</v>
      </c>
    </row>
    <row r="120" spans="1:5" ht="13" x14ac:dyDescent="0.15">
      <c r="A120" s="1">
        <v>-2.5228787452803374</v>
      </c>
      <c r="B120" s="1">
        <v>0.3178544893314692</v>
      </c>
      <c r="C120" s="1">
        <v>8.4218686739238768E-2</v>
      </c>
      <c r="D120" s="1">
        <v>0.37401474029191156</v>
      </c>
      <c r="E120" s="1">
        <v>0.55388302664387434</v>
      </c>
    </row>
    <row r="121" spans="1:5" ht="13" x14ac:dyDescent="0.15">
      <c r="A121" s="1">
        <v>-2.6989700043360187</v>
      </c>
      <c r="B121" s="1">
        <v>0.56122067893394378</v>
      </c>
      <c r="C121" s="1">
        <v>0.33465476688324136</v>
      </c>
      <c r="D121" s="1">
        <v>0.63113925025681106</v>
      </c>
      <c r="E121" s="1">
        <v>0.8087509723495947</v>
      </c>
    </row>
    <row r="122" spans="1:5" ht="13" x14ac:dyDescent="0.15">
      <c r="A122" s="1">
        <v>-2.5228787452803374</v>
      </c>
      <c r="B122" s="1">
        <v>0.51719589794997434</v>
      </c>
      <c r="C122" s="1">
        <v>0.40140054078154408</v>
      </c>
      <c r="D122" s="1">
        <v>0.58115289196628883</v>
      </c>
      <c r="E122" s="1">
        <v>0.80147231352147108</v>
      </c>
    </row>
    <row r="123" spans="1:5" ht="13" x14ac:dyDescent="0.15">
      <c r="A123" s="1">
        <v>-2.3979400086720375</v>
      </c>
      <c r="B123" s="1">
        <v>0.87279703998959846</v>
      </c>
      <c r="C123" s="1">
        <v>0.41796964221473698</v>
      </c>
      <c r="D123" s="1">
        <v>0.92695948838027575</v>
      </c>
      <c r="E123" s="1">
        <v>1.0441476208787228</v>
      </c>
    </row>
    <row r="124" spans="1:5" ht="13" x14ac:dyDescent="0.15">
      <c r="A124" s="1">
        <v>-1.8860566476931633</v>
      </c>
      <c r="B124" s="1">
        <v>2.0775677437893219</v>
      </c>
      <c r="C124" s="1">
        <v>0.89304011195711797</v>
      </c>
      <c r="D124" s="1">
        <v>2.1134218859861469</v>
      </c>
      <c r="E124" s="1">
        <v>2.1388140748403659</v>
      </c>
    </row>
    <row r="125" spans="1:5" ht="13" x14ac:dyDescent="0.15">
      <c r="A125" s="1">
        <v>-2.0969100130080562</v>
      </c>
      <c r="B125" s="1">
        <v>1.5263651274825216</v>
      </c>
      <c r="C125" s="1">
        <v>0.9702073588068546</v>
      </c>
      <c r="D125" s="1">
        <v>1.5959589287575484</v>
      </c>
      <c r="E125" s="1">
        <v>1.6882417959777118</v>
      </c>
    </row>
    <row r="126" spans="1:5" ht="13" x14ac:dyDescent="0.15">
      <c r="A126" s="1">
        <v>-1.5686362358410126</v>
      </c>
      <c r="B126" s="1">
        <v>2.1404797595532723</v>
      </c>
      <c r="C126" s="1">
        <v>0.79351100579285783</v>
      </c>
      <c r="D126" s="1">
        <v>2.1691363749738239</v>
      </c>
      <c r="E126" s="1">
        <v>2.1870523327377867</v>
      </c>
    </row>
    <row r="127" spans="1:5" ht="13" x14ac:dyDescent="0.15">
      <c r="A127" s="1">
        <v>-2.0457574905606752</v>
      </c>
      <c r="B127" s="1">
        <v>1.6051433679800673</v>
      </c>
      <c r="C127" s="1">
        <v>0.80631566980811353</v>
      </c>
      <c r="D127" s="1">
        <v>1.6637951222194076</v>
      </c>
      <c r="E127" s="1">
        <v>1.7202585593729991</v>
      </c>
    </row>
    <row r="128" spans="1:5" ht="13" x14ac:dyDescent="0.15">
      <c r="A128" s="1">
        <v>-2.2218487496163561</v>
      </c>
      <c r="B128" s="1">
        <v>1.5606119300929948</v>
      </c>
      <c r="C128" s="1">
        <v>0.97831749674675117</v>
      </c>
      <c r="D128" s="1">
        <v>1.6377298259796431</v>
      </c>
      <c r="E128" s="1">
        <v>1.7237593257004455</v>
      </c>
    </row>
    <row r="129" spans="1:5" ht="13" x14ac:dyDescent="0.15">
      <c r="A129" s="1">
        <v>-1.744727494896694</v>
      </c>
      <c r="B129" s="1">
        <v>2.0382027526349802</v>
      </c>
      <c r="C129" s="1">
        <v>0.8937062930647135</v>
      </c>
      <c r="D129" s="1">
        <v>2.0769752273607351</v>
      </c>
      <c r="E129" s="1">
        <v>2.104558804955142</v>
      </c>
    </row>
    <row r="130" spans="1:5" ht="13" x14ac:dyDescent="0.15">
      <c r="A130" s="1">
        <v>-1.744727494896694</v>
      </c>
      <c r="B130" s="1">
        <v>2.0122422977743675</v>
      </c>
      <c r="C130" s="1">
        <v>0.78816837114116767</v>
      </c>
      <c r="D130" s="1">
        <v>2.0484689946613654</v>
      </c>
      <c r="E130" s="1">
        <v>2.0716868990154667</v>
      </c>
    </row>
    <row r="131" spans="1:5" ht="13" x14ac:dyDescent="0.15">
      <c r="A131" s="1">
        <v>-1.853871964321762</v>
      </c>
      <c r="B131" s="1">
        <v>1.7180613584988715</v>
      </c>
      <c r="C131" s="1">
        <v>0.81590965088677458</v>
      </c>
      <c r="D131" s="1">
        <v>1.7696579019255465</v>
      </c>
      <c r="E131" s="1">
        <v>1.8154648436465348</v>
      </c>
    </row>
    <row r="132" spans="1:5" ht="13" x14ac:dyDescent="0.15">
      <c r="A132" s="1">
        <v>-2.0969100130080562</v>
      </c>
      <c r="B132" s="1">
        <v>1.5706830122849513</v>
      </c>
      <c r="C132" s="1">
        <v>0.80126647048962019</v>
      </c>
      <c r="D132" s="1">
        <v>1.6314742091483598</v>
      </c>
      <c r="E132" s="1">
        <v>1.6913556037452862</v>
      </c>
    </row>
    <row r="133" spans="1:5" ht="13" x14ac:dyDescent="0.15">
      <c r="A133" s="1">
        <v>-2.2218487496163561</v>
      </c>
      <c r="B133" s="1">
        <v>1.4269664626300749</v>
      </c>
      <c r="C133" s="1">
        <v>0.85125834871907524</v>
      </c>
      <c r="D133" s="1">
        <v>1.5016616504740847</v>
      </c>
      <c r="E133" s="1">
        <v>1.589323945450198</v>
      </c>
    </row>
    <row r="134" spans="1:5" ht="13" x14ac:dyDescent="0.15">
      <c r="A134" s="1">
        <v>-1.9208187539523751</v>
      </c>
      <c r="B134" s="1">
        <v>1.2387233753953977</v>
      </c>
      <c r="C134" s="1">
        <v>0.56513915196978948</v>
      </c>
      <c r="D134" s="1">
        <v>1.3020710536500748</v>
      </c>
      <c r="E134" s="1">
        <v>1.375169608851635</v>
      </c>
    </row>
    <row r="135" spans="1:5" ht="13" x14ac:dyDescent="0.15">
      <c r="A135" s="1">
        <v>-2</v>
      </c>
      <c r="B135" s="1">
        <v>1.731556534344622</v>
      </c>
      <c r="C135" s="1">
        <v>0.88377496135525824</v>
      </c>
      <c r="D135" s="1">
        <v>1.7975237474730381</v>
      </c>
      <c r="E135" s="1">
        <v>1.8475047953273163</v>
      </c>
    </row>
    <row r="136" spans="1:5" ht="13" x14ac:dyDescent="0.15">
      <c r="A136" s="1">
        <v>-2.0457574905606752</v>
      </c>
      <c r="B136" s="1">
        <v>1.711866255347714</v>
      </c>
      <c r="C136" s="1">
        <v>0.95712819767681312</v>
      </c>
      <c r="D136" s="1">
        <v>1.7855362538163344</v>
      </c>
      <c r="E136" s="1">
        <v>1.8456498636990522</v>
      </c>
    </row>
    <row r="137" spans="1:5" ht="13" x14ac:dyDescent="0.15">
      <c r="A137" s="1">
        <v>-1.8860566476931633</v>
      </c>
      <c r="B137" s="1">
        <v>1.9238085453425331</v>
      </c>
      <c r="C137" s="1">
        <v>0.96184805901832426</v>
      </c>
      <c r="D137" s="1">
        <v>1.9749857958101829</v>
      </c>
      <c r="E137" s="1">
        <v>2.0152004289835435</v>
      </c>
    </row>
    <row r="138" spans="1:5" ht="13" x14ac:dyDescent="0.15">
      <c r="A138" s="1">
        <v>-1.494850021680094</v>
      </c>
      <c r="B138" s="1">
        <v>2.784258441421207</v>
      </c>
      <c r="C138" s="1">
        <v>1.2275267849372016</v>
      </c>
      <c r="D138" s="1">
        <v>2.8153080567146103</v>
      </c>
      <c r="E138" s="1">
        <v>2.8263858276474476</v>
      </c>
    </row>
    <row r="139" spans="1:5" ht="13" x14ac:dyDescent="0.15">
      <c r="A139" s="1">
        <v>-1.7695510786217261</v>
      </c>
      <c r="B139" s="1">
        <v>2.5212061004048523</v>
      </c>
      <c r="C139" s="1">
        <v>1.3898922554420627</v>
      </c>
      <c r="D139" s="1">
        <v>2.5692919595285866</v>
      </c>
      <c r="E139" s="1">
        <v>2.59711464206443</v>
      </c>
    </row>
    <row r="140" spans="1:5" ht="13" x14ac:dyDescent="0.15">
      <c r="A140" s="1">
        <v>-1.1870866433571443</v>
      </c>
      <c r="B140" s="1">
        <v>2.4818337473598922</v>
      </c>
      <c r="C140" s="1">
        <v>0.95515838692579358</v>
      </c>
      <c r="D140" s="1">
        <v>2.5074362106657944</v>
      </c>
      <c r="E140" s="1">
        <v>2.519444700852111</v>
      </c>
    </row>
    <row r="141" spans="1:5" ht="13" x14ac:dyDescent="0.15">
      <c r="A141" s="1">
        <v>-1.6989700043360187</v>
      </c>
      <c r="B141" s="1">
        <v>2.3135804069953916</v>
      </c>
      <c r="C141" s="1">
        <v>1.1761202110560856</v>
      </c>
      <c r="D141" s="1">
        <v>2.3669382010428244</v>
      </c>
      <c r="E141" s="1">
        <v>2.394060990350475</v>
      </c>
    </row>
    <row r="142" spans="1:5" ht="13" x14ac:dyDescent="0.15">
      <c r="A142" s="1">
        <v>-1.744727494896694</v>
      </c>
      <c r="B142" s="1">
        <v>2.5106361488676101</v>
      </c>
      <c r="C142" s="1">
        <v>1.3897506588375064</v>
      </c>
      <c r="D142" s="1">
        <v>2.5832520653219602</v>
      </c>
      <c r="E142" s="1">
        <v>2.6102128649743706</v>
      </c>
    </row>
    <row r="143" spans="1:5" ht="13" x14ac:dyDescent="0.15">
      <c r="A143" s="1">
        <v>-1.2365720064370627</v>
      </c>
      <c r="B143" s="1">
        <v>2.9467474259834341</v>
      </c>
      <c r="C143" s="1">
        <v>1.2227424760266008</v>
      </c>
      <c r="D143" s="1">
        <v>2.9726628172126319</v>
      </c>
      <c r="E143" s="1">
        <v>2.9803193138751478</v>
      </c>
    </row>
    <row r="144" spans="1:5" ht="13" x14ac:dyDescent="0.15">
      <c r="A144" s="1">
        <v>-1.3098039199714864</v>
      </c>
      <c r="B144" s="1">
        <v>2.9213248463237269</v>
      </c>
      <c r="C144" s="1">
        <v>1.1828709639889086</v>
      </c>
      <c r="D144" s="1">
        <v>2.9541117188530919</v>
      </c>
      <c r="E144" s="1">
        <v>2.9614044813914862</v>
      </c>
    </row>
    <row r="145" spans="1:5" ht="13" x14ac:dyDescent="0.15">
      <c r="A145" s="1">
        <v>-1.3010299956639813</v>
      </c>
      <c r="B145" s="1">
        <v>2.7162221061324479</v>
      </c>
      <c r="C145" s="1">
        <v>1.1983546247369399</v>
      </c>
      <c r="D145" s="1">
        <v>2.7515516075622508</v>
      </c>
      <c r="E145" s="1">
        <v>2.7635350564185104</v>
      </c>
    </row>
    <row r="146" spans="1:5" ht="13" x14ac:dyDescent="0.15">
      <c r="A146" s="1">
        <v>-1.8239087409443189</v>
      </c>
      <c r="B146" s="1">
        <v>2.2067989003815476</v>
      </c>
      <c r="C146" s="1">
        <v>1.2312911464183494</v>
      </c>
      <c r="D146" s="1">
        <v>2.2823864379572374</v>
      </c>
      <c r="E146" s="1">
        <v>2.3193746764040162</v>
      </c>
    </row>
    <row r="147" spans="1:5" ht="13" x14ac:dyDescent="0.15">
      <c r="A147" s="1">
        <v>-1.3979400086720375</v>
      </c>
      <c r="B147" s="1">
        <v>2.1754074309848992</v>
      </c>
      <c r="C147" s="1">
        <v>0.93666451300007547</v>
      </c>
      <c r="D147" s="1">
        <v>2.2129702275121526</v>
      </c>
      <c r="E147" s="1">
        <v>2.2353693447890453</v>
      </c>
    </row>
    <row r="148" spans="1:5" ht="13" x14ac:dyDescent="0.15">
      <c r="A148" s="1">
        <v>-1.585026652029182</v>
      </c>
      <c r="B148" s="1">
        <v>2.7059432116740929</v>
      </c>
      <c r="C148" s="1">
        <v>1.3677844122811538</v>
      </c>
      <c r="D148" s="1">
        <v>2.7683413182850858</v>
      </c>
      <c r="E148" s="1">
        <v>2.7852750107716129</v>
      </c>
    </row>
    <row r="149" spans="1:5" ht="13" x14ac:dyDescent="0.15">
      <c r="A149" s="1">
        <v>-1.5528419686577808</v>
      </c>
      <c r="B149" s="1">
        <v>2.8335569791672173</v>
      </c>
      <c r="C149" s="1">
        <v>1.3952040393618497</v>
      </c>
      <c r="D149" s="1">
        <v>2.8758422907451955</v>
      </c>
      <c r="E149" s="1">
        <v>2.8899697217909046</v>
      </c>
    </row>
    <row r="150" spans="1:5" ht="13" x14ac:dyDescent="0.15">
      <c r="A150" s="1">
        <v>-0.75945075171740029</v>
      </c>
      <c r="B150" s="1">
        <v>3.5743417641208963</v>
      </c>
      <c r="C150" s="1">
        <v>1.5651391519697895</v>
      </c>
      <c r="D150" s="1">
        <v>3.6021097151995032</v>
      </c>
      <c r="E150" s="1">
        <v>3.6060824160396709</v>
      </c>
    </row>
    <row r="151" spans="1:5" ht="13" x14ac:dyDescent="0.15">
      <c r="A151" s="1">
        <v>-1.2757241303992111</v>
      </c>
      <c r="B151" s="1">
        <v>3.3739818824503756</v>
      </c>
      <c r="C151" s="1">
        <v>1.7110391561194014</v>
      </c>
      <c r="D151" s="1">
        <v>3.4128833796334703</v>
      </c>
      <c r="E151" s="1">
        <v>3.4214275411752353</v>
      </c>
    </row>
    <row r="152" spans="1:5" ht="13" x14ac:dyDescent="0.15">
      <c r="A152" s="1">
        <v>-0.82102305270683062</v>
      </c>
      <c r="B152" s="1">
        <v>3.0300558050921249</v>
      </c>
      <c r="C152" s="1">
        <v>1.2216749970707688</v>
      </c>
      <c r="D152" s="1">
        <v>3.0587626240573629</v>
      </c>
      <c r="E152" s="1">
        <v>3.0650379091484998</v>
      </c>
    </row>
    <row r="153" spans="1:5" ht="13" x14ac:dyDescent="0.15">
      <c r="A153" s="1">
        <v>-1.0409586076789064</v>
      </c>
      <c r="B153" s="1">
        <v>2.9661145004474703</v>
      </c>
      <c r="C153" s="1">
        <v>1.4540212057026003</v>
      </c>
      <c r="D153" s="1">
        <v>3.0125837420230561</v>
      </c>
      <c r="E153" s="1">
        <v>3.024429016898134</v>
      </c>
    </row>
    <row r="154" spans="1:5" ht="13" x14ac:dyDescent="0.15">
      <c r="A154" s="1">
        <v>-1.3010299956639813</v>
      </c>
      <c r="B154" s="1">
        <v>3.3216000872842413</v>
      </c>
      <c r="C154" s="1">
        <v>1.6682833887237569</v>
      </c>
      <c r="D154" s="1">
        <v>3.3770381955489053</v>
      </c>
      <c r="E154" s="1">
        <v>3.3854486121720018</v>
      </c>
    </row>
    <row r="155" spans="1:5" ht="13" x14ac:dyDescent="0.15">
      <c r="A155" s="1">
        <v>-0.83268266525182388</v>
      </c>
      <c r="B155" s="1">
        <v>3.3882928956517868</v>
      </c>
      <c r="C155" s="1">
        <v>1.5092025223311027</v>
      </c>
      <c r="D155" s="1">
        <v>3.4240929867220999</v>
      </c>
      <c r="E155" s="1">
        <v>3.4293486345215785</v>
      </c>
    </row>
    <row r="156" spans="1:5" ht="13" x14ac:dyDescent="0.15">
      <c r="A156" s="1">
        <v>-1.6575773191777938</v>
      </c>
      <c r="B156" s="1">
        <v>2.2710000719407666</v>
      </c>
      <c r="C156" s="1">
        <v>0.97464983443872211</v>
      </c>
      <c r="D156" s="1">
        <v>2.3010430243030098</v>
      </c>
      <c r="E156" s="1">
        <v>2.3210575556031725</v>
      </c>
    </row>
    <row r="157" spans="1:5" ht="13" x14ac:dyDescent="0.15">
      <c r="A157" s="1">
        <v>-1.8860566476931633</v>
      </c>
      <c r="B157" s="1">
        <v>1.9096095104901689</v>
      </c>
      <c r="C157" s="1">
        <v>0.84571801796665869</v>
      </c>
      <c r="D157" s="1">
        <v>1.9484471993546977</v>
      </c>
      <c r="E157" s="1">
        <v>1.9814425691119624</v>
      </c>
    </row>
    <row r="158" spans="1:5" ht="13" x14ac:dyDescent="0.15">
      <c r="A158" s="1">
        <v>-1.8860566476931633</v>
      </c>
      <c r="B158" s="1">
        <v>1.9218996695391406</v>
      </c>
      <c r="C158" s="1">
        <v>0.96213246929823548</v>
      </c>
      <c r="D158" s="1">
        <v>1.9863461858886178</v>
      </c>
      <c r="E158" s="1">
        <v>2.0255925688516738</v>
      </c>
    </row>
    <row r="159" spans="1:5" ht="13" x14ac:dyDescent="0.15">
      <c r="A159" s="1">
        <v>-1.7695510786217261</v>
      </c>
      <c r="B159" s="1">
        <v>1.5931530993768499</v>
      </c>
      <c r="C159" s="1">
        <v>0.55606115900953257</v>
      </c>
      <c r="D159" s="1">
        <v>1.6247254481460953</v>
      </c>
      <c r="E159" s="1">
        <v>1.6603056550178776</v>
      </c>
    </row>
    <row r="160" spans="1:5" ht="13" x14ac:dyDescent="0.15">
      <c r="A160" s="1">
        <v>-1.2924298239020637</v>
      </c>
      <c r="B160" s="1">
        <v>3.1353877443381104</v>
      </c>
      <c r="C160" s="1">
        <v>1.3981310562166969</v>
      </c>
      <c r="D160" s="1">
        <v>3.1631115594975197</v>
      </c>
      <c r="E160" s="1">
        <v>3.1705093100353059</v>
      </c>
    </row>
    <row r="161" spans="1:5" ht="13" x14ac:dyDescent="0.15">
      <c r="A161" s="1">
        <v>-1.2924298239020637</v>
      </c>
      <c r="B161" s="1">
        <v>2.9811092995079851</v>
      </c>
      <c r="C161" s="1">
        <v>1.3071964211494127</v>
      </c>
      <c r="D161" s="1">
        <v>3.0086780823124921</v>
      </c>
      <c r="E161" s="1">
        <v>3.0172295626617389</v>
      </c>
    </row>
    <row r="162" spans="1:5" ht="13" x14ac:dyDescent="0.15">
      <c r="A162" s="1">
        <v>-1.3979400086720375</v>
      </c>
      <c r="B162" s="1">
        <v>2.8484563876486502</v>
      </c>
      <c r="C162" s="1">
        <v>1.3235820798489948</v>
      </c>
      <c r="D162" s="1">
        <v>2.8947346448651414</v>
      </c>
      <c r="E162" s="1">
        <v>2.9062391200245306</v>
      </c>
    </row>
    <row r="163" spans="1:5" ht="13" x14ac:dyDescent="0.15">
      <c r="A163" s="1">
        <v>-1.4436974992327127</v>
      </c>
      <c r="B163" s="1">
        <v>2.4124521470686053</v>
      </c>
      <c r="C163" s="1">
        <v>0.99277436425535559</v>
      </c>
      <c r="D163" s="1">
        <v>2.4379819135767824</v>
      </c>
      <c r="E163" s="1">
        <v>2.4532892841625653</v>
      </c>
    </row>
    <row r="164" spans="1:5" ht="13" x14ac:dyDescent="0.15">
      <c r="A164" s="1">
        <v>-1.4089353929735009</v>
      </c>
      <c r="B164" s="1">
        <v>2.7908668837239077</v>
      </c>
      <c r="C164" s="1">
        <v>1.269139196792179</v>
      </c>
      <c r="D164" s="1">
        <v>2.8243829486769645</v>
      </c>
      <c r="E164" s="1">
        <v>2.8363108207742189</v>
      </c>
    </row>
    <row r="165" spans="1:5" ht="13" x14ac:dyDescent="0.15">
      <c r="A165" s="1">
        <v>-1.3565473235138126</v>
      </c>
      <c r="B165" s="1">
        <v>3.0327440355303077</v>
      </c>
      <c r="C165" s="1">
        <v>1.3435267530977173</v>
      </c>
      <c r="D165" s="1">
        <v>3.0628537562412195</v>
      </c>
      <c r="E165" s="1">
        <v>3.0710638065081644</v>
      </c>
    </row>
    <row r="166" spans="1:5" ht="13" x14ac:dyDescent="0.15">
      <c r="A166" s="1">
        <v>-1.4089353929735009</v>
      </c>
      <c r="B166" s="1">
        <v>2.578281543260899</v>
      </c>
      <c r="C166" s="1">
        <v>1.0985052832013156</v>
      </c>
      <c r="D166" s="1">
        <v>2.620403631237139</v>
      </c>
      <c r="E166" s="1">
        <v>2.633269442516287</v>
      </c>
    </row>
    <row r="167" spans="1:5" ht="13" x14ac:dyDescent="0.15">
      <c r="A167" s="1">
        <v>-0.83268266525182388</v>
      </c>
      <c r="B167" s="1">
        <v>3.733037164768906</v>
      </c>
      <c r="C167" s="1">
        <v>1.6739143942939891</v>
      </c>
      <c r="D167" s="1">
        <v>3.7624025978104227</v>
      </c>
      <c r="E167" s="1">
        <v>3.7659330735003733</v>
      </c>
    </row>
    <row r="168" spans="1:5" ht="13" x14ac:dyDescent="0.15">
      <c r="A168" s="1">
        <v>-0.74957999769110606</v>
      </c>
      <c r="B168" s="1">
        <v>3.7323256345863087</v>
      </c>
      <c r="C168" s="1">
        <v>1.6455990953524453</v>
      </c>
      <c r="D168" s="1">
        <v>3.7596556087422939</v>
      </c>
      <c r="E168" s="1">
        <v>3.7629847121628437</v>
      </c>
    </row>
    <row r="169" spans="1:5" ht="13" x14ac:dyDescent="0.15">
      <c r="A169" s="1">
        <v>-2.0969100130080562</v>
      </c>
      <c r="B169" s="1">
        <v>1.7434078425120929</v>
      </c>
      <c r="C169" s="1">
        <v>0.87903850523723703</v>
      </c>
      <c r="D169" s="1">
        <v>1.8069731937518851</v>
      </c>
      <c r="E169" s="1">
        <v>1.8554343479074056</v>
      </c>
    </row>
    <row r="170" spans="1:5" ht="13" x14ac:dyDescent="0.15">
      <c r="A170" s="1">
        <v>-2.3010299956639813</v>
      </c>
      <c r="B170" s="1">
        <v>1.2231323624715884</v>
      </c>
      <c r="C170" s="1">
        <v>0.88952579667119114</v>
      </c>
      <c r="D170" s="1">
        <v>1.3219710555263013</v>
      </c>
      <c r="E170" s="1">
        <v>1.45851698504883</v>
      </c>
    </row>
    <row r="171" spans="1:5" ht="13" x14ac:dyDescent="0.15">
      <c r="A171" s="1">
        <v>-1.7695510786217261</v>
      </c>
      <c r="B171" s="1">
        <v>1.648447836938991</v>
      </c>
      <c r="C171" s="1">
        <v>0.64962688684052949</v>
      </c>
      <c r="D171" s="1">
        <v>1.6976303131466204</v>
      </c>
      <c r="E171" s="1">
        <v>1.7348718061349173</v>
      </c>
    </row>
    <row r="172" spans="1:5" ht="13" x14ac:dyDescent="0.15">
      <c r="A172" s="1">
        <v>-2</v>
      </c>
      <c r="B172" s="1">
        <v>1.4459931817876466</v>
      </c>
      <c r="C172" s="1">
        <v>0.67015304519218022</v>
      </c>
      <c r="D172" s="1">
        <v>1.5026592279545694</v>
      </c>
      <c r="E172" s="1">
        <v>1.5622571675525898</v>
      </c>
    </row>
    <row r="173" spans="1:5" ht="13" x14ac:dyDescent="0.15">
      <c r="A173" s="1">
        <v>-2.2218487496163561</v>
      </c>
      <c r="B173" s="1">
        <v>1.59035133323545</v>
      </c>
      <c r="C173" s="1">
        <v>0.98806820339263524</v>
      </c>
      <c r="D173" s="1">
        <v>1.6792097860449313</v>
      </c>
      <c r="E173" s="1">
        <v>1.7597056077853375</v>
      </c>
    </row>
    <row r="174" spans="1:5" ht="13" x14ac:dyDescent="0.15">
      <c r="A174" s="1">
        <v>-1.853871964321762</v>
      </c>
      <c r="B174" s="1">
        <v>1.9310712070353309</v>
      </c>
      <c r="C174" s="1">
        <v>0.87022827901179445</v>
      </c>
      <c r="D174" s="1">
        <v>1.979434550962937</v>
      </c>
      <c r="E174" s="1">
        <v>2.0119593161081752</v>
      </c>
    </row>
    <row r="175" spans="1:5" ht="13" x14ac:dyDescent="0.15">
      <c r="A175" s="1">
        <v>-1.6020599913279623</v>
      </c>
      <c r="B175" s="1">
        <v>2.1261411519802245</v>
      </c>
      <c r="C175" s="1">
        <v>0.79865064544526898</v>
      </c>
      <c r="D175" s="1">
        <v>2.161601559901567</v>
      </c>
      <c r="E175" s="1">
        <v>2.1800369418255281</v>
      </c>
    </row>
    <row r="176" spans="1:5" ht="13" x14ac:dyDescent="0.15">
      <c r="A176" s="1">
        <v>-1.853871964321762</v>
      </c>
      <c r="B176" s="1">
        <v>1.9894186683798361</v>
      </c>
      <c r="C176" s="1">
        <v>0.84341966520491829</v>
      </c>
      <c r="D176" s="1">
        <v>2.0361176598918211</v>
      </c>
      <c r="E176" s="1">
        <v>2.0631268604585493</v>
      </c>
    </row>
    <row r="177" spans="1:5" ht="13" x14ac:dyDescent="0.15">
      <c r="A177" s="1">
        <v>-2</v>
      </c>
      <c r="B177" s="1">
        <v>1.7016111533360587</v>
      </c>
      <c r="C177" s="1">
        <v>0.86899690248713546</v>
      </c>
      <c r="D177" s="1">
        <v>1.7813316411548958</v>
      </c>
      <c r="E177" s="1">
        <v>1.8314730355669422</v>
      </c>
    </row>
    <row r="178" spans="1:5" ht="13" x14ac:dyDescent="0.15">
      <c r="A178" s="1">
        <v>-2.1549019599857431</v>
      </c>
      <c r="B178" s="1">
        <v>1.30941722577814</v>
      </c>
      <c r="C178" s="1">
        <v>0.75212530729789828</v>
      </c>
      <c r="D178" s="1">
        <v>1.3672999996814041</v>
      </c>
      <c r="E178" s="1">
        <v>1.461618563954016</v>
      </c>
    </row>
    <row r="179" spans="1:5" ht="13" x14ac:dyDescent="0.15">
      <c r="A179" s="1">
        <v>-2.1549019599857431</v>
      </c>
      <c r="B179" s="1">
        <v>1.4863454536676377</v>
      </c>
      <c r="C179" s="1">
        <v>0.83803008298532011</v>
      </c>
      <c r="D179" s="1">
        <v>1.5626734489758711</v>
      </c>
      <c r="E179" s="1">
        <v>1.6376798168272204</v>
      </c>
    </row>
    <row r="180" spans="1:5" ht="13" x14ac:dyDescent="0.15">
      <c r="A180" s="1">
        <v>-2</v>
      </c>
      <c r="B180" s="1">
        <v>0.9885589568786155</v>
      </c>
      <c r="C180" s="1">
        <v>0.54555450723406496</v>
      </c>
      <c r="D180" s="1">
        <v>1.0762398197750254</v>
      </c>
      <c r="E180" s="1">
        <v>1.188394071261428</v>
      </c>
    </row>
    <row r="181" spans="1:5" ht="13" x14ac:dyDescent="0.15">
      <c r="A181" s="1">
        <v>-1.9586073148417751</v>
      </c>
      <c r="B181" s="1">
        <v>1.9111576087399766</v>
      </c>
      <c r="C181" s="1">
        <v>0.86445174715818296</v>
      </c>
      <c r="D181" s="1">
        <v>1.9565573917856789</v>
      </c>
      <c r="E181" s="1">
        <v>1.9903388547876015</v>
      </c>
    </row>
    <row r="182" spans="1:5" ht="13" x14ac:dyDescent="0.15">
      <c r="A182" s="1">
        <v>-2.0457574905606752</v>
      </c>
      <c r="B182" s="1">
        <v>1.7359659788256978</v>
      </c>
      <c r="C182" s="1">
        <v>0.94895061024554817</v>
      </c>
      <c r="D182" s="1">
        <v>1.8062139019149932</v>
      </c>
      <c r="E182" s="1">
        <v>1.8627036980629876</v>
      </c>
    </row>
    <row r="183" spans="1:5" ht="13" x14ac:dyDescent="0.15">
      <c r="A183" s="1">
        <v>-1.9208187539523751</v>
      </c>
      <c r="B183" s="1">
        <v>1.9126364850446191</v>
      </c>
      <c r="C183" s="1">
        <v>0.8552161947333633</v>
      </c>
      <c r="D183" s="1">
        <v>1.9594659342974607</v>
      </c>
      <c r="E183" s="1">
        <v>1.9923502398878326</v>
      </c>
    </row>
    <row r="184" spans="1:5" ht="13" x14ac:dyDescent="0.15">
      <c r="A184" s="1">
        <v>-1.9208187539523751</v>
      </c>
      <c r="B184" s="1">
        <v>1.8949471036323169</v>
      </c>
      <c r="C184" s="1">
        <v>0.95477298968971702</v>
      </c>
      <c r="D184" s="1">
        <v>1.9510945568416631</v>
      </c>
      <c r="E184" s="1">
        <v>1.9928229354009033</v>
      </c>
    </row>
    <row r="185" spans="1:5" ht="13" x14ac:dyDescent="0.15">
      <c r="A185" s="1">
        <v>-1.6575773191777938</v>
      </c>
      <c r="B185" s="1">
        <v>2.5856310297940492</v>
      </c>
      <c r="C185" s="1">
        <v>1.2522460504731183</v>
      </c>
      <c r="D185" s="1">
        <v>2.6391088076408722</v>
      </c>
      <c r="E185" s="1">
        <v>2.6565734607773956</v>
      </c>
    </row>
    <row r="186" spans="1:5" ht="13" x14ac:dyDescent="0.15">
      <c r="A186" s="1">
        <v>-1.8860566476931633</v>
      </c>
      <c r="B186" s="1">
        <v>2.2572128383277024</v>
      </c>
      <c r="C186" s="1">
        <v>1.3322970386888853</v>
      </c>
      <c r="D186" s="1">
        <v>2.3257413721537965</v>
      </c>
      <c r="E186" s="1">
        <v>2.3677341330297952</v>
      </c>
    </row>
    <row r="187" spans="1:5" ht="13" x14ac:dyDescent="0.15">
      <c r="A187" s="1">
        <v>-1.1487416512809248</v>
      </c>
      <c r="B187" s="1">
        <v>2.5899161068864274</v>
      </c>
      <c r="C187" s="1">
        <v>0.97977593272968555</v>
      </c>
      <c r="D187" s="1">
        <v>2.614889837180709</v>
      </c>
      <c r="E187" s="1">
        <v>2.624836730672365</v>
      </c>
    </row>
    <row r="188" spans="1:5" ht="13" x14ac:dyDescent="0.15">
      <c r="A188" s="1">
        <v>-1.6020599913279623</v>
      </c>
      <c r="B188" s="1">
        <v>2.2907578329816141</v>
      </c>
      <c r="C188" s="1">
        <v>1.1113633443251305</v>
      </c>
      <c r="D188" s="1">
        <v>2.3430282965746243</v>
      </c>
      <c r="E188" s="1">
        <v>2.3677862743638656</v>
      </c>
    </row>
    <row r="189" spans="1:5" ht="13" x14ac:dyDescent="0.15">
      <c r="A189" s="1">
        <v>-1.744727494896694</v>
      </c>
      <c r="B189" s="1">
        <v>2.5165155426447674</v>
      </c>
      <c r="C189" s="1">
        <v>1.3924507246560325</v>
      </c>
      <c r="D189" s="1">
        <v>2.5845584909106742</v>
      </c>
      <c r="E189" s="1">
        <v>2.611602240838427</v>
      </c>
    </row>
    <row r="190" spans="1:5" ht="13" x14ac:dyDescent="0.15">
      <c r="A190" s="1">
        <v>-1.3187587626244128</v>
      </c>
      <c r="B190" s="1">
        <v>2.8692047222078449</v>
      </c>
      <c r="C190" s="1">
        <v>1.2418700886856189</v>
      </c>
      <c r="D190" s="1">
        <v>2.9024244638952696</v>
      </c>
      <c r="E190" s="1">
        <v>2.911811488791721</v>
      </c>
    </row>
    <row r="191" spans="1:5" ht="13" x14ac:dyDescent="0.15">
      <c r="A191" s="1">
        <v>-1.3010299956639813</v>
      </c>
      <c r="B191" s="1">
        <v>2.8440352007451146</v>
      </c>
      <c r="C191" s="1">
        <v>1.2234959409623944</v>
      </c>
      <c r="D191" s="1">
        <v>2.8811471851502439</v>
      </c>
      <c r="E191" s="1">
        <v>2.8905959310285971</v>
      </c>
    </row>
    <row r="192" spans="1:5" ht="13" x14ac:dyDescent="0.15">
      <c r="A192" s="1">
        <v>-1.3010299956639813</v>
      </c>
      <c r="B192" s="1">
        <v>2.9703845382512331</v>
      </c>
      <c r="C192" s="1">
        <v>1.2512244095718317</v>
      </c>
      <c r="D192" s="1">
        <v>3.0038390822096983</v>
      </c>
      <c r="E192" s="1">
        <v>3.0114490609920965</v>
      </c>
    </row>
    <row r="193" spans="1:5" ht="13" x14ac:dyDescent="0.15">
      <c r="A193" s="1">
        <v>-1.3979400086720375</v>
      </c>
      <c r="B193" s="1">
        <v>2.7532666056714739</v>
      </c>
      <c r="C193" s="1">
        <v>1.2643691350516164</v>
      </c>
      <c r="D193" s="1">
        <v>2.8012177400247356</v>
      </c>
      <c r="E193" s="1">
        <v>2.8136543654612702</v>
      </c>
    </row>
    <row r="194" spans="1:5" ht="13" x14ac:dyDescent="0.15">
      <c r="A194" s="1">
        <v>-1.8239087409443189</v>
      </c>
      <c r="B194" s="1">
        <v>2.3030663979235104</v>
      </c>
      <c r="C194" s="1">
        <v>1.2668664412211808</v>
      </c>
      <c r="D194" s="1">
        <v>2.3721310433371015</v>
      </c>
      <c r="E194" s="1">
        <v>2.4049397125732339</v>
      </c>
    </row>
    <row r="195" spans="1:5" ht="13" x14ac:dyDescent="0.15">
      <c r="A195" s="1">
        <v>-1.4559319556497243</v>
      </c>
      <c r="B195" s="1">
        <v>2.1177384910037165</v>
      </c>
      <c r="C195" s="1">
        <v>0.97317405268297219</v>
      </c>
      <c r="D195" s="1">
        <v>2.1694951550887063</v>
      </c>
      <c r="E195" s="1">
        <v>2.196286748808876</v>
      </c>
    </row>
    <row r="196" spans="1:5" ht="13" x14ac:dyDescent="0.15">
      <c r="A196" s="1">
        <v>-1.3187587626244128</v>
      </c>
      <c r="B196" s="1">
        <v>3.0868308914191749</v>
      </c>
      <c r="C196" s="1">
        <v>1.3817827126351869</v>
      </c>
      <c r="D196" s="1">
        <v>3.1159681165645647</v>
      </c>
      <c r="E196" s="1">
        <v>3.1239045367727964</v>
      </c>
    </row>
    <row r="197" spans="1:5" ht="13" x14ac:dyDescent="0.15">
      <c r="A197" s="1">
        <v>-1.5686362358410126</v>
      </c>
      <c r="B197" s="1">
        <v>2.782096215875117</v>
      </c>
      <c r="C197" s="1">
        <v>1.3798672890808785</v>
      </c>
      <c r="D197" s="1">
        <v>2.8280776549062496</v>
      </c>
      <c r="E197" s="1">
        <v>2.8432813764829259</v>
      </c>
    </row>
    <row r="198" spans="1:5" ht="13" x14ac:dyDescent="0.15">
      <c r="A198" s="1">
        <v>-0.80410034759076621</v>
      </c>
      <c r="B198" s="1">
        <v>3.54116671792098</v>
      </c>
      <c r="C198" s="1">
        <v>1.6077980339793871</v>
      </c>
      <c r="D198" s="1">
        <v>3.5735801779633785</v>
      </c>
      <c r="E198" s="1">
        <v>3.5782560826703507</v>
      </c>
    </row>
    <row r="199" spans="1:5" ht="13" x14ac:dyDescent="0.15">
      <c r="A199" s="1">
        <v>-1.3467874862246563</v>
      </c>
      <c r="B199" s="1">
        <v>3.2712815398376685</v>
      </c>
      <c r="C199" s="1">
        <v>1.6960766724483849</v>
      </c>
      <c r="D199" s="1">
        <v>3.318327589557903</v>
      </c>
      <c r="E199" s="1">
        <v>3.3285699988086703</v>
      </c>
    </row>
    <row r="200" spans="1:5" ht="13" x14ac:dyDescent="0.15">
      <c r="A200" s="1">
        <v>-0.87942606879415008</v>
      </c>
      <c r="B200" s="1">
        <v>3.04712877964992</v>
      </c>
      <c r="C200" s="1">
        <v>1.4433725254048799</v>
      </c>
      <c r="D200" s="1">
        <v>3.0886707393634372</v>
      </c>
      <c r="E200" s="1">
        <v>3.0984007297805163</v>
      </c>
    </row>
    <row r="201" spans="1:5" ht="13" x14ac:dyDescent="0.15">
      <c r="A201" s="1">
        <v>-0.91721462968354994</v>
      </c>
      <c r="B201" s="1">
        <v>3.4172863103762259</v>
      </c>
      <c r="C201" s="1">
        <v>1.6972555042899145</v>
      </c>
      <c r="D201" s="1">
        <v>3.4658622441968929</v>
      </c>
      <c r="E201" s="1">
        <v>3.4732027974286317</v>
      </c>
    </row>
    <row r="202" spans="1:5" ht="13" x14ac:dyDescent="0.15">
      <c r="A202" s="1">
        <v>-1.5228787452803376</v>
      </c>
      <c r="B202" s="1">
        <v>2.7660490475181017</v>
      </c>
      <c r="C202" s="1">
        <v>1.3177918160530715</v>
      </c>
      <c r="D202" s="1">
        <v>2.8242963928558296</v>
      </c>
      <c r="E202" s="1">
        <v>2.8376187367936136</v>
      </c>
    </row>
    <row r="203" spans="1:5" ht="13" x14ac:dyDescent="0.15">
      <c r="A203" s="1">
        <v>-1.4685210829577449</v>
      </c>
      <c r="B203" s="1">
        <v>2.7753839588093729</v>
      </c>
      <c r="C203" s="1">
        <v>1.2451670688220791</v>
      </c>
      <c r="D203" s="1">
        <v>2.8129106840532052</v>
      </c>
      <c r="E203" s="1">
        <v>2.8245052688397498</v>
      </c>
    </row>
    <row r="204" spans="1:5" ht="13" x14ac:dyDescent="0.15">
      <c r="A204" s="1">
        <v>-1.494850021680094</v>
      </c>
      <c r="B204" s="1">
        <v>2.779302052352608</v>
      </c>
      <c r="C204" s="1">
        <v>1.2881597633238784</v>
      </c>
      <c r="D204" s="1">
        <v>2.8260099777911005</v>
      </c>
      <c r="E204" s="1">
        <v>2.8384183592007952</v>
      </c>
    </row>
    <row r="205" spans="1:5" ht="13" x14ac:dyDescent="0.15">
      <c r="A205" s="1">
        <v>-1.431798275933005</v>
      </c>
      <c r="B205" s="1">
        <v>2.442321387326412</v>
      </c>
      <c r="C205" s="1">
        <v>1.0447356974505071</v>
      </c>
      <c r="D205" s="1">
        <v>2.4811616078374592</v>
      </c>
      <c r="E205" s="1">
        <v>2.4967760964486652</v>
      </c>
    </row>
    <row r="206" spans="1:5" ht="13" x14ac:dyDescent="0.15">
      <c r="A206" s="1">
        <v>-0.8124792791635369</v>
      </c>
      <c r="B206" s="1">
        <v>3.711973746939413</v>
      </c>
      <c r="C206" s="1">
        <v>1.6180794903592206</v>
      </c>
      <c r="D206" s="1">
        <v>3.7385820690846714</v>
      </c>
      <c r="E206" s="1">
        <v>3.7418604727560485</v>
      </c>
    </row>
    <row r="207" spans="1:5" ht="13" x14ac:dyDescent="0.15">
      <c r="A207" s="1">
        <v>-1.6575773191777938</v>
      </c>
      <c r="B207" s="1">
        <v>2.5714537690107062</v>
      </c>
      <c r="C207" s="1">
        <v>1.2073380952883563</v>
      </c>
      <c r="D207" s="1">
        <v>2.6255737723216717</v>
      </c>
      <c r="E207" s="1">
        <v>2.6418437975016031</v>
      </c>
    </row>
    <row r="208" spans="1:5" ht="13" x14ac:dyDescent="0.15">
      <c r="A208" s="1">
        <v>-1.8860566476931633</v>
      </c>
      <c r="B208" s="1">
        <v>2.2601715982263153</v>
      </c>
      <c r="C208" s="1">
        <v>1.2933183494610736</v>
      </c>
      <c r="D208" s="1">
        <v>2.3182449490024992</v>
      </c>
      <c r="E208" s="1">
        <v>2.3574316883469915</v>
      </c>
    </row>
    <row r="209" spans="1:5" ht="13" x14ac:dyDescent="0.15">
      <c r="A209" s="1">
        <v>-1.1487416512809248</v>
      </c>
      <c r="B209" s="1">
        <v>2.3610494293884763</v>
      </c>
      <c r="C209" s="1">
        <v>0.83435711271840507</v>
      </c>
      <c r="D209" s="1">
        <v>2.3876691800548895</v>
      </c>
      <c r="E209" s="1">
        <v>2.3996494972088542</v>
      </c>
    </row>
    <row r="210" spans="1:5" ht="13" x14ac:dyDescent="0.15">
      <c r="A210" s="1">
        <v>-1.5686362358410126</v>
      </c>
      <c r="B210" s="1">
        <v>2.4270119565263255</v>
      </c>
      <c r="C210" s="1">
        <v>1.1469028699281991</v>
      </c>
      <c r="D210" s="1">
        <v>2.484084774738637</v>
      </c>
      <c r="E210" s="1">
        <v>2.5036191096573202</v>
      </c>
    </row>
    <row r="211" spans="1:5" ht="13" x14ac:dyDescent="0.15">
      <c r="A211" s="1">
        <v>-1.6989700043360187</v>
      </c>
      <c r="B211" s="1">
        <v>1.8975501208910066</v>
      </c>
      <c r="C211" s="1">
        <v>0.95133751879591766</v>
      </c>
      <c r="D211" s="1">
        <v>1.9576408035327213</v>
      </c>
      <c r="E211" s="1">
        <v>1.9984685865520075</v>
      </c>
    </row>
    <row r="212" spans="1:5" ht="13" x14ac:dyDescent="0.15">
      <c r="A212" s="1">
        <v>-1.744727494896694</v>
      </c>
      <c r="B212" s="1">
        <v>2.5707623665975521</v>
      </c>
      <c r="C212" s="1">
        <v>1.3956233943558363</v>
      </c>
      <c r="D212" s="1">
        <v>2.6414770851136518</v>
      </c>
      <c r="E212" s="1">
        <v>2.6654599720238856</v>
      </c>
    </row>
    <row r="213" spans="1:5" ht="13" x14ac:dyDescent="0.15">
      <c r="A213" s="1">
        <v>-1.4202164033831899</v>
      </c>
      <c r="B213" s="1">
        <v>2.7717542590864621</v>
      </c>
      <c r="C213" s="1">
        <v>1.2542337826501464</v>
      </c>
      <c r="D213" s="1">
        <v>2.8106625657904947</v>
      </c>
      <c r="E213" s="1">
        <v>2.8225583765358517</v>
      </c>
    </row>
    <row r="214" spans="1:5" ht="13" x14ac:dyDescent="0.15">
      <c r="A214" s="1">
        <v>-1.4685210829577449</v>
      </c>
      <c r="B214" s="1">
        <v>2.6782998111029879</v>
      </c>
      <c r="C214" s="1">
        <v>1.2056373594794292</v>
      </c>
      <c r="D214" s="1">
        <v>2.7241578565767952</v>
      </c>
      <c r="E214" s="1">
        <v>2.7371226408831797</v>
      </c>
    </row>
    <row r="215" spans="1:5" ht="13" x14ac:dyDescent="0.15">
      <c r="A215" s="1">
        <v>-1.6197887582883939</v>
      </c>
      <c r="B215" s="1">
        <v>2.3930519801119647</v>
      </c>
      <c r="C215" s="1">
        <v>1.1329957006922653</v>
      </c>
      <c r="D215" s="1">
        <v>2.4747769870949754</v>
      </c>
      <c r="E215" s="1">
        <v>2.4941100487102439</v>
      </c>
    </row>
    <row r="216" spans="1:5" ht="13" x14ac:dyDescent="0.15">
      <c r="A216" s="1">
        <v>-1.3565473235138126</v>
      </c>
      <c r="B216" s="1">
        <v>2.8068885171408491</v>
      </c>
      <c r="C216" s="1">
        <v>1.1548802447187618</v>
      </c>
      <c r="D216" s="1">
        <v>2.8469182570525851</v>
      </c>
      <c r="E216" s="1">
        <v>2.8556554191679204</v>
      </c>
    </row>
    <row r="217" spans="1:5" ht="13" x14ac:dyDescent="0.15">
      <c r="A217" s="1">
        <v>-1.431798275933005</v>
      </c>
      <c r="B217" s="1">
        <v>2.5241870391617978</v>
      </c>
      <c r="C217" s="1">
        <v>1.1517681028951787</v>
      </c>
      <c r="D217" s="1">
        <v>2.5708055385890236</v>
      </c>
      <c r="E217" s="1">
        <v>2.5870461092545565</v>
      </c>
    </row>
    <row r="218" spans="1:5" ht="13" x14ac:dyDescent="0.15">
      <c r="A218" s="1">
        <v>-1.585026652029182</v>
      </c>
      <c r="B218" s="1">
        <v>1.6089857572325401</v>
      </c>
      <c r="C218" s="1">
        <v>0.77188132019009881</v>
      </c>
      <c r="D218" s="1">
        <v>1.6687585417509576</v>
      </c>
      <c r="E218" s="1">
        <v>1.7206057767261207</v>
      </c>
    </row>
    <row r="219" spans="1:5" ht="13" x14ac:dyDescent="0.15">
      <c r="A219" s="1">
        <v>-1.6777807052660807</v>
      </c>
      <c r="B219" s="1">
        <v>2.5779568662552923</v>
      </c>
      <c r="C219" s="1">
        <v>1.2404493989932983</v>
      </c>
      <c r="D219" s="1">
        <v>2.6195138497500077</v>
      </c>
      <c r="E219" s="1">
        <v>2.6372885465371358</v>
      </c>
    </row>
    <row r="220" spans="1:5" ht="13" x14ac:dyDescent="0.15">
      <c r="A220" s="1">
        <v>-1.5528419686577808</v>
      </c>
      <c r="B220" s="1">
        <v>1.7865881762218765</v>
      </c>
      <c r="C220" s="1">
        <v>0.7833317628874239</v>
      </c>
      <c r="D220" s="1">
        <v>1.8394466211661524</v>
      </c>
      <c r="E220" s="1">
        <v>1.8760272174079264</v>
      </c>
    </row>
    <row r="221" spans="1:5" ht="13" x14ac:dyDescent="0.15">
      <c r="A221" s="1">
        <v>-1.2441251443275085</v>
      </c>
      <c r="B221" s="1">
        <v>3.1505225023808801</v>
      </c>
      <c r="C221" s="1">
        <v>1.3788700983989748</v>
      </c>
      <c r="D221" s="1">
        <v>3.1745363102256601</v>
      </c>
      <c r="E221" s="1">
        <v>3.1814333860054602</v>
      </c>
    </row>
    <row r="222" spans="1:5" ht="13" x14ac:dyDescent="0.15">
      <c r="A222" s="1">
        <v>-1.6989700043360187</v>
      </c>
      <c r="B222" s="1">
        <v>2.6052500823193125</v>
      </c>
      <c r="C222" s="1">
        <v>1.3493746742040507</v>
      </c>
      <c r="D222" s="1">
        <v>2.6694349702895472</v>
      </c>
      <c r="E222" s="1">
        <v>2.68973672587479</v>
      </c>
    </row>
    <row r="223" spans="1:5" ht="13" x14ac:dyDescent="0.15">
      <c r="A223" s="1">
        <v>-0.82681373158772598</v>
      </c>
      <c r="B223" s="1">
        <v>3.5542445051750322</v>
      </c>
      <c r="C223" s="1">
        <v>1.6169793602043556</v>
      </c>
      <c r="D223" s="1">
        <v>3.5919163247812604</v>
      </c>
      <c r="E223" s="1">
        <v>3.5964963716065088</v>
      </c>
    </row>
    <row r="224" spans="1:5" ht="13" x14ac:dyDescent="0.15">
      <c r="A224" s="1">
        <v>-1.3372421683184259</v>
      </c>
      <c r="B224" s="1">
        <v>3.2628787659402914</v>
      </c>
      <c r="C224" s="1">
        <v>1.6818650874084622</v>
      </c>
      <c r="D224" s="1">
        <v>3.3078781772470744</v>
      </c>
      <c r="E224" s="1">
        <v>3.3180332673808937</v>
      </c>
    </row>
    <row r="225" spans="1:5" ht="13" x14ac:dyDescent="0.15">
      <c r="A225" s="1">
        <v>-0.63638802010785567</v>
      </c>
      <c r="B225" s="1">
        <v>3.1131043540627741</v>
      </c>
      <c r="C225" s="1">
        <v>1.2252575769240988</v>
      </c>
      <c r="D225" s="1">
        <v>3.129928237701407</v>
      </c>
      <c r="E225" s="1">
        <v>3.1353126951334742</v>
      </c>
    </row>
    <row r="226" spans="1:5" ht="13" x14ac:dyDescent="0.15">
      <c r="A226" s="1">
        <v>-0.95467702121334252</v>
      </c>
      <c r="B226" s="1">
        <v>3.3431674491144889</v>
      </c>
      <c r="C226" s="1">
        <v>1.5416541158512407</v>
      </c>
      <c r="D226" s="1">
        <v>3.3859098161889958</v>
      </c>
      <c r="E226" s="1">
        <v>3.392085873857285</v>
      </c>
    </row>
    <row r="227" spans="1:5" ht="13" x14ac:dyDescent="0.15">
      <c r="A227" s="1">
        <v>-0.75202673363819339</v>
      </c>
      <c r="B227" s="1">
        <v>3.2347222342887973</v>
      </c>
      <c r="C227" s="1">
        <v>1.3725622182854997</v>
      </c>
      <c r="D227" s="1">
        <v>3.2540259816713677</v>
      </c>
      <c r="E227" s="1">
        <v>3.2596992147720298</v>
      </c>
    </row>
    <row r="228" spans="1:5" ht="13" x14ac:dyDescent="0.15">
      <c r="A228" s="1">
        <v>-0.81530856918240124</v>
      </c>
      <c r="B228" s="1">
        <v>3.5121281004651923</v>
      </c>
      <c r="C228" s="1">
        <v>1.6910726469314306</v>
      </c>
      <c r="D228" s="1">
        <v>3.5525769681904573</v>
      </c>
      <c r="E228" s="1">
        <v>3.5585133340804553</v>
      </c>
    </row>
    <row r="229" spans="1:5" ht="13" x14ac:dyDescent="0.15">
      <c r="A229" s="1">
        <v>-0.80687540164553839</v>
      </c>
      <c r="B229" s="1">
        <v>3.3807707591030485</v>
      </c>
      <c r="C229" s="1">
        <v>1.5394901128897587</v>
      </c>
      <c r="D229" s="1">
        <v>3.4200478818040607</v>
      </c>
      <c r="E229" s="1">
        <v>3.4257312711441017</v>
      </c>
    </row>
    <row r="230" spans="1:5" ht="13" x14ac:dyDescent="0.15">
      <c r="A230" s="1">
        <v>-1.4089353929735009</v>
      </c>
      <c r="B230" s="1">
        <v>3.1209350350865863</v>
      </c>
      <c r="C230" s="1">
        <v>1.6498506421647172</v>
      </c>
      <c r="D230" s="1">
        <v>3.1759366226932175</v>
      </c>
      <c r="E230" s="1">
        <v>3.1886807668882238</v>
      </c>
    </row>
    <row r="231" spans="1:5" ht="13" x14ac:dyDescent="0.15">
      <c r="A231" s="1">
        <v>-0.90308998699194354</v>
      </c>
      <c r="B231" s="1">
        <v>2.612812455658589</v>
      </c>
      <c r="C231" s="1">
        <v>1.1550930075304022</v>
      </c>
      <c r="D231" s="1">
        <v>2.6486751261106294</v>
      </c>
      <c r="E231" s="1">
        <v>2.66245088474381</v>
      </c>
    </row>
    <row r="232" spans="1:5" ht="13" x14ac:dyDescent="0.15">
      <c r="A232" s="1">
        <v>-0.58335949266171905</v>
      </c>
      <c r="B232" s="1">
        <v>3.2440932181666833</v>
      </c>
      <c r="C232" s="1">
        <v>1.4672232108340486</v>
      </c>
      <c r="D232" s="1">
        <v>3.2876364875044701</v>
      </c>
      <c r="E232" s="1">
        <v>3.2941590250427626</v>
      </c>
    </row>
    <row r="233" spans="1:5" ht="13" x14ac:dyDescent="0.15">
      <c r="A233" s="1">
        <v>-0.85698519974590492</v>
      </c>
      <c r="B233" s="1">
        <v>3.0484775400875037</v>
      </c>
      <c r="C233" s="1">
        <v>1.3029150795688613</v>
      </c>
      <c r="D233" s="1">
        <v>3.0733421654101183</v>
      </c>
      <c r="E233" s="1">
        <v>3.080659670946631</v>
      </c>
    </row>
    <row r="234" spans="1:5" ht="13" x14ac:dyDescent="0.15">
      <c r="A234" s="1">
        <v>-0.94309514866352739</v>
      </c>
      <c r="B234" s="1">
        <v>3.4473732639785655</v>
      </c>
      <c r="C234" s="1">
        <v>1.6670324644124679</v>
      </c>
      <c r="D234" s="1">
        <v>3.4888306615931222</v>
      </c>
      <c r="E234" s="1">
        <v>3.4953304677071997</v>
      </c>
    </row>
    <row r="235" spans="1:5" ht="13" x14ac:dyDescent="0.15">
      <c r="A235" s="1">
        <v>-0.80687540164553839</v>
      </c>
      <c r="B235" s="1">
        <v>3.6976281349599507</v>
      </c>
      <c r="C235" s="1">
        <v>1.5764565324056201</v>
      </c>
      <c r="D235" s="1">
        <v>3.7226267664862336</v>
      </c>
      <c r="E235" s="1">
        <v>3.7257177075399155</v>
      </c>
    </row>
    <row r="236" spans="1:5" ht="13" x14ac:dyDescent="0.15">
      <c r="A236" s="1">
        <v>-1.6777807052660807</v>
      </c>
      <c r="B236" s="1">
        <v>0.41830129131974547</v>
      </c>
      <c r="C236" s="1">
        <v>0.23507701535011155</v>
      </c>
      <c r="D236" s="1">
        <v>0.46284703583167375</v>
      </c>
      <c r="E236" s="1">
        <v>0.5422027824340282</v>
      </c>
    </row>
    <row r="237" spans="1:5" ht="13" x14ac:dyDescent="0.15">
      <c r="A237" s="1">
        <v>-2.2218487496163561</v>
      </c>
      <c r="B237" s="1">
        <v>0.5113485154902131</v>
      </c>
      <c r="C237" s="1">
        <v>0.22988470521289839</v>
      </c>
      <c r="D237" s="1">
        <v>0.54863505981475158</v>
      </c>
      <c r="E237" s="1">
        <v>0.61552922363713281</v>
      </c>
    </row>
    <row r="238" spans="1:5" ht="13" x14ac:dyDescent="0.15">
      <c r="A238" s="1">
        <v>-1.8860566476931633</v>
      </c>
      <c r="B238" s="1">
        <v>2.162860008469869</v>
      </c>
      <c r="C238" s="1">
        <v>0.5854607295085007</v>
      </c>
      <c r="D238" s="1">
        <v>2.1975644801017937</v>
      </c>
      <c r="E238" s="1">
        <v>2.2080461191663798</v>
      </c>
    </row>
    <row r="239" spans="1:5" ht="13" x14ac:dyDescent="0.15">
      <c r="A239" s="1">
        <v>-1.9586073148417751</v>
      </c>
      <c r="B239" s="1">
        <v>1.8443031745772649</v>
      </c>
      <c r="C239" s="1">
        <v>0.62065647981962091</v>
      </c>
      <c r="D239" s="1">
        <v>1.9106777547427052</v>
      </c>
      <c r="E239" s="1">
        <v>1.9323976550034643</v>
      </c>
    </row>
    <row r="240" spans="1:5" ht="13" x14ac:dyDescent="0.15">
      <c r="A240" s="1">
        <v>-1.853871964321762</v>
      </c>
      <c r="B240" s="1">
        <v>2.23225641828697</v>
      </c>
      <c r="C240" s="1">
        <v>0.62366270735620455</v>
      </c>
      <c r="D240" s="1">
        <v>2.2651622895944348</v>
      </c>
      <c r="E240" s="1">
        <v>2.2749656245392864</v>
      </c>
    </row>
    <row r="241" spans="1:5" ht="13" x14ac:dyDescent="0.15">
      <c r="A241" s="1">
        <v>-1.2146701649892331</v>
      </c>
      <c r="B241" s="1">
        <v>3.3721940879309673</v>
      </c>
      <c r="C241" s="1">
        <v>1.1821006598939492</v>
      </c>
      <c r="D241" s="1">
        <v>3.3976075593231365</v>
      </c>
      <c r="E241" s="1">
        <v>3.4002436400435818</v>
      </c>
    </row>
    <row r="242" spans="1:5" ht="13" x14ac:dyDescent="0.15">
      <c r="A242" s="1">
        <v>-1.2924298239020637</v>
      </c>
      <c r="B242" s="1">
        <v>3.2858713276285787</v>
      </c>
      <c r="C242" s="1">
        <v>1.1743215272640404</v>
      </c>
      <c r="D242" s="1">
        <v>3.3183434480680623</v>
      </c>
      <c r="E242" s="1">
        <v>3.3214494980491529</v>
      </c>
    </row>
    <row r="243" spans="1:5" ht="13" x14ac:dyDescent="0.15">
      <c r="A243" s="1">
        <v>-1.3187587626244128</v>
      </c>
      <c r="B243" s="1">
        <v>2.8987054404825603</v>
      </c>
      <c r="C243" s="1">
        <v>1.1695568824321849</v>
      </c>
      <c r="D243" s="1">
        <v>2.965685601460732</v>
      </c>
      <c r="E243" s="1">
        <v>2.9725753939502311</v>
      </c>
    </row>
    <row r="244" spans="1:5" ht="13" x14ac:dyDescent="0.15">
      <c r="A244" s="1">
        <v>-1.2218487496163564</v>
      </c>
      <c r="B244" s="1">
        <v>3.2448975576692893</v>
      </c>
      <c r="C244" s="1">
        <v>1.1968943469112803</v>
      </c>
      <c r="D244" s="1">
        <v>3.2795877875782429</v>
      </c>
      <c r="E244" s="1">
        <v>3.283163001537361</v>
      </c>
    </row>
    <row r="245" spans="1:5" ht="13" x14ac:dyDescent="0.15">
      <c r="A245" s="1">
        <v>-1.0457574905606752</v>
      </c>
      <c r="B245" s="1">
        <v>4.0825022328936029</v>
      </c>
      <c r="C245" s="1">
        <v>1.6111920608684343</v>
      </c>
      <c r="D245" s="1">
        <v>4.1153129929464072</v>
      </c>
      <c r="E245" s="1">
        <v>4.1166712233739204</v>
      </c>
    </row>
    <row r="246" spans="1:5" ht="13" x14ac:dyDescent="0.15">
      <c r="A246" s="1">
        <v>-1.2291479883578558</v>
      </c>
      <c r="B246" s="1">
        <v>4.0694375711216795</v>
      </c>
      <c r="C246" s="1">
        <v>1.6111920608684343</v>
      </c>
      <c r="D246" s="1">
        <v>4.1069790196614369</v>
      </c>
      <c r="E246" s="1">
        <v>4.1083635238849245</v>
      </c>
    </row>
    <row r="247" spans="1:5" ht="13" x14ac:dyDescent="0.15">
      <c r="A247" s="1">
        <v>-0.96657624451305035</v>
      </c>
      <c r="B247" s="1">
        <v>3.7521787934678859</v>
      </c>
      <c r="C247" s="1">
        <v>1.6092741724045876</v>
      </c>
      <c r="D247" s="1">
        <v>3.818113807414024</v>
      </c>
      <c r="E247" s="1">
        <v>3.8207906095252899</v>
      </c>
    </row>
    <row r="248" spans="1:5" ht="13" x14ac:dyDescent="0.15">
      <c r="A248" s="1">
        <v>-1.0915149811213503</v>
      </c>
      <c r="B248" s="1">
        <v>4.0424755305162128</v>
      </c>
      <c r="C248" s="1">
        <v>1.6215190105698074</v>
      </c>
      <c r="D248" s="1">
        <v>4.0779555676775736</v>
      </c>
      <c r="E248" s="1">
        <v>4.0794711855742545</v>
      </c>
    </row>
    <row r="249" spans="1:5" ht="13" x14ac:dyDescent="0.15">
      <c r="A249" s="1">
        <v>-0.9507819773298184</v>
      </c>
      <c r="B249" s="1">
        <v>3.939688694245929</v>
      </c>
      <c r="C249" s="1">
        <v>1.6168114763725852</v>
      </c>
      <c r="D249" s="1">
        <v>3.9878298541114328</v>
      </c>
      <c r="E249" s="1">
        <v>3.9896742045019224</v>
      </c>
    </row>
    <row r="250" spans="1:5" ht="13" x14ac:dyDescent="0.15">
      <c r="A250" s="1">
        <v>-1.5376020021010439</v>
      </c>
      <c r="B250" s="1">
        <v>3.6327733313995503</v>
      </c>
      <c r="C250" s="1">
        <v>1.6313219871321376</v>
      </c>
      <c r="D250" s="1">
        <v>3.7206340379203588</v>
      </c>
      <c r="E250" s="1">
        <v>3.7241553156659966</v>
      </c>
    </row>
    <row r="251" spans="1:5" ht="13" x14ac:dyDescent="0.15">
      <c r="A251" s="1">
        <v>-0.89619627904404309</v>
      </c>
      <c r="B251" s="1">
        <v>4.6966624104392647</v>
      </c>
      <c r="C251" s="1">
        <v>1.9551487561619105</v>
      </c>
      <c r="D251" s="1">
        <v>4.7327304246687563</v>
      </c>
      <c r="E251" s="1">
        <v>4.7334545946321525</v>
      </c>
    </row>
    <row r="252" spans="1:5" ht="13" x14ac:dyDescent="0.15">
      <c r="A252" s="1">
        <v>-2.3010299956639813</v>
      </c>
      <c r="B252" s="1">
        <v>0.26280735729526272</v>
      </c>
      <c r="C252" s="1">
        <v>0.14086170270546919</v>
      </c>
      <c r="D252" s="1">
        <v>0.11238269966426384</v>
      </c>
      <c r="E252" s="1">
        <v>0.17464119266044847</v>
      </c>
    </row>
    <row r="253" spans="1:5" ht="13" x14ac:dyDescent="0.15">
      <c r="A253" s="1">
        <v>-1.5686362358410126</v>
      </c>
      <c r="B253" s="1">
        <v>0.19044028536473223</v>
      </c>
      <c r="C253" s="1">
        <v>0.15304467498017607</v>
      </c>
      <c r="D253" s="1">
        <v>6.9560405233299899E-2</v>
      </c>
      <c r="E253" s="1">
        <v>0.1917303933628563</v>
      </c>
    </row>
    <row r="254" spans="1:5" ht="13" x14ac:dyDescent="0.15">
      <c r="A254" s="1">
        <v>-1.0915149811213503</v>
      </c>
      <c r="B254" s="1">
        <v>0.18582535961296218</v>
      </c>
      <c r="C254" s="1">
        <v>7.2116589669293102E-2</v>
      </c>
      <c r="D254" s="1">
        <v>0.26363606858810812</v>
      </c>
      <c r="E254" s="1">
        <v>0.42845877351558009</v>
      </c>
    </row>
    <row r="255" spans="1:5" ht="13" x14ac:dyDescent="0.15">
      <c r="A255" s="1">
        <v>-1.0757207139381184</v>
      </c>
      <c r="B255" s="1">
        <v>0.21005084987513725</v>
      </c>
      <c r="C255" s="1">
        <v>5.4531414868180264E-2</v>
      </c>
      <c r="D255" s="1">
        <v>0.27114431794907828</v>
      </c>
      <c r="E255" s="1">
        <v>0.4391747398434685</v>
      </c>
    </row>
    <row r="256" spans="1:5" ht="13" x14ac:dyDescent="0.15">
      <c r="A256" s="1">
        <v>-1.0861861476162833</v>
      </c>
      <c r="B256" s="1">
        <v>0.46724562100750222</v>
      </c>
      <c r="C256" s="1">
        <v>3.8911662369104775E-3</v>
      </c>
      <c r="D256" s="1">
        <v>0.29157909986528724</v>
      </c>
      <c r="E256" s="1">
        <v>0.18184358794477254</v>
      </c>
    </row>
    <row r="257" spans="1:5" ht="13" x14ac:dyDescent="0.15">
      <c r="A257" s="1">
        <v>-1.5376020021010439</v>
      </c>
      <c r="B257" s="1">
        <v>0.19586056766464957</v>
      </c>
      <c r="C257" s="1">
        <v>0.13194363817695845</v>
      </c>
      <c r="D257" s="1">
        <v>2.3191662661933767E-2</v>
      </c>
      <c r="E257" s="1">
        <v>0.2268575702887235</v>
      </c>
    </row>
    <row r="258" spans="1:5" ht="13" x14ac:dyDescent="0.15">
      <c r="A258" s="1">
        <v>-1.5228787452803376</v>
      </c>
      <c r="B258" s="1">
        <v>0.23062267392386154</v>
      </c>
      <c r="C258" s="1">
        <v>0.12493873660829995</v>
      </c>
      <c r="D258" s="1">
        <v>8.9909454405931857E-2</v>
      </c>
      <c r="E258" s="1">
        <v>0.19395897801918691</v>
      </c>
    </row>
    <row r="259" spans="1:5" ht="13" x14ac:dyDescent="0.15">
      <c r="A259" s="1">
        <v>-1.7958800173440752</v>
      </c>
      <c r="B259" s="1">
        <v>0.20736503746907187</v>
      </c>
      <c r="C259" s="1">
        <v>0.22257317761068865</v>
      </c>
      <c r="D259" s="1">
        <v>0.26834391395106466</v>
      </c>
      <c r="E259" s="1">
        <v>0.38987455839098545</v>
      </c>
    </row>
    <row r="260" spans="1:5" ht="13" x14ac:dyDescent="0.15">
      <c r="A260" s="1">
        <v>-2.3010299956639813</v>
      </c>
      <c r="B260" s="1">
        <v>9.0443970758824668E-2</v>
      </c>
      <c r="C260" s="1">
        <v>0.23507701535011155</v>
      </c>
      <c r="D260" s="1">
        <v>2.5305865264770262E-2</v>
      </c>
      <c r="E260" s="1">
        <v>0.21537315278342195</v>
      </c>
    </row>
    <row r="261" spans="1:5" ht="13" x14ac:dyDescent="0.15">
      <c r="A261" s="1">
        <v>-2.3010299956639813</v>
      </c>
      <c r="B261" s="1">
        <v>0.18575240426807979</v>
      </c>
      <c r="C261" s="1">
        <v>0.20481541031757602</v>
      </c>
      <c r="D261" s="1">
        <v>1.8181392829336417E-2</v>
      </c>
      <c r="E261" s="1">
        <v>0.19948091486235589</v>
      </c>
    </row>
    <row r="262" spans="1:5" ht="13" x14ac:dyDescent="0.15">
      <c r="A262" s="1">
        <v>-1.7695510786217261</v>
      </c>
      <c r="B262" s="1">
        <v>0.21324857785443882</v>
      </c>
      <c r="C262" s="1">
        <v>0.19178902707577791</v>
      </c>
      <c r="D262" s="1">
        <v>6.2983892535185784E-2</v>
      </c>
      <c r="E262" s="1">
        <v>0.17840134153375525</v>
      </c>
    </row>
    <row r="263" spans="1:5" ht="13" x14ac:dyDescent="0.15">
      <c r="A263" s="1">
        <v>-1.7958800173440752</v>
      </c>
      <c r="B263" s="1">
        <v>0.17134010346468015</v>
      </c>
      <c r="C263" s="1">
        <v>0.22548303427145044</v>
      </c>
      <c r="D263" s="1">
        <v>2.9653123769906618E-2</v>
      </c>
      <c r="E263" s="1">
        <v>0.18469143081759881</v>
      </c>
    </row>
    <row r="264" spans="1:5" ht="13" x14ac:dyDescent="0.15">
      <c r="A264" s="1">
        <v>-1.6989700043360187</v>
      </c>
      <c r="B264" s="1">
        <v>0.25649023527157022</v>
      </c>
      <c r="C264" s="1">
        <v>0.20830935097988201</v>
      </c>
      <c r="D264" s="1">
        <v>6.7019178076801841E-2</v>
      </c>
      <c r="E264" s="1">
        <v>0.16908635748702275</v>
      </c>
    </row>
    <row r="265" spans="1:5" ht="13" x14ac:dyDescent="0.15">
      <c r="A265" s="1">
        <v>-1.3767507096020994</v>
      </c>
      <c r="B265" s="1">
        <v>0.4158077276355433</v>
      </c>
      <c r="C265" s="1">
        <v>0.20901152491118416</v>
      </c>
      <c r="D265" s="1">
        <v>0.46149852678301867</v>
      </c>
      <c r="E265" s="1">
        <v>0.54555450723406496</v>
      </c>
    </row>
    <row r="266" spans="1:5" ht="13" x14ac:dyDescent="0.15">
      <c r="A266" s="1">
        <v>-2.3010299956639813</v>
      </c>
      <c r="B266" s="1">
        <v>0.24641694110709345</v>
      </c>
      <c r="C266" s="1">
        <v>0.20481541031757602</v>
      </c>
      <c r="D266" s="1">
        <v>6.6006836168757702E-2</v>
      </c>
      <c r="E266" s="1">
        <v>0.17114115102838207</v>
      </c>
    </row>
    <row r="267" spans="1:5" ht="13" x14ac:dyDescent="0.15">
      <c r="A267" s="1">
        <v>-1.2839966563652008</v>
      </c>
      <c r="B267" s="1">
        <v>0.34969247686806354</v>
      </c>
      <c r="C267" s="1">
        <v>5.1098239029786302E-2</v>
      </c>
      <c r="D267" s="1">
        <v>0.18508681872492605</v>
      </c>
      <c r="E267" s="1">
        <v>0.18808437371493819</v>
      </c>
    </row>
    <row r="268" spans="1:5" ht="13" x14ac:dyDescent="0.15">
      <c r="A268" s="1">
        <v>-1.2596373105057561</v>
      </c>
      <c r="B268" s="1">
        <v>0.23732143627256383</v>
      </c>
      <c r="C268" s="1">
        <v>6.1480274823508103E-2</v>
      </c>
      <c r="D268" s="1">
        <v>7.779372256098363E-2</v>
      </c>
      <c r="E268" s="1">
        <v>0.2314695904306813</v>
      </c>
    </row>
    <row r="269" spans="1:5" ht="13" x14ac:dyDescent="0.15">
      <c r="A269" s="1">
        <v>-2.2218487496163561</v>
      </c>
      <c r="B269" s="1">
        <v>0.22112552799726048</v>
      </c>
      <c r="C269" s="1">
        <v>0.18708664335714442</v>
      </c>
      <c r="D269" s="1">
        <v>8.5656842880559247E-2</v>
      </c>
      <c r="E269" s="1">
        <v>0.16761267272753014</v>
      </c>
    </row>
    <row r="270" spans="1:5" ht="13" x14ac:dyDescent="0.15">
      <c r="A270" s="1">
        <v>-2.1549019599857431</v>
      </c>
      <c r="B270" s="1">
        <v>1.5681782480551023</v>
      </c>
      <c r="C270" s="1">
        <v>0.62345604806993382</v>
      </c>
      <c r="D270" s="1">
        <v>1.6845940442006759</v>
      </c>
      <c r="E270" s="1">
        <v>1.7207710208046318</v>
      </c>
    </row>
    <row r="271" spans="1:5" ht="13" x14ac:dyDescent="0.15">
      <c r="A271" s="1">
        <v>-1.6020599913279623</v>
      </c>
      <c r="B271" s="1">
        <v>1.4894240669254091</v>
      </c>
      <c r="C271" s="1">
        <v>0.62273196516471907</v>
      </c>
      <c r="D271" s="1">
        <v>1.5997957679258608</v>
      </c>
      <c r="E271" s="1">
        <v>1.6433243432481903</v>
      </c>
    </row>
    <row r="272" spans="1:5" ht="13" x14ac:dyDescent="0.15">
      <c r="A272" s="1">
        <v>-1.0362121726544447</v>
      </c>
      <c r="B272" s="1">
        <v>2.2191416239280906</v>
      </c>
      <c r="C272" s="1">
        <v>0.60336092434838051</v>
      </c>
      <c r="D272" s="1">
        <v>2.2499830482290704</v>
      </c>
      <c r="E272" s="1">
        <v>2.2596727040637634</v>
      </c>
    </row>
    <row r="273" spans="1:5" ht="13" x14ac:dyDescent="0.15">
      <c r="A273" s="1">
        <v>-1.0705810742857071</v>
      </c>
      <c r="B273" s="1">
        <v>1.7583137583249862</v>
      </c>
      <c r="C273" s="1">
        <v>0.62726341656822104</v>
      </c>
      <c r="D273" s="1">
        <v>1.8356588700082768</v>
      </c>
      <c r="E273" s="1">
        <v>1.8617374722154429</v>
      </c>
    </row>
    <row r="274" spans="1:5" ht="13" x14ac:dyDescent="0.15">
      <c r="A274" s="1">
        <v>-1.080921907623926</v>
      </c>
      <c r="B274" s="1">
        <v>1.3749681862992342</v>
      </c>
      <c r="C274" s="1">
        <v>0.65762943138895202</v>
      </c>
      <c r="D274" s="1">
        <v>1.506031244253258</v>
      </c>
      <c r="E274" s="1">
        <v>1.563623453690032</v>
      </c>
    </row>
    <row r="275" spans="1:5" ht="13" x14ac:dyDescent="0.15">
      <c r="A275" s="1">
        <v>-2.0457574905606752</v>
      </c>
      <c r="B275" s="1">
        <v>1.4655761587039249</v>
      </c>
      <c r="C275" s="1">
        <v>0.61225390609643726</v>
      </c>
      <c r="D275" s="1">
        <v>1.5918545268870341</v>
      </c>
      <c r="E275" s="1">
        <v>1.6351418063951284</v>
      </c>
    </row>
    <row r="276" spans="1:5" ht="13" x14ac:dyDescent="0.15">
      <c r="A276" s="1">
        <v>-2.0969100130080562</v>
      </c>
      <c r="B276" s="1">
        <v>1.6373295914273986</v>
      </c>
      <c r="C276" s="1">
        <v>0.61647551388856547</v>
      </c>
      <c r="D276" s="1">
        <v>1.7454417559382003</v>
      </c>
      <c r="E276" s="1">
        <v>1.776577704794176</v>
      </c>
    </row>
    <row r="277" spans="1:5" ht="13" x14ac:dyDescent="0.15">
      <c r="A277" s="1">
        <v>-2</v>
      </c>
      <c r="B277" s="1">
        <v>1.9154420489061117</v>
      </c>
      <c r="C277" s="1">
        <v>0.60831204269732719</v>
      </c>
      <c r="D277" s="1">
        <v>1.970305025709028</v>
      </c>
      <c r="E277" s="1">
        <v>1.9887773868429659</v>
      </c>
    </row>
    <row r="278" spans="1:5" ht="13" x14ac:dyDescent="0.15">
      <c r="A278" s="1">
        <v>-2.0969100130080562</v>
      </c>
      <c r="B278" s="1">
        <v>1.6795732428256251</v>
      </c>
      <c r="C278" s="1">
        <v>0.63778982936222905</v>
      </c>
      <c r="D278" s="1">
        <v>1.781044128867602</v>
      </c>
      <c r="E278" s="1">
        <v>1.8111995273844959</v>
      </c>
    </row>
    <row r="279" spans="1:5" ht="13" x14ac:dyDescent="0.15">
      <c r="A279" s="1">
        <v>-2.1549019599857431</v>
      </c>
      <c r="B279" s="1">
        <v>1.5675556708947844</v>
      </c>
      <c r="C279" s="1">
        <v>0.64767631324087083</v>
      </c>
      <c r="D279" s="1">
        <v>1.6752374274395996</v>
      </c>
      <c r="E279" s="1">
        <v>1.7142039805827272</v>
      </c>
    </row>
    <row r="280" spans="1:5" ht="13" x14ac:dyDescent="0.15">
      <c r="A280" s="1">
        <v>-2.1549019599857431</v>
      </c>
      <c r="B280" s="1">
        <v>1.6525364185930254</v>
      </c>
      <c r="C280" s="1">
        <v>0.64581511829664184</v>
      </c>
      <c r="D280" s="1">
        <v>1.7438075541320446</v>
      </c>
      <c r="E280" s="1">
        <v>1.7771512226019639</v>
      </c>
    </row>
    <row r="281" spans="1:5" ht="13" x14ac:dyDescent="0.15">
      <c r="A281" s="1">
        <v>-2.0969100130080562</v>
      </c>
      <c r="B281" s="1">
        <v>1.6008095963872482</v>
      </c>
      <c r="C281" s="1">
        <v>0.60884682232641163</v>
      </c>
      <c r="D281" s="1">
        <v>1.7153932326454897</v>
      </c>
      <c r="E281" s="1">
        <v>1.7481027107819944</v>
      </c>
    </row>
    <row r="282" spans="1:5" ht="13" x14ac:dyDescent="0.15">
      <c r="A282" s="1">
        <v>-2.0457574905606752</v>
      </c>
      <c r="B282" s="1">
        <v>2.030300105202151</v>
      </c>
      <c r="C282" s="1">
        <v>0.61193562504012255</v>
      </c>
      <c r="D282" s="1">
        <v>2.078072380713837</v>
      </c>
      <c r="E282" s="1">
        <v>2.0926715294453286</v>
      </c>
    </row>
    <row r="283" spans="1:5" ht="13" x14ac:dyDescent="0.15">
      <c r="A283" s="1">
        <v>-2.1549019599857431</v>
      </c>
      <c r="B283" s="1">
        <v>1.7327474853099945</v>
      </c>
      <c r="C283" s="1">
        <v>0.6069185259482911</v>
      </c>
      <c r="D283" s="1">
        <v>1.821978361128711</v>
      </c>
      <c r="E283" s="1">
        <v>1.8476713512188698</v>
      </c>
    </row>
    <row r="284" spans="1:5" ht="13" x14ac:dyDescent="0.15">
      <c r="A284" s="1">
        <v>-2.0969100130080562</v>
      </c>
      <c r="B284" s="1">
        <v>1.6954729204647956</v>
      </c>
      <c r="C284" s="1">
        <v>0.65350194696293284</v>
      </c>
      <c r="D284" s="1">
        <v>1.783667796235318</v>
      </c>
      <c r="E284" s="1">
        <v>1.8147202664596511</v>
      </c>
    </row>
    <row r="285" spans="1:5" ht="13" x14ac:dyDescent="0.15">
      <c r="A285" s="1">
        <v>-2.0969100130080562</v>
      </c>
      <c r="B285" s="1">
        <v>1.6023638911127749</v>
      </c>
      <c r="C285" s="1">
        <v>0.64236558084497331</v>
      </c>
      <c r="D285" s="1">
        <v>1.7084633926235586</v>
      </c>
      <c r="E285" s="1">
        <v>1.7442460298298144</v>
      </c>
    </row>
    <row r="286" spans="1:5" ht="13" x14ac:dyDescent="0.15">
      <c r="A286" s="1">
        <v>-2.0969100130080562</v>
      </c>
      <c r="B286" s="1">
        <v>1.641275757231913</v>
      </c>
      <c r="C286" s="1">
        <v>0.6065963091792852</v>
      </c>
      <c r="D286" s="1">
        <v>1.7387567825882035</v>
      </c>
      <c r="E286" s="1">
        <v>1.769665283053242</v>
      </c>
    </row>
    <row r="287" spans="1:5" ht="13" x14ac:dyDescent="0.15">
      <c r="A287" s="1">
        <v>-1.8860566476931633</v>
      </c>
      <c r="B287" s="1">
        <v>2.7678805699957114</v>
      </c>
      <c r="C287" s="1">
        <v>1.1830134630819293</v>
      </c>
      <c r="D287" s="1">
        <v>2.8523396792156976</v>
      </c>
      <c r="E287" s="1">
        <v>2.8615409819775519</v>
      </c>
    </row>
    <row r="288" spans="1:5" ht="13" x14ac:dyDescent="0.15">
      <c r="A288" s="1">
        <v>-1.9586073148417751</v>
      </c>
      <c r="B288" s="1">
        <v>2.6195753804289894</v>
      </c>
      <c r="C288" s="1">
        <v>1.1695568824321849</v>
      </c>
      <c r="D288" s="1">
        <v>2.7233037655487564</v>
      </c>
      <c r="E288" s="1">
        <v>2.735272257694942</v>
      </c>
    </row>
    <row r="289" spans="1:5" ht="13" x14ac:dyDescent="0.15">
      <c r="A289" s="1">
        <v>-1.2676062401770316</v>
      </c>
      <c r="B289" s="1">
        <v>3.2073483335139206</v>
      </c>
      <c r="C289" s="1">
        <v>1.182414652434554</v>
      </c>
      <c r="D289" s="1">
        <v>3.2441249054654779</v>
      </c>
      <c r="E289" s="1">
        <v>3.247876336720751</v>
      </c>
    </row>
    <row r="290" spans="1:5" ht="13" x14ac:dyDescent="0.15">
      <c r="A290" s="1">
        <v>-1.9208187539523751</v>
      </c>
      <c r="B290" s="1">
        <v>2.7252384441780455</v>
      </c>
      <c r="C290" s="1">
        <v>1.2022157758011316</v>
      </c>
      <c r="D290" s="1">
        <v>2.8201534939062833</v>
      </c>
      <c r="E290" s="1">
        <v>2.8304962830759957</v>
      </c>
    </row>
    <row r="291" spans="1:5" ht="13" x14ac:dyDescent="0.15">
      <c r="A291" s="1">
        <v>-1.9586073148417751</v>
      </c>
      <c r="B291" s="1">
        <v>2.6565418568837043</v>
      </c>
      <c r="C291" s="1">
        <v>1.1853154580036565</v>
      </c>
      <c r="D291" s="1">
        <v>2.7650662334289238</v>
      </c>
      <c r="E291" s="1">
        <v>2.7763480854386127</v>
      </c>
    </row>
    <row r="292" spans="1:5" ht="13" x14ac:dyDescent="0.15">
      <c r="A292" s="1">
        <v>-0.99567862621735737</v>
      </c>
      <c r="B292" s="1">
        <v>2.7592575258674121</v>
      </c>
      <c r="C292" s="1">
        <v>1.1851453576756501</v>
      </c>
      <c r="D292" s="1">
        <v>2.8475183689386658</v>
      </c>
      <c r="E292" s="1">
        <v>2.85686719024639</v>
      </c>
    </row>
    <row r="293" spans="1:5" ht="13" x14ac:dyDescent="0.15">
      <c r="A293" s="1">
        <v>-1.2365720064370627</v>
      </c>
      <c r="B293" s="1">
        <v>3.0539442471890554</v>
      </c>
      <c r="C293" s="1">
        <v>1.1854571574019259</v>
      </c>
      <c r="D293" s="1">
        <v>3.1057233625162448</v>
      </c>
      <c r="E293" s="1">
        <v>3.1109104311028153</v>
      </c>
    </row>
    <row r="294" spans="1:5" ht="13" x14ac:dyDescent="0.15">
      <c r="A294" s="1">
        <v>-1.4685210829577449</v>
      </c>
      <c r="B294" s="1">
        <v>2.959939119343753</v>
      </c>
      <c r="C294" s="1">
        <v>1.1891813971807372</v>
      </c>
      <c r="D294" s="1">
        <v>3.0249951926456728</v>
      </c>
      <c r="E294" s="1">
        <v>3.0312876529844512</v>
      </c>
    </row>
    <row r="295" spans="1:5" ht="13" x14ac:dyDescent="0.15">
      <c r="A295" s="1">
        <v>-1.0655015487564323</v>
      </c>
      <c r="B295" s="1">
        <v>2.9756546432086592</v>
      </c>
      <c r="C295" s="1">
        <v>1.1802692776688746</v>
      </c>
      <c r="D295" s="1">
        <v>3.0361028730383639</v>
      </c>
      <c r="E295" s="1">
        <v>3.0421134104473038</v>
      </c>
    </row>
    <row r="296" spans="1:5" ht="13" x14ac:dyDescent="0.15">
      <c r="A296" s="1">
        <v>-1.080921907623926</v>
      </c>
      <c r="B296" s="1">
        <v>2.770025329736423</v>
      </c>
      <c r="C296" s="1">
        <v>1.1989043994567323</v>
      </c>
      <c r="D296" s="1">
        <v>2.8563336778025219</v>
      </c>
      <c r="E296" s="1">
        <v>2.8657871693643413</v>
      </c>
    </row>
    <row r="297" spans="1:5" ht="13" x14ac:dyDescent="0.15">
      <c r="A297" s="1">
        <v>-0.99567862621735737</v>
      </c>
      <c r="B297" s="1">
        <v>2.6997388931234991</v>
      </c>
      <c r="C297" s="1">
        <v>1.1767566672452585</v>
      </c>
      <c r="D297" s="1">
        <v>2.7982306474405472</v>
      </c>
      <c r="E297" s="1">
        <v>2.8084911814358491</v>
      </c>
    </row>
    <row r="298" spans="1:5" ht="13" x14ac:dyDescent="0.15">
      <c r="A298" s="1">
        <v>-1.1191864077192086</v>
      </c>
      <c r="B298" s="1">
        <v>3.1267633865242632</v>
      </c>
      <c r="C298" s="1">
        <v>1.1918700154447222</v>
      </c>
      <c r="D298" s="1">
        <v>3.1709302488315472</v>
      </c>
      <c r="E298" s="1">
        <v>3.1754639745541766</v>
      </c>
    </row>
    <row r="299" spans="1:5" ht="13" x14ac:dyDescent="0.15">
      <c r="A299" s="1">
        <v>-1.6020599913279623</v>
      </c>
      <c r="B299" s="1">
        <v>2.9171571991271028</v>
      </c>
      <c r="C299" s="1">
        <v>1.1905837959771786</v>
      </c>
      <c r="D299" s="1">
        <v>2.9895993031521413</v>
      </c>
      <c r="E299" s="1">
        <v>2.9964433704738886</v>
      </c>
    </row>
    <row r="300" spans="1:5" ht="13" x14ac:dyDescent="0.15">
      <c r="A300" s="1">
        <v>-1.6575773191777938</v>
      </c>
      <c r="B300" s="1">
        <v>2.7994756422790461</v>
      </c>
      <c r="C300" s="1">
        <v>1.2094077680963757</v>
      </c>
      <c r="D300" s="1">
        <v>2.8826616918788135</v>
      </c>
      <c r="E300" s="1">
        <v>2.8917810179750547</v>
      </c>
    </row>
    <row r="301" spans="1:5" ht="13" x14ac:dyDescent="0.15">
      <c r="A301" s="1">
        <v>-1.5528419686577808</v>
      </c>
      <c r="B301" s="1">
        <v>2.7167743667002271</v>
      </c>
      <c r="C301" s="1">
        <v>1.1842086131115026</v>
      </c>
      <c r="D301" s="1">
        <v>2.8126787742796879</v>
      </c>
      <c r="E301" s="1">
        <v>2.8227772339726078</v>
      </c>
    </row>
    <row r="302" spans="1:5" ht="13" x14ac:dyDescent="0.15">
      <c r="A302" s="1">
        <v>-1.7958800173440752</v>
      </c>
      <c r="B302" s="1">
        <v>2.789880243839173</v>
      </c>
      <c r="C302" s="1">
        <v>1.1825002473791999</v>
      </c>
      <c r="D302" s="1">
        <v>2.8712394982371423</v>
      </c>
      <c r="E302" s="1">
        <v>2.8800426070710712</v>
      </c>
    </row>
    <row r="303" spans="1:5" ht="13" x14ac:dyDescent="0.15">
      <c r="A303" s="1">
        <v>-1.2596373105057561</v>
      </c>
      <c r="B303" s="1">
        <v>3.6413926974468516</v>
      </c>
      <c r="C303" s="1">
        <v>1.6122008754495794</v>
      </c>
      <c r="D303" s="1">
        <v>3.714976695033311</v>
      </c>
      <c r="E303" s="1">
        <v>3.7183909836411662</v>
      </c>
    </row>
    <row r="304" spans="1:5" ht="13" x14ac:dyDescent="0.15">
      <c r="A304" s="1">
        <v>-1.3372421683184259</v>
      </c>
      <c r="B304" s="1">
        <v>3.6093004407133114</v>
      </c>
      <c r="C304" s="1">
        <v>1.5980569472807935</v>
      </c>
      <c r="D304" s="1">
        <v>3.6780436734602588</v>
      </c>
      <c r="E304" s="1">
        <v>3.6816412373816778</v>
      </c>
    </row>
    <row r="305" spans="1:5" ht="13" x14ac:dyDescent="0.15">
      <c r="A305" s="1">
        <v>-1.0087739243075051</v>
      </c>
      <c r="B305" s="1">
        <v>3.9523478020097964</v>
      </c>
      <c r="C305" s="1">
        <v>1.6150658413436993</v>
      </c>
      <c r="D305" s="1">
        <v>3.998860785893787</v>
      </c>
      <c r="E305" s="1">
        <v>4.0006518209167607</v>
      </c>
    </row>
    <row r="306" spans="1:5" ht="13" x14ac:dyDescent="0.15">
      <c r="A306" s="1">
        <v>-1.3279021420642825</v>
      </c>
      <c r="B306" s="1">
        <v>3.5527682018185169</v>
      </c>
      <c r="C306" s="1">
        <v>1.6206356747952138</v>
      </c>
      <c r="D306" s="1">
        <v>3.6545011303048032</v>
      </c>
      <c r="E306" s="1">
        <v>3.658499822505803</v>
      </c>
    </row>
    <row r="307" spans="1:5" ht="13" x14ac:dyDescent="0.15">
      <c r="A307" s="1">
        <v>-1.0969100130080565</v>
      </c>
      <c r="B307" s="1">
        <v>3.5413926319486202</v>
      </c>
      <c r="C307" s="1">
        <v>1.6119780759938638</v>
      </c>
      <c r="D307" s="1">
        <v>3.64427853083094</v>
      </c>
      <c r="E307" s="1">
        <v>3.6482916896212831</v>
      </c>
    </row>
    <row r="308" spans="1:5" ht="13" x14ac:dyDescent="0.15">
      <c r="A308" s="1">
        <v>-1.0087739243075051</v>
      </c>
      <c r="B308" s="1">
        <v>3.899537462437507</v>
      </c>
      <c r="C308" s="1">
        <v>1.6137784165935414</v>
      </c>
      <c r="D308" s="1">
        <v>3.9447694585558906</v>
      </c>
      <c r="E308" s="1">
        <v>3.946791461927377</v>
      </c>
    </row>
    <row r="309" spans="1:5" ht="13" x14ac:dyDescent="0.15">
      <c r="A309" s="1">
        <v>-1.2218487496163564</v>
      </c>
      <c r="B309" s="1">
        <v>4.0588248682940975</v>
      </c>
      <c r="C309" s="1">
        <v>1.613122686057697</v>
      </c>
      <c r="D309" s="1">
        <v>4.0944165501535172</v>
      </c>
      <c r="E309" s="1">
        <v>4.0958479947001125</v>
      </c>
    </row>
    <row r="310" spans="1:5" ht="13" x14ac:dyDescent="0.15">
      <c r="A310" s="1">
        <v>-1.1487416512809248</v>
      </c>
      <c r="B310" s="1">
        <v>3.9562375565842731</v>
      </c>
      <c r="C310" s="1">
        <v>1.623993157805401</v>
      </c>
      <c r="D310" s="1">
        <v>4.0015695236528872</v>
      </c>
      <c r="E310" s="1">
        <v>4.0033862476132898</v>
      </c>
    </row>
    <row r="311" spans="1:5" ht="13" x14ac:dyDescent="0.15">
      <c r="A311" s="1">
        <v>-1.5228787452803376</v>
      </c>
      <c r="B311" s="1">
        <v>3.7680379608729209</v>
      </c>
      <c r="C311" s="1">
        <v>1.6142009437289793</v>
      </c>
      <c r="D311" s="1">
        <v>3.8302954690724857</v>
      </c>
      <c r="E311" s="1">
        <v>3.8329281238245301</v>
      </c>
    </row>
    <row r="312" spans="1:5" ht="13" x14ac:dyDescent="0.15">
      <c r="A312" s="1">
        <v>-1.494850021680094</v>
      </c>
      <c r="B312" s="1">
        <v>3.736461283025462</v>
      </c>
      <c r="C312" s="1">
        <v>1.6300106706264861</v>
      </c>
      <c r="D312" s="1">
        <v>3.8059005105902797</v>
      </c>
      <c r="E312" s="1">
        <v>3.8087875330363583</v>
      </c>
    </row>
    <row r="313" spans="1:5" ht="13" x14ac:dyDescent="0.15">
      <c r="A313" s="1">
        <v>-1.6777807052660807</v>
      </c>
      <c r="B313" s="1">
        <v>3.5353591960309885</v>
      </c>
      <c r="C313" s="1">
        <v>1.606488850442648</v>
      </c>
      <c r="D313" s="1">
        <v>3.6232358477416087</v>
      </c>
      <c r="E313" s="1">
        <v>3.6273945354700756</v>
      </c>
    </row>
    <row r="314" spans="1:5" ht="13" x14ac:dyDescent="0.15">
      <c r="A314" s="1">
        <v>-1.1366771398795441</v>
      </c>
      <c r="B314" s="1">
        <v>3.975472984108142</v>
      </c>
      <c r="C314" s="1">
        <v>1.6187382332742828</v>
      </c>
      <c r="D314" s="1">
        <v>4.0185311573661204</v>
      </c>
      <c r="E314" s="1">
        <v>4.0202575037050456</v>
      </c>
    </row>
    <row r="315" spans="1:5" ht="13" x14ac:dyDescent="0.15">
      <c r="A315" s="1">
        <v>-1.5086383061657274</v>
      </c>
      <c r="B315" s="1">
        <v>3.7020414790971499</v>
      </c>
      <c r="C315" s="1">
        <v>1.6376598115537404</v>
      </c>
      <c r="D315" s="1">
        <v>3.7759417396338115</v>
      </c>
      <c r="E315" s="1">
        <v>3.7790888926097765</v>
      </c>
    </row>
    <row r="316" spans="1:5" ht="13" x14ac:dyDescent="0.15">
      <c r="A316" s="1">
        <v>-1.5376020021010439</v>
      </c>
      <c r="B316" s="1">
        <v>3.6427509216443861</v>
      </c>
      <c r="C316" s="1">
        <v>1.604992414039756</v>
      </c>
      <c r="D316" s="1">
        <v>3.7178525856354749</v>
      </c>
      <c r="E316" s="1">
        <v>3.7211888077804853</v>
      </c>
    </row>
    <row r="317" spans="1:5" ht="13" x14ac:dyDescent="0.15">
      <c r="A317" s="1">
        <v>-1.0177287669604316</v>
      </c>
      <c r="B317" s="1">
        <v>4.3719882005737007</v>
      </c>
      <c r="C317" s="1">
        <v>1.9554472105776954</v>
      </c>
      <c r="D317" s="1">
        <v>4.4421017684110558</v>
      </c>
      <c r="E317" s="1">
        <v>4.443515681143281</v>
      </c>
    </row>
    <row r="318" spans="1:5" ht="13" x14ac:dyDescent="0.15">
      <c r="A318" s="1">
        <v>-1.1366771398795441</v>
      </c>
      <c r="B318" s="1">
        <v>4.4245930451467297</v>
      </c>
      <c r="C318" s="1">
        <v>1.9415412458775692</v>
      </c>
      <c r="D318" s="1">
        <v>4.4793253281837</v>
      </c>
      <c r="E318" s="1">
        <v>4.4805824331002384</v>
      </c>
    </row>
    <row r="319" spans="1:5" ht="13" x14ac:dyDescent="0.15">
      <c r="A319" s="1">
        <v>-0.8096683018297085</v>
      </c>
      <c r="B319" s="1">
        <v>4.6220492189231788</v>
      </c>
      <c r="C319" s="1">
        <v>1.9594897726622924</v>
      </c>
      <c r="D319" s="1">
        <v>4.6681102759107524</v>
      </c>
      <c r="E319" s="1">
        <v>4.6689589469914381</v>
      </c>
    </row>
    <row r="320" spans="1:5" ht="13" x14ac:dyDescent="0.15">
      <c r="A320" s="1">
        <v>-1.0506099933550872</v>
      </c>
      <c r="B320" s="1">
        <v>4.28684673272081</v>
      </c>
      <c r="C320" s="1">
        <v>1.9637122913018996</v>
      </c>
      <c r="D320" s="1">
        <v>4.3699158248730505</v>
      </c>
      <c r="E320" s="1">
        <v>4.3716169437428345</v>
      </c>
    </row>
    <row r="321" spans="1:5" ht="13" x14ac:dyDescent="0.15">
      <c r="A321" s="1">
        <v>-1.0705810742857071</v>
      </c>
      <c r="B321" s="1">
        <v>4.3365397207238887</v>
      </c>
      <c r="C321" s="1">
        <v>1.957540246353991</v>
      </c>
      <c r="D321" s="1">
        <v>4.4187609194573154</v>
      </c>
      <c r="E321" s="1">
        <v>4.4202600113084545</v>
      </c>
    </row>
    <row r="322" spans="1:5" ht="13" x14ac:dyDescent="0.15">
      <c r="A322" s="1">
        <v>-0.84163750790475034</v>
      </c>
      <c r="B322" s="1">
        <v>4.5113139953332535</v>
      </c>
      <c r="C322" s="1">
        <v>1.9561828426637211</v>
      </c>
      <c r="D322" s="1">
        <v>4.5639754961297712</v>
      </c>
      <c r="E322" s="1">
        <v>4.5650456988596613</v>
      </c>
    </row>
    <row r="323" spans="1:5" ht="13" x14ac:dyDescent="0.15">
      <c r="A323" s="1">
        <v>-1.8860566476931633</v>
      </c>
      <c r="B323" s="1">
        <v>2.2338511584160479</v>
      </c>
      <c r="C323" s="1">
        <v>0.59889988706388297</v>
      </c>
      <c r="D323" s="1">
        <v>2.2633993313340022</v>
      </c>
      <c r="E323" s="1">
        <v>2.2727023746276762</v>
      </c>
    </row>
    <row r="324" spans="1:5" ht="13" x14ac:dyDescent="0.15">
      <c r="A324" s="1">
        <v>-1.9208187539523751</v>
      </c>
      <c r="B324" s="1">
        <v>1.9577987749299979</v>
      </c>
      <c r="C324" s="1">
        <v>0.59846220047415055</v>
      </c>
      <c r="D324" s="1">
        <v>2.0093871492689561</v>
      </c>
      <c r="E324" s="1">
        <v>2.02592818108121</v>
      </c>
    </row>
    <row r="325" spans="1:5" ht="13" x14ac:dyDescent="0.15">
      <c r="A325" s="1">
        <v>-0.77989191195994489</v>
      </c>
      <c r="B325" s="1">
        <v>2.0523283498626101</v>
      </c>
      <c r="C325" s="1">
        <v>0.63276088847943879</v>
      </c>
      <c r="D325" s="1">
        <v>2.090589556608069</v>
      </c>
      <c r="E325" s="1">
        <v>2.1054659015063595</v>
      </c>
    </row>
    <row r="326" spans="1:5" ht="13" x14ac:dyDescent="0.15">
      <c r="A326" s="1">
        <v>-0.8477116556169435</v>
      </c>
      <c r="B326" s="1">
        <v>3.2897218067123557</v>
      </c>
      <c r="C326" s="1">
        <v>1.1808424146466823</v>
      </c>
      <c r="D326" s="1">
        <v>3.3199151550181529</v>
      </c>
      <c r="E326" s="1">
        <v>3.323056881679932</v>
      </c>
    </row>
    <row r="327" spans="1:5" ht="13" x14ac:dyDescent="0.15">
      <c r="A327" s="1">
        <v>-1.744727494896694</v>
      </c>
      <c r="B327" s="1">
        <v>3.0228212443720062</v>
      </c>
      <c r="C327" s="1">
        <v>1.1843506740469565</v>
      </c>
      <c r="D327" s="1">
        <v>3.072292920422651</v>
      </c>
      <c r="E327" s="1">
        <v>3.0778782193608452</v>
      </c>
    </row>
    <row r="328" spans="1:5" ht="13" x14ac:dyDescent="0.15">
      <c r="A328" s="1">
        <v>-1.3979400086720375</v>
      </c>
      <c r="B328" s="1">
        <v>3.3640828682277237</v>
      </c>
      <c r="C328" s="1">
        <v>1.1598678470925667</v>
      </c>
      <c r="D328" s="1">
        <v>3.3910092486127796</v>
      </c>
      <c r="E328" s="1">
        <v>3.3935523912431464</v>
      </c>
    </row>
    <row r="329" spans="1:5" ht="13" x14ac:dyDescent="0.15">
      <c r="A329" s="1">
        <v>-1.6382721639824072</v>
      </c>
      <c r="B329" s="1">
        <v>3.005907304363983</v>
      </c>
      <c r="C329" s="1">
        <v>1.1763517576030715</v>
      </c>
      <c r="D329" s="1">
        <v>3.0591061646838331</v>
      </c>
      <c r="E329" s="1">
        <v>3.0647581476965775</v>
      </c>
    </row>
    <row r="330" spans="1:5" ht="13" x14ac:dyDescent="0.15">
      <c r="A330" s="1">
        <v>-0.85387196432176193</v>
      </c>
      <c r="B330" s="1">
        <v>3.2287913556861167</v>
      </c>
      <c r="C330" s="1">
        <v>1.1714046348301292</v>
      </c>
      <c r="D330" s="1">
        <v>3.2630036921880783</v>
      </c>
      <c r="E330" s="1">
        <v>3.2665068665633763</v>
      </c>
    </row>
    <row r="331" spans="1:5" ht="13" x14ac:dyDescent="0.15">
      <c r="A331" s="1">
        <v>-1.4814860601221125</v>
      </c>
      <c r="B331" s="1">
        <v>3.0645729123010828</v>
      </c>
      <c r="C331" s="1">
        <v>1.1832128832942512</v>
      </c>
      <c r="D331" s="1">
        <v>3.1105469520710369</v>
      </c>
      <c r="E331" s="1">
        <v>3.1156504449630873</v>
      </c>
    </row>
    <row r="332" spans="1:5" ht="13" x14ac:dyDescent="0.15">
      <c r="A332" s="1">
        <v>-1.0861861476162833</v>
      </c>
      <c r="B332" s="1">
        <v>4.089435607855826</v>
      </c>
      <c r="C332" s="1">
        <v>1.6051002436365716</v>
      </c>
      <c r="D332" s="1">
        <v>4.1220399943682358</v>
      </c>
      <c r="E332" s="1">
        <v>4.1233588454188892</v>
      </c>
    </row>
    <row r="333" spans="1:5" ht="13" x14ac:dyDescent="0.15">
      <c r="A333" s="1">
        <v>-1.3187587626244128</v>
      </c>
      <c r="B333" s="1">
        <v>3.9904172249921959</v>
      </c>
      <c r="C333" s="1">
        <v>1.6093595919813792</v>
      </c>
      <c r="D333" s="1">
        <v>4.0306226300921217</v>
      </c>
      <c r="E333" s="1">
        <v>4.0322659043546585</v>
      </c>
    </row>
    <row r="334" spans="1:5" ht="13" x14ac:dyDescent="0.15">
      <c r="A334" s="1">
        <v>-1.1366771398795441</v>
      </c>
      <c r="B334" s="1">
        <v>4.1715049215984239</v>
      </c>
      <c r="C334" s="1">
        <v>1.61014892761954</v>
      </c>
      <c r="D334" s="1">
        <v>4.2030337033569545</v>
      </c>
      <c r="E334" s="1">
        <v>4.2041412625641845</v>
      </c>
    </row>
    <row r="335" spans="1:5" ht="13" x14ac:dyDescent="0.15">
      <c r="A335" s="1">
        <v>-1.3010299956639813</v>
      </c>
      <c r="B335" s="1">
        <v>3.8660437704474586</v>
      </c>
      <c r="C335" s="1">
        <v>1.6103087533608289</v>
      </c>
      <c r="D335" s="1">
        <v>3.9148424937474835</v>
      </c>
      <c r="E335" s="1">
        <v>3.9169913514485204</v>
      </c>
    </row>
    <row r="336" spans="1:5" ht="13" x14ac:dyDescent="0.15">
      <c r="A336" s="1">
        <v>-1.3979400086720375</v>
      </c>
      <c r="B336" s="1">
        <v>3.9682672420996488</v>
      </c>
      <c r="C336" s="1">
        <v>1.6098930840292818</v>
      </c>
      <c r="D336" s="1">
        <v>4.0112492344812294</v>
      </c>
      <c r="E336" s="1">
        <v>4.012969432491964</v>
      </c>
    </row>
    <row r="337" spans="1:5" ht="13" x14ac:dyDescent="0.15">
      <c r="A337" s="1">
        <v>-1.2218487496163564</v>
      </c>
      <c r="B337" s="1">
        <v>4.0369202299774427</v>
      </c>
      <c r="C337" s="1">
        <v>1.628777066916437</v>
      </c>
      <c r="D337" s="1">
        <v>4.0731884077776206</v>
      </c>
      <c r="E337" s="1">
        <v>4.0747465019042588</v>
      </c>
    </row>
    <row r="338" spans="1:5" ht="13" x14ac:dyDescent="0.15">
      <c r="A338" s="1">
        <v>-1.3279021420642825</v>
      </c>
      <c r="B338" s="1">
        <v>3.9438867865798972</v>
      </c>
      <c r="C338" s="1">
        <v>1.6140214199226428</v>
      </c>
      <c r="D338" s="1">
        <v>3.9945213594637776</v>
      </c>
      <c r="E338" s="1">
        <v>3.9963259628071537</v>
      </c>
    </row>
    <row r="339" spans="1:5" ht="13" x14ac:dyDescent="0.15">
      <c r="A339" s="1">
        <v>-1.3665315444204136</v>
      </c>
      <c r="B339" s="1">
        <v>3.8778049054780159</v>
      </c>
      <c r="C339" s="1">
        <v>1.6207812890403008</v>
      </c>
      <c r="D339" s="1">
        <v>3.9318705594306858</v>
      </c>
      <c r="E339" s="1">
        <v>3.9339871473700865</v>
      </c>
    </row>
    <row r="340" spans="1:5" ht="13" x14ac:dyDescent="0.15">
      <c r="A340" s="1">
        <v>-0.87614835903291421</v>
      </c>
      <c r="B340" s="1">
        <v>4.7340384113434304</v>
      </c>
      <c r="C340" s="1">
        <v>1.9547103303227165</v>
      </c>
      <c r="D340" s="1">
        <v>4.7723876895289088</v>
      </c>
      <c r="E340" s="1">
        <v>4.7730480434079618</v>
      </c>
    </row>
    <row r="341" spans="1:5" ht="13" x14ac:dyDescent="0.15">
      <c r="A341" s="1">
        <v>-1.3767507096020994</v>
      </c>
      <c r="B341" s="1">
        <v>1.9705653634531151</v>
      </c>
      <c r="C341" s="1">
        <v>0.62076048999420574</v>
      </c>
      <c r="D341" s="1">
        <v>2.0192700325692639</v>
      </c>
      <c r="E341" s="1">
        <v>2.0362814805231357</v>
      </c>
    </row>
    <row r="342" spans="1:5" ht="13" x14ac:dyDescent="0.15">
      <c r="A342" s="1">
        <v>-1.585026652029182</v>
      </c>
      <c r="B342" s="1">
        <v>1.56551725144467</v>
      </c>
      <c r="C342" s="1">
        <v>0.60991441008599778</v>
      </c>
      <c r="D342" s="1">
        <v>1.6571228093996468</v>
      </c>
      <c r="E342" s="1">
        <v>1.6944296909570831</v>
      </c>
    </row>
    <row r="343" spans="1:5" ht="13" x14ac:dyDescent="0.15">
      <c r="A343" s="1">
        <v>-1.0457574905606752</v>
      </c>
      <c r="B343" s="1">
        <v>2.1262613188638815</v>
      </c>
      <c r="C343" s="1">
        <v>0.60292771285918934</v>
      </c>
      <c r="D343" s="1">
        <v>2.161972598340534</v>
      </c>
      <c r="E343" s="1">
        <v>2.1737979303704602</v>
      </c>
    </row>
    <row r="344" spans="1:5" ht="13" x14ac:dyDescent="0.15">
      <c r="A344" s="1">
        <v>-1.080921907623926</v>
      </c>
      <c r="B344" s="1">
        <v>1.5300971977348454</v>
      </c>
      <c r="C344" s="1">
        <v>0.63668844795328272</v>
      </c>
      <c r="D344" s="1">
        <v>1.6574956641393819</v>
      </c>
      <c r="E344" s="1">
        <v>1.6970374433691429</v>
      </c>
    </row>
    <row r="345" spans="1:5" ht="13" x14ac:dyDescent="0.15">
      <c r="A345" s="1">
        <v>-1.080921907623926</v>
      </c>
      <c r="B345" s="1">
        <v>1.3693643087812357</v>
      </c>
      <c r="C345" s="1">
        <v>0.64943222324161665</v>
      </c>
      <c r="D345" s="1">
        <v>1.5043757014787995</v>
      </c>
      <c r="E345" s="1">
        <v>1.5611491056953546</v>
      </c>
    </row>
    <row r="346" spans="1:5" ht="13" x14ac:dyDescent="0.15">
      <c r="A346" s="1">
        <v>-2.1549019599857431</v>
      </c>
      <c r="B346" s="1">
        <v>1.4259415880188955</v>
      </c>
      <c r="C346" s="1">
        <v>0.62044838471170882</v>
      </c>
      <c r="D346" s="1">
        <v>1.5562421779000601</v>
      </c>
      <c r="E346" s="1">
        <v>1.6038802083662904</v>
      </c>
    </row>
    <row r="347" spans="1:5" ht="13" x14ac:dyDescent="0.15">
      <c r="A347" s="1">
        <v>-2</v>
      </c>
      <c r="B347" s="1">
        <v>1.6773057617934444</v>
      </c>
      <c r="C347" s="1">
        <v>0.6069185259482911</v>
      </c>
      <c r="D347" s="1">
        <v>1.7688895788911809</v>
      </c>
      <c r="E347" s="1">
        <v>1.7978143935886046</v>
      </c>
    </row>
    <row r="348" spans="1:5" ht="13" x14ac:dyDescent="0.15">
      <c r="A348" s="1">
        <v>-2.0969100130080562</v>
      </c>
      <c r="B348" s="1">
        <v>1.6716818448830852</v>
      </c>
      <c r="C348" s="1">
        <v>0.60086403630983953</v>
      </c>
      <c r="D348" s="1">
        <v>1.7628285531890906</v>
      </c>
      <c r="E348" s="1">
        <v>1.7917608040129049</v>
      </c>
    </row>
    <row r="349" spans="1:5" ht="13" x14ac:dyDescent="0.15">
      <c r="A349" s="1">
        <v>-1.9586073148417751</v>
      </c>
      <c r="B349" s="1">
        <v>1.9707512234843696</v>
      </c>
      <c r="C349" s="1">
        <v>0.62179922400266763</v>
      </c>
      <c r="D349" s="1">
        <v>2.0274148489934776</v>
      </c>
      <c r="E349" s="1">
        <v>2.044159390217402</v>
      </c>
    </row>
    <row r="350" spans="1:5" ht="13" x14ac:dyDescent="0.15">
      <c r="A350" s="1">
        <v>-2.0969100130080562</v>
      </c>
      <c r="B350" s="1">
        <v>1.7168627299393731</v>
      </c>
      <c r="C350" s="1">
        <v>0.60702587843478595</v>
      </c>
      <c r="D350" s="1">
        <v>1.8047185598630118</v>
      </c>
      <c r="E350" s="1">
        <v>1.8314218170650221</v>
      </c>
    </row>
    <row r="351" spans="1:5" ht="13" x14ac:dyDescent="0.15">
      <c r="A351" s="1">
        <v>-2.1549019599857431</v>
      </c>
      <c r="B351" s="1">
        <v>1.5651746127823976</v>
      </c>
      <c r="C351" s="1">
        <v>0.61288976928748473</v>
      </c>
      <c r="D351" s="1">
        <v>1.6732882248415502</v>
      </c>
      <c r="E351" s="1">
        <v>1.7095328331405082</v>
      </c>
    </row>
    <row r="352" spans="1:5" ht="13" x14ac:dyDescent="0.15">
      <c r="A352" s="1">
        <v>-0.79317412396815024</v>
      </c>
      <c r="B352" s="1">
        <v>1.5923100242557793</v>
      </c>
      <c r="C352" s="1">
        <v>0.6136304349252405</v>
      </c>
      <c r="D352" s="1">
        <v>1.6958842629440218</v>
      </c>
      <c r="E352" s="1">
        <v>1.730410786974464</v>
      </c>
    </row>
    <row r="353" spans="1:5" ht="13" x14ac:dyDescent="0.15">
      <c r="A353" s="1">
        <v>-2.1549019599857431</v>
      </c>
      <c r="B353" s="1">
        <v>1.5952315963587274</v>
      </c>
      <c r="C353" s="1">
        <v>0.61415870950917517</v>
      </c>
      <c r="D353" s="1">
        <v>1.7057098011430463</v>
      </c>
      <c r="E353" s="1">
        <v>1.7395327894173305</v>
      </c>
    </row>
    <row r="354" spans="1:5" ht="13" x14ac:dyDescent="0.15">
      <c r="A354" s="1">
        <v>-2.0969100130080562</v>
      </c>
      <c r="B354" s="1">
        <v>1.8304603500309671</v>
      </c>
      <c r="C354" s="1">
        <v>0.6202401898458314</v>
      </c>
      <c r="D354" s="1">
        <v>1.9025522147553455</v>
      </c>
      <c r="E354" s="1">
        <v>1.9246462132539535</v>
      </c>
    </row>
    <row r="355" spans="1:5" ht="13" x14ac:dyDescent="0.15">
      <c r="A355" s="1">
        <v>-2.1549019599857431</v>
      </c>
      <c r="B355" s="1">
        <v>1.7344237581412605</v>
      </c>
      <c r="C355" s="1">
        <v>0.61066016308987991</v>
      </c>
      <c r="D355" s="1">
        <v>1.8243406491151131</v>
      </c>
      <c r="E355" s="1">
        <v>1.8501129937066687</v>
      </c>
    </row>
    <row r="356" spans="1:5" ht="13" x14ac:dyDescent="0.15">
      <c r="A356" s="1">
        <v>-0.80134291304557737</v>
      </c>
      <c r="B356" s="1">
        <v>1.696190328917941</v>
      </c>
      <c r="C356" s="1">
        <v>0.64777405026882995</v>
      </c>
      <c r="D356" s="1">
        <v>1.7828451263014011</v>
      </c>
      <c r="E356" s="1">
        <v>1.8135543029875572</v>
      </c>
    </row>
    <row r="357" spans="1:5" ht="13" x14ac:dyDescent="0.15">
      <c r="A357" s="1">
        <v>-2.0457574905606752</v>
      </c>
      <c r="B357" s="1">
        <v>1.7933363026721532</v>
      </c>
      <c r="C357" s="1">
        <v>0.60820500770432617</v>
      </c>
      <c r="D357" s="1">
        <v>1.8650150921872439</v>
      </c>
      <c r="E357" s="1">
        <v>1.8884153983775072</v>
      </c>
    </row>
    <row r="358" spans="1:5" ht="13" x14ac:dyDescent="0.15">
      <c r="A358" s="1">
        <v>-1.4559319556497243</v>
      </c>
      <c r="B358" s="1">
        <v>3.0735368982946021</v>
      </c>
      <c r="C358" s="1">
        <v>1.1798676312704066</v>
      </c>
      <c r="D358" s="1">
        <v>3.1159328681421745</v>
      </c>
      <c r="E358" s="1">
        <v>3.1209356925611309</v>
      </c>
    </row>
    <row r="359" spans="1:5" ht="13" x14ac:dyDescent="0.15">
      <c r="A359" s="1">
        <v>-1.2365720064370627</v>
      </c>
      <c r="B359" s="1">
        <v>2.734648640002614</v>
      </c>
      <c r="C359" s="1">
        <v>1.1624150361064465</v>
      </c>
      <c r="D359" s="1">
        <v>2.814703631859321</v>
      </c>
      <c r="E359" s="1">
        <v>2.824269706755274</v>
      </c>
    </row>
    <row r="360" spans="1:5" ht="13" x14ac:dyDescent="0.15">
      <c r="A360" s="1">
        <v>-0.84163750790475034</v>
      </c>
      <c r="B360" s="1">
        <v>3.2223556228066381</v>
      </c>
      <c r="C360" s="1">
        <v>1.173186268412274</v>
      </c>
      <c r="D360" s="1">
        <v>3.2584485845960796</v>
      </c>
      <c r="E360" s="1">
        <v>3.2620027994349781</v>
      </c>
    </row>
    <row r="361" spans="1:5" ht="13" x14ac:dyDescent="0.15">
      <c r="A361" s="1">
        <v>-0.90308998699194354</v>
      </c>
      <c r="B361" s="1">
        <v>2.8282718221942531</v>
      </c>
      <c r="C361" s="1">
        <v>1.2021067113902359</v>
      </c>
      <c r="D361" s="1">
        <v>2.9023858594338208</v>
      </c>
      <c r="E361" s="1">
        <v>2.9109603996053077</v>
      </c>
    </row>
    <row r="362" spans="1:5" ht="13" x14ac:dyDescent="0.15">
      <c r="A362" s="1">
        <v>-1.9586073148417751</v>
      </c>
      <c r="B362" s="1">
        <v>2.6902776133793673</v>
      </c>
      <c r="C362" s="1">
        <v>1.1910316088486179</v>
      </c>
      <c r="D362" s="1">
        <v>2.7898668574218024</v>
      </c>
      <c r="E362" s="1">
        <v>2.800669660631768</v>
      </c>
    </row>
    <row r="363" spans="1:5" ht="13" x14ac:dyDescent="0.15">
      <c r="A363" s="1">
        <v>-1.6382721639824072</v>
      </c>
      <c r="B363" s="1">
        <v>3.0343745427022988</v>
      </c>
      <c r="C363" s="1">
        <v>1.181986424480151</v>
      </c>
      <c r="D363" s="1">
        <v>3.0871703502030559</v>
      </c>
      <c r="E363" s="1">
        <v>3.0925395924487322</v>
      </c>
    </row>
    <row r="364" spans="1:5" ht="13" x14ac:dyDescent="0.15">
      <c r="A364" s="1">
        <v>-1.6382721639824072</v>
      </c>
      <c r="B364" s="1">
        <v>3.1218873290692253</v>
      </c>
      <c r="C364" s="1">
        <v>1.189827063120662</v>
      </c>
      <c r="D364" s="1">
        <v>3.1667476514308261</v>
      </c>
      <c r="E364" s="1">
        <v>3.1713033588599409</v>
      </c>
    </row>
    <row r="365" spans="1:5" ht="13" x14ac:dyDescent="0.15">
      <c r="A365" s="1">
        <v>-0.86327943284359321</v>
      </c>
      <c r="B365" s="1">
        <v>2.9769077372516675</v>
      </c>
      <c r="C365" s="1">
        <v>1.2032505239432958</v>
      </c>
      <c r="D365" s="1">
        <v>3.037900377322742</v>
      </c>
      <c r="E365" s="1">
        <v>3.0442096024791843</v>
      </c>
    </row>
    <row r="366" spans="1:5" ht="13" x14ac:dyDescent="0.15">
      <c r="A366" s="1">
        <v>-1.5528419686577808</v>
      </c>
      <c r="B366" s="1">
        <v>2.8801307562658991</v>
      </c>
      <c r="C366" s="1">
        <v>1.1916745319592288</v>
      </c>
      <c r="D366" s="1">
        <v>2.9482319720348258</v>
      </c>
      <c r="E366" s="1">
        <v>2.9557733503130952</v>
      </c>
    </row>
    <row r="367" spans="1:5" ht="13" x14ac:dyDescent="0.15">
      <c r="A367" s="1">
        <v>-1.1870866433571443</v>
      </c>
      <c r="B367" s="1">
        <v>2.7032096714711993</v>
      </c>
      <c r="C367" s="1">
        <v>1.1821863167395448</v>
      </c>
      <c r="D367" s="1">
        <v>2.8006222378033758</v>
      </c>
      <c r="E367" s="1">
        <v>2.8109546210062839</v>
      </c>
    </row>
    <row r="368" spans="1:5" ht="13" x14ac:dyDescent="0.15">
      <c r="A368" s="1">
        <v>-1.7695510786217261</v>
      </c>
      <c r="B368" s="1">
        <v>2.9506140639985139</v>
      </c>
      <c r="C368" s="1">
        <v>1.1878871784095477</v>
      </c>
      <c r="D368" s="1">
        <v>3.013569847295257</v>
      </c>
      <c r="E368" s="1">
        <v>3.0200097265403092</v>
      </c>
    </row>
    <row r="369" spans="1:5" ht="13" x14ac:dyDescent="0.15">
      <c r="A369" s="1">
        <v>-1.3467874862246563</v>
      </c>
      <c r="B369" s="1">
        <v>2.9122114249584201</v>
      </c>
      <c r="C369" s="1">
        <v>1.1872668381792943</v>
      </c>
      <c r="D369" s="1">
        <v>2.9852791392801703</v>
      </c>
      <c r="E369" s="1">
        <v>2.992139348962858</v>
      </c>
    </row>
    <row r="370" spans="1:5" ht="13" x14ac:dyDescent="0.15">
      <c r="A370" s="1">
        <v>-1.3279021420642825</v>
      </c>
      <c r="B370" s="1">
        <v>2.796922461742902</v>
      </c>
      <c r="C370" s="1">
        <v>1.2074997233073055</v>
      </c>
      <c r="D370" s="1">
        <v>2.8790298984440281</v>
      </c>
      <c r="E370" s="1">
        <v>2.8881851121805862</v>
      </c>
    </row>
    <row r="371" spans="1:5" ht="13" x14ac:dyDescent="0.15">
      <c r="A371" s="1">
        <v>-1.3979400086720375</v>
      </c>
      <c r="B371" s="1">
        <v>2.9244901778835088</v>
      </c>
      <c r="C371" s="1">
        <v>1.1786316753932531</v>
      </c>
      <c r="D371" s="1">
        <v>2.9857847202835979</v>
      </c>
      <c r="E371" s="1">
        <v>2.9925035909782429</v>
      </c>
    </row>
    <row r="372" spans="1:5" ht="13" x14ac:dyDescent="0.15">
      <c r="A372" s="1">
        <v>-1.2146701649892331</v>
      </c>
      <c r="B372" s="1">
        <v>3.924782259274826</v>
      </c>
      <c r="C372" s="1">
        <v>1.6139474767803497</v>
      </c>
      <c r="D372" s="1">
        <v>3.9652445166811372</v>
      </c>
      <c r="E372" s="1">
        <v>3.9671743597415912</v>
      </c>
    </row>
    <row r="373" spans="1:5" ht="13" x14ac:dyDescent="0.15">
      <c r="A373" s="1">
        <v>-1.2596373105057561</v>
      </c>
      <c r="B373" s="1">
        <v>3.6506345296362328</v>
      </c>
      <c r="C373" s="1">
        <v>1.6052080464673648</v>
      </c>
      <c r="D373" s="1">
        <v>3.7134596289628772</v>
      </c>
      <c r="E373" s="1">
        <v>3.7168313046964108</v>
      </c>
    </row>
    <row r="374" spans="1:5" ht="13" x14ac:dyDescent="0.15">
      <c r="A374" s="1">
        <v>-1.1366771398795441</v>
      </c>
      <c r="B374" s="1">
        <v>4.0138253635084622</v>
      </c>
      <c r="C374" s="1">
        <v>1.6189889203649337</v>
      </c>
      <c r="D374" s="1">
        <v>4.0565733276659692</v>
      </c>
      <c r="E374" s="1">
        <v>4.058156100979315</v>
      </c>
    </row>
    <row r="375" spans="1:5" ht="13" x14ac:dyDescent="0.15">
      <c r="A375" s="1">
        <v>-1.3372421683184259</v>
      </c>
      <c r="B375" s="1">
        <v>3.6473291690424019</v>
      </c>
      <c r="C375" s="1">
        <v>1.6119143980071067</v>
      </c>
      <c r="D375" s="1">
        <v>3.7248831293523712</v>
      </c>
      <c r="E375" s="1">
        <v>3.728218520846414</v>
      </c>
    </row>
    <row r="376" spans="1:5" ht="13" x14ac:dyDescent="0.15">
      <c r="A376" s="1">
        <v>-1.5228787452803376</v>
      </c>
      <c r="B376" s="1">
        <v>3.631272655752789</v>
      </c>
      <c r="C376" s="1">
        <v>1.6240344464380225</v>
      </c>
      <c r="D376" s="1">
        <v>3.7183868306079129</v>
      </c>
      <c r="E376" s="1">
        <v>3.7218676383722991</v>
      </c>
    </row>
    <row r="377" spans="1:5" ht="13" x14ac:dyDescent="0.15">
      <c r="A377" s="1">
        <v>-1.0506099933550872</v>
      </c>
      <c r="B377" s="1">
        <v>4.0979352309145245</v>
      </c>
      <c r="C377" s="1">
        <v>1.6111601653656302</v>
      </c>
      <c r="D377" s="1">
        <v>4.131064633758184</v>
      </c>
      <c r="E377" s="1">
        <v>4.132374525380639</v>
      </c>
    </row>
    <row r="378" spans="1:5" ht="13" x14ac:dyDescent="0.15">
      <c r="A378" s="1">
        <v>-1.2518119729937995</v>
      </c>
      <c r="B378" s="1">
        <v>4.0214814602812998</v>
      </c>
      <c r="C378" s="1">
        <v>1.6238589426335932</v>
      </c>
      <c r="D378" s="1">
        <v>4.0630129063460458</v>
      </c>
      <c r="E378" s="1">
        <v>4.0645899422866787</v>
      </c>
    </row>
    <row r="379" spans="1:5" ht="13" x14ac:dyDescent="0.15">
      <c r="A379" s="1">
        <v>-1.080921907623926</v>
      </c>
      <c r="B379" s="1">
        <v>4.0210607702475905</v>
      </c>
      <c r="C379" s="1">
        <v>1.6225455771245139</v>
      </c>
      <c r="D379" s="1">
        <v>4.0612791036840363</v>
      </c>
      <c r="E379" s="1">
        <v>4.0628576643076766</v>
      </c>
    </row>
    <row r="380" spans="1:5" ht="13" x14ac:dyDescent="0.15">
      <c r="A380" s="1">
        <v>-1.5086383061657274</v>
      </c>
      <c r="B380" s="1">
        <v>3.5541567399937586</v>
      </c>
      <c r="C380" s="1">
        <v>1.6149815368725224</v>
      </c>
      <c r="D380" s="1">
        <v>3.6467913791140543</v>
      </c>
      <c r="E380" s="1">
        <v>3.6508089554038747</v>
      </c>
    </row>
    <row r="381" spans="1:5" ht="13" x14ac:dyDescent="0.15">
      <c r="A381" s="1">
        <v>-1.3467874862246563</v>
      </c>
      <c r="B381" s="1">
        <v>3.9428030516930321</v>
      </c>
      <c r="C381" s="1">
        <v>1.6151501294530184</v>
      </c>
      <c r="D381" s="1">
        <v>3.989999412952971</v>
      </c>
      <c r="E381" s="1">
        <v>3.9918275999413528</v>
      </c>
    </row>
    <row r="382" spans="1:5" ht="13" x14ac:dyDescent="0.15">
      <c r="A382" s="1">
        <v>-1.4814860601221125</v>
      </c>
      <c r="B382" s="1">
        <v>3.7147426462177582</v>
      </c>
      <c r="C382" s="1">
        <v>1.6318798738738394</v>
      </c>
      <c r="D382" s="1">
        <v>3.7890652457020018</v>
      </c>
      <c r="E382" s="1">
        <v>3.7920788848480913</v>
      </c>
    </row>
    <row r="383" spans="1:5" ht="13" x14ac:dyDescent="0.15">
      <c r="A383" s="1">
        <v>-1.4685210829577449</v>
      </c>
      <c r="B383" s="1">
        <v>3.7929394655623785</v>
      </c>
      <c r="C383" s="1">
        <v>1.6041612281747442</v>
      </c>
      <c r="D383" s="1">
        <v>3.8487476115660662</v>
      </c>
      <c r="E383" s="1">
        <v>3.8512134489122825</v>
      </c>
    </row>
    <row r="384" spans="1:5" ht="13" x14ac:dyDescent="0.15">
      <c r="A384" s="1">
        <v>-0.79588001734407521</v>
      </c>
      <c r="B384" s="1">
        <v>4.67405449577703</v>
      </c>
      <c r="C384" s="1">
        <v>1.949219183089016</v>
      </c>
      <c r="D384" s="1">
        <v>4.7131827906203307</v>
      </c>
      <c r="E384" s="1">
        <v>4.713930024915653</v>
      </c>
    </row>
    <row r="385" spans="1:5" ht="13" x14ac:dyDescent="0.15">
      <c r="A385" s="1">
        <v>-1.0969100130080565</v>
      </c>
      <c r="B385" s="1">
        <v>4.4734767220536993</v>
      </c>
      <c r="C385" s="1">
        <v>1.9397687754533499</v>
      </c>
      <c r="D385" s="1">
        <v>4.5273738236125753</v>
      </c>
      <c r="E385" s="1">
        <v>4.5284948572026726</v>
      </c>
    </row>
    <row r="386" spans="1:5" ht="13" x14ac:dyDescent="0.15">
      <c r="A386" s="1">
        <v>-0.68193666503723849</v>
      </c>
      <c r="B386" s="1">
        <v>4.7064544808317921</v>
      </c>
      <c r="C386" s="1">
        <v>1.9580236653441574</v>
      </c>
      <c r="D386" s="1">
        <v>4.749134060300614</v>
      </c>
      <c r="E386" s="1">
        <v>4.7498360372968857</v>
      </c>
    </row>
    <row r="387" spans="1:5" ht="13" x14ac:dyDescent="0.15">
      <c r="A387" s="1">
        <v>-1.1739251972991736</v>
      </c>
      <c r="B387" s="1">
        <v>4.3816774753830972</v>
      </c>
      <c r="C387" s="1">
        <v>1.9567205557512737</v>
      </c>
      <c r="D387" s="1">
        <v>4.4544076025676382</v>
      </c>
      <c r="E387" s="1">
        <v>4.455786105932348</v>
      </c>
    </row>
    <row r="388" spans="1:5" ht="13" x14ac:dyDescent="0.15">
      <c r="A388" s="1">
        <v>-1.1135092748275182</v>
      </c>
      <c r="B388" s="1">
        <v>4.4100930730894454</v>
      </c>
      <c r="C388" s="1">
        <v>1.9570946416191857</v>
      </c>
      <c r="D388" s="1">
        <v>4.4883263905965478</v>
      </c>
      <c r="E388" s="1">
        <v>4.4896025775855204</v>
      </c>
    </row>
    <row r="389" spans="1:5" ht="13" x14ac:dyDescent="0.15">
      <c r="A389" s="1">
        <v>-1.0506099933550872</v>
      </c>
      <c r="B389" s="1">
        <v>4.6505695461363299</v>
      </c>
      <c r="C389" s="1">
        <v>1.9491557172226313</v>
      </c>
      <c r="D389" s="1">
        <v>4.6994647052671246</v>
      </c>
      <c r="E389" s="1">
        <v>4.7002360018747655</v>
      </c>
    </row>
    <row r="390" spans="1:5" ht="13" x14ac:dyDescent="0.15">
      <c r="A390" s="1">
        <v>-1.5686362358410126</v>
      </c>
      <c r="B390" s="1">
        <v>3.24013822124477</v>
      </c>
      <c r="C390" s="1">
        <v>1.1728363601227105</v>
      </c>
      <c r="D390" s="1">
        <v>3.2723503851417699</v>
      </c>
      <c r="E390" s="1">
        <v>3.2757900816942929</v>
      </c>
    </row>
    <row r="391" spans="1:5" ht="13" x14ac:dyDescent="0.15">
      <c r="A391" s="1">
        <v>-1.7212463990471711</v>
      </c>
      <c r="B391" s="1">
        <v>3.0234380757075456</v>
      </c>
      <c r="C391" s="1">
        <v>1.1845778749320248</v>
      </c>
      <c r="D391" s="1">
        <v>3.0721715630940207</v>
      </c>
      <c r="E391" s="1">
        <v>3.0777616808693185</v>
      </c>
    </row>
    <row r="392" spans="1:5" ht="13" x14ac:dyDescent="0.15">
      <c r="A392" s="1">
        <v>-0.99139982823808248</v>
      </c>
      <c r="B392" s="1">
        <v>2.8041782921124012</v>
      </c>
      <c r="C392" s="1">
        <v>1.1811000797280484</v>
      </c>
      <c r="D392" s="1">
        <v>2.8841578933400105</v>
      </c>
      <c r="E392" s="1">
        <v>2.8926782806917348</v>
      </c>
    </row>
    <row r="393" spans="1:5" ht="13" x14ac:dyDescent="0.15">
      <c r="A393" s="1">
        <v>-0.90657831483776496</v>
      </c>
      <c r="B393" s="1">
        <v>3.2151712991276198</v>
      </c>
      <c r="C393" s="1">
        <v>1.178861887156875</v>
      </c>
      <c r="D393" s="1">
        <v>3.2515435655661373</v>
      </c>
      <c r="E393" s="1">
        <v>3.2552018058583516</v>
      </c>
    </row>
    <row r="394" spans="1:5" ht="13" x14ac:dyDescent="0.15">
      <c r="A394" s="1">
        <v>-1.2441251443275085</v>
      </c>
      <c r="B394" s="1">
        <v>4.1014604962356085</v>
      </c>
      <c r="C394" s="1">
        <v>1.6091673743020198</v>
      </c>
      <c r="D394" s="1">
        <v>4.1330518742958331</v>
      </c>
      <c r="E394" s="1">
        <v>4.1343498025470415</v>
      </c>
    </row>
    <row r="395" spans="1:5" ht="13" x14ac:dyDescent="0.15">
      <c r="A395" s="1">
        <v>-1.1426675035687315</v>
      </c>
      <c r="B395" s="1">
        <v>4.011379007367764</v>
      </c>
      <c r="C395" s="1">
        <v>1.610915555324175</v>
      </c>
      <c r="D395" s="1">
        <v>4.0488416132262426</v>
      </c>
      <c r="E395" s="1">
        <v>4.0504231448694803</v>
      </c>
    </row>
    <row r="396" spans="1:5" ht="13" x14ac:dyDescent="0.15">
      <c r="A396" s="1">
        <v>-1.3372421683184259</v>
      </c>
      <c r="B396" s="1">
        <v>3.7921241657745237</v>
      </c>
      <c r="C396" s="1">
        <v>1.6091353297493112</v>
      </c>
      <c r="D396" s="1">
        <v>3.8537764263998766</v>
      </c>
      <c r="E396" s="1">
        <v>3.8562419539947741</v>
      </c>
    </row>
    <row r="397" spans="1:5" ht="13" x14ac:dyDescent="0.15">
      <c r="A397" s="1">
        <v>-1.1611509092627446</v>
      </c>
      <c r="B397" s="1">
        <v>4.0146740687375724</v>
      </c>
      <c r="C397" s="1">
        <v>1.60424765923765</v>
      </c>
      <c r="D397" s="1">
        <v>4.0534757756370849</v>
      </c>
      <c r="E397" s="1">
        <v>4.0550167148163805</v>
      </c>
    </row>
    <row r="398" spans="1:5" ht="13" x14ac:dyDescent="0.15">
      <c r="A398" s="1">
        <v>-1.2924298239020637</v>
      </c>
      <c r="B398" s="1">
        <v>4.0230133466114575</v>
      </c>
      <c r="C398" s="1">
        <v>1.6318089098947992</v>
      </c>
      <c r="D398" s="1">
        <v>4.0611552324996243</v>
      </c>
      <c r="E398" s="1">
        <v>4.0627682209024556</v>
      </c>
    </row>
    <row r="399" spans="1:5" ht="13" x14ac:dyDescent="0.15">
      <c r="A399" s="1">
        <v>-1.2006594505464183</v>
      </c>
      <c r="B399" s="1">
        <v>4.0737537887958899</v>
      </c>
      <c r="C399" s="1">
        <v>1.6135669987712846</v>
      </c>
      <c r="D399" s="1">
        <v>4.1113642516948401</v>
      </c>
      <c r="E399" s="1">
        <v>4.1127424728502939</v>
      </c>
    </row>
    <row r="400" spans="1:5" ht="13" x14ac:dyDescent="0.15">
      <c r="A400" s="1">
        <v>-1.3467874862246563</v>
      </c>
      <c r="B400" s="1">
        <v>3.869407925376148</v>
      </c>
      <c r="C400" s="1">
        <v>1.6142959557093071</v>
      </c>
      <c r="D400" s="1">
        <v>3.9234469701858794</v>
      </c>
      <c r="E400" s="1">
        <v>3.9255729508828079</v>
      </c>
    </row>
    <row r="401" spans="1:5" ht="13" x14ac:dyDescent="0.15">
      <c r="A401" s="1">
        <v>-0.86646109162978246</v>
      </c>
      <c r="B401" s="1">
        <v>4.7448030538260824</v>
      </c>
      <c r="C401" s="1">
        <v>1.9537886759372307</v>
      </c>
      <c r="D401" s="1">
        <v>4.78184936590627</v>
      </c>
      <c r="E401" s="1">
        <v>4.7824941878569422</v>
      </c>
    </row>
    <row r="402" spans="1:5" ht="13" x14ac:dyDescent="0.15">
      <c r="A402" s="1">
        <v>-0.9244530386074693</v>
      </c>
      <c r="B402" s="1">
        <v>4.7462925207536317</v>
      </c>
      <c r="C402" s="1">
        <v>1.9564997898648113</v>
      </c>
      <c r="D402" s="1">
        <v>4.7830278578634697</v>
      </c>
      <c r="E402" s="1">
        <v>4.7836749001763446</v>
      </c>
    </row>
    <row r="403" spans="1:5" ht="13" x14ac:dyDescent="0.15">
      <c r="A403" s="1">
        <v>-1.431798275933005</v>
      </c>
      <c r="B403" s="1">
        <v>2.7761866979395675</v>
      </c>
      <c r="C403" s="1">
        <v>1.1911155223803065</v>
      </c>
      <c r="D403" s="1">
        <v>2.8540265456434764</v>
      </c>
      <c r="E403" s="1">
        <v>2.8633633130648266</v>
      </c>
    </row>
    <row r="404" spans="1:5" ht="13" x14ac:dyDescent="0.15">
      <c r="A404" s="1">
        <v>-1.1549019599857431</v>
      </c>
      <c r="B404" s="1">
        <v>2.5563977938232103</v>
      </c>
      <c r="C404" s="1">
        <v>1.1693804953119495</v>
      </c>
      <c r="D404" s="1">
        <v>2.669329899905752</v>
      </c>
      <c r="E404" s="1">
        <v>2.6828514715933172</v>
      </c>
    </row>
    <row r="405" spans="1:5" ht="13" x14ac:dyDescent="0.15">
      <c r="A405" s="1">
        <v>-1.6382721639824072</v>
      </c>
      <c r="B405" s="1">
        <v>2.9292645960217061</v>
      </c>
      <c r="C405" s="1">
        <v>1.1771900804896094</v>
      </c>
      <c r="D405" s="1">
        <v>2.9981311241404591</v>
      </c>
      <c r="E405" s="1">
        <v>3.0046411719452366</v>
      </c>
    </row>
    <row r="406" spans="1:5" ht="13" x14ac:dyDescent="0.15">
      <c r="A406" s="1">
        <v>-1.8239087409443189</v>
      </c>
      <c r="B406" s="1">
        <v>2.8853255928510024</v>
      </c>
      <c r="C406" s="1">
        <v>1.1937088323953549</v>
      </c>
      <c r="D406" s="1">
        <v>2.9514366082450998</v>
      </c>
      <c r="E406" s="1">
        <v>2.9589578661198739</v>
      </c>
    </row>
    <row r="407" spans="1:5" ht="13" x14ac:dyDescent="0.15">
      <c r="A407" s="1">
        <v>-1.0969100130080565</v>
      </c>
      <c r="B407" s="1">
        <v>2.6651690132188612</v>
      </c>
      <c r="C407" s="1">
        <v>1.19122738187401</v>
      </c>
      <c r="D407" s="1">
        <v>2.7710477680803405</v>
      </c>
      <c r="E407" s="1">
        <v>2.7823285521020855</v>
      </c>
    </row>
    <row r="408" spans="1:5" ht="13" x14ac:dyDescent="0.15">
      <c r="A408" s="1">
        <v>-1.3467874862246563</v>
      </c>
      <c r="B408" s="1">
        <v>2.9361954448393641</v>
      </c>
      <c r="C408" s="1">
        <v>1.1818435879447726</v>
      </c>
      <c r="D408" s="1">
        <v>3.0044318683211606</v>
      </c>
      <c r="E408" s="1">
        <v>3.0109178775354208</v>
      </c>
    </row>
    <row r="409" spans="1:5" ht="13" x14ac:dyDescent="0.15">
      <c r="A409" s="1">
        <v>-1.2146701649892331</v>
      </c>
      <c r="B409" s="1">
        <v>3.1863332493475292</v>
      </c>
      <c r="C409" s="1">
        <v>1.1653630506973742</v>
      </c>
      <c r="D409" s="1">
        <v>3.2259780453694904</v>
      </c>
      <c r="E409" s="1">
        <v>3.2297389084972425</v>
      </c>
    </row>
    <row r="410" spans="1:5" ht="13" x14ac:dyDescent="0.15">
      <c r="A410" s="1">
        <v>-0.98716277529482777</v>
      </c>
      <c r="B410" s="1">
        <v>3.0027706281011937</v>
      </c>
      <c r="C410" s="1">
        <v>1.1975286555227711</v>
      </c>
      <c r="D410" s="1">
        <v>3.0589495954304695</v>
      </c>
      <c r="E410" s="1">
        <v>3.0648842122618953</v>
      </c>
    </row>
    <row r="411" spans="1:5" ht="13" x14ac:dyDescent="0.15">
      <c r="A411" s="1">
        <v>-1.585026652029182</v>
      </c>
      <c r="B411" s="1">
        <v>2.8405063144407006</v>
      </c>
      <c r="C411" s="1">
        <v>1.1910595818273981</v>
      </c>
      <c r="D411" s="1">
        <v>2.9225495253146847</v>
      </c>
      <c r="E411" s="1">
        <v>2.930534904810072</v>
      </c>
    </row>
    <row r="412" spans="1:5" ht="13" x14ac:dyDescent="0.15">
      <c r="A412" s="1">
        <v>-0.94309514866352739</v>
      </c>
      <c r="B412" s="1">
        <v>2.8371488714412476</v>
      </c>
      <c r="C412" s="1">
        <v>1.1946808126499449</v>
      </c>
      <c r="D412" s="1">
        <v>2.9110446241914554</v>
      </c>
      <c r="E412" s="1">
        <v>2.9193103516447523</v>
      </c>
    </row>
    <row r="413" spans="1:5" ht="13" x14ac:dyDescent="0.15">
      <c r="A413" s="1">
        <v>-1.5376020021010439</v>
      </c>
      <c r="B413" s="1">
        <v>2.7138398542302968</v>
      </c>
      <c r="C413" s="1">
        <v>1.183981218914592</v>
      </c>
      <c r="D413" s="1">
        <v>2.8043173407251731</v>
      </c>
      <c r="E413" s="1">
        <v>2.8146044764242113</v>
      </c>
    </row>
    <row r="414" spans="1:5" ht="13" x14ac:dyDescent="0.15">
      <c r="A414" s="1">
        <v>-1.8239087409443189</v>
      </c>
      <c r="B414" s="1">
        <v>2.801024823537285</v>
      </c>
      <c r="C414" s="1">
        <v>1.1891533029618897</v>
      </c>
      <c r="D414" s="1">
        <v>2.8871929246167505</v>
      </c>
      <c r="E414" s="1">
        <v>2.8958113583469767</v>
      </c>
    </row>
    <row r="415" spans="1:5" ht="13" x14ac:dyDescent="0.15">
      <c r="A415" s="1">
        <v>-1.7695510786217261</v>
      </c>
      <c r="B415" s="1">
        <v>3.1379883131227011</v>
      </c>
      <c r="C415" s="1">
        <v>1.1850886427579197</v>
      </c>
      <c r="D415" s="1">
        <v>3.1826209075955769</v>
      </c>
      <c r="E415" s="1">
        <v>3.186966783256405</v>
      </c>
    </row>
    <row r="416" spans="1:5" ht="13" x14ac:dyDescent="0.15">
      <c r="A416" s="1">
        <v>-1.853871964321762</v>
      </c>
      <c r="B416" s="1">
        <v>2.781409955263757</v>
      </c>
      <c r="C416" s="1">
        <v>1.2093273158780649</v>
      </c>
      <c r="D416" s="1">
        <v>2.865523254439247</v>
      </c>
      <c r="E416" s="1">
        <v>2.8750039327361825</v>
      </c>
    </row>
    <row r="417" spans="1:5" ht="13" x14ac:dyDescent="0.15">
      <c r="A417" s="1">
        <v>-1.744727494896694</v>
      </c>
      <c r="B417" s="1">
        <v>2.9817760360735068</v>
      </c>
      <c r="C417" s="1">
        <v>1.1870410400423286</v>
      </c>
      <c r="D417" s="1">
        <v>3.0392467149789519</v>
      </c>
      <c r="E417" s="1">
        <v>3.0453081107931386</v>
      </c>
    </row>
    <row r="418" spans="1:5" ht="13" x14ac:dyDescent="0.15">
      <c r="A418" s="1">
        <v>-1.3872161432802645</v>
      </c>
      <c r="B418" s="1">
        <v>2.9370683200788217</v>
      </c>
      <c r="C418" s="1">
        <v>1.1815291821065035</v>
      </c>
      <c r="D418" s="1">
        <v>2.9961393853052534</v>
      </c>
      <c r="E418" s="1">
        <v>3.0027447353689762</v>
      </c>
    </row>
    <row r="419" spans="1:5" ht="13" x14ac:dyDescent="0.15">
      <c r="A419" s="1">
        <v>-1.3010299956639813</v>
      </c>
      <c r="B419" s="1">
        <v>3.7013844719802975</v>
      </c>
      <c r="C419" s="1">
        <v>1.6166540263176019</v>
      </c>
      <c r="D419" s="1">
        <v>3.7698779532658699</v>
      </c>
      <c r="E419" s="1">
        <v>3.7729191108053772</v>
      </c>
    </row>
    <row r="420" spans="1:5" ht="13" x14ac:dyDescent="0.15">
      <c r="A420" s="1">
        <v>-1.0362121726544447</v>
      </c>
      <c r="B420" s="1">
        <v>3.5370422093839742</v>
      </c>
      <c r="C420" s="1">
        <v>1.5984950422735866</v>
      </c>
      <c r="D420" s="1">
        <v>3.6200024133536668</v>
      </c>
      <c r="E420" s="1">
        <v>3.6241158767600501</v>
      </c>
    </row>
    <row r="421" spans="1:5" ht="13" x14ac:dyDescent="0.15">
      <c r="A421" s="1">
        <v>-0.94692155651658028</v>
      </c>
      <c r="B421" s="1">
        <v>4.112433159840597</v>
      </c>
      <c r="C421" s="1">
        <v>1.6110963673317424</v>
      </c>
      <c r="D421" s="1">
        <v>4.1456037741011578</v>
      </c>
      <c r="E421" s="1">
        <v>4.1468703856537088</v>
      </c>
    </row>
    <row r="422" spans="1:5" ht="13" x14ac:dyDescent="0.15">
      <c r="A422" s="1">
        <v>-1.494850021680094</v>
      </c>
      <c r="B422" s="1">
        <v>3.7592914693309205</v>
      </c>
      <c r="C422" s="1">
        <v>1.6089750715099118</v>
      </c>
      <c r="D422" s="1">
        <v>3.8204125764640575</v>
      </c>
      <c r="E422" s="1">
        <v>3.8230734630825096</v>
      </c>
    </row>
    <row r="423" spans="1:5" ht="13" x14ac:dyDescent="0.15">
      <c r="A423" s="1">
        <v>-1.6020599913279623</v>
      </c>
      <c r="B423" s="1">
        <v>3.6280014687715556</v>
      </c>
      <c r="C423" s="1">
        <v>1.6111601653656302</v>
      </c>
      <c r="D423" s="1">
        <v>3.7130431658354954</v>
      </c>
      <c r="E423" s="1">
        <v>3.7164647034154652</v>
      </c>
    </row>
    <row r="424" spans="1:5" ht="13" x14ac:dyDescent="0.15">
      <c r="A424" s="1">
        <v>-1.2757241303992111</v>
      </c>
      <c r="B424" s="1">
        <v>3.981556049111536</v>
      </c>
      <c r="C424" s="1">
        <v>1.6154344811094059</v>
      </c>
      <c r="D424" s="1">
        <v>4.0234270891157111</v>
      </c>
      <c r="E424" s="1">
        <v>4.0251212508766248</v>
      </c>
    </row>
    <row r="425" spans="1:5" ht="13" x14ac:dyDescent="0.15">
      <c r="A425" s="1">
        <v>-1.2441251443275085</v>
      </c>
      <c r="B425" s="1">
        <v>4.0181362566470336</v>
      </c>
      <c r="C425" s="1">
        <v>1.6074014033020252</v>
      </c>
      <c r="D425" s="1">
        <v>4.0599568308641469</v>
      </c>
      <c r="E425" s="1">
        <v>4.061486030055848</v>
      </c>
    </row>
    <row r="426" spans="1:5" ht="13" x14ac:dyDescent="0.15">
      <c r="A426" s="1">
        <v>-1.2518119729937995</v>
      </c>
      <c r="B426" s="1">
        <v>4.0155162995753573</v>
      </c>
      <c r="C426" s="1">
        <v>1.6279697613891853</v>
      </c>
      <c r="D426" s="1">
        <v>4.0558521648608981</v>
      </c>
      <c r="E426" s="1">
        <v>4.0574707035002735</v>
      </c>
    </row>
    <row r="427" spans="1:5" ht="13" x14ac:dyDescent="0.15">
      <c r="A427" s="1">
        <v>-1.3372421683184259</v>
      </c>
      <c r="B427" s="1">
        <v>3.9502181334880695</v>
      </c>
      <c r="C427" s="1">
        <v>1.6202193648688725</v>
      </c>
      <c r="D427" s="1">
        <v>3.9972535853300126</v>
      </c>
      <c r="E427" s="1">
        <v>3.999072616988284</v>
      </c>
    </row>
    <row r="428" spans="1:5" ht="13" x14ac:dyDescent="0.15">
      <c r="A428" s="1">
        <v>-1.6777807052660807</v>
      </c>
      <c r="B428" s="1">
        <v>3.5546306309495139</v>
      </c>
      <c r="C428" s="1">
        <v>1.6105217628959148</v>
      </c>
      <c r="D428" s="1">
        <v>3.6431227835270974</v>
      </c>
      <c r="E428" s="1">
        <v>3.6471330810953271</v>
      </c>
    </row>
    <row r="429" spans="1:5" ht="13" x14ac:dyDescent="0.15">
      <c r="A429" s="1">
        <v>-1.3979400086720375</v>
      </c>
      <c r="B429" s="1">
        <v>3.841834118883928</v>
      </c>
      <c r="C429" s="1">
        <v>1.6195211504558644</v>
      </c>
      <c r="D429" s="1">
        <v>3.8983474773037137</v>
      </c>
      <c r="E429" s="1">
        <v>3.900626862866476</v>
      </c>
    </row>
    <row r="430" spans="1:5" ht="13" x14ac:dyDescent="0.15">
      <c r="A430" s="1">
        <v>-1.2676062401770316</v>
      </c>
      <c r="B430" s="1">
        <v>4.0161640061144439</v>
      </c>
      <c r="C430" s="1">
        <v>1.6295115342004531</v>
      </c>
      <c r="D430" s="1">
        <v>4.0546436532400456</v>
      </c>
      <c r="E430" s="1">
        <v>4.0562723782581953</v>
      </c>
    </row>
    <row r="431" spans="1:5" ht="13" x14ac:dyDescent="0.15">
      <c r="A431" s="1">
        <v>-1.4814860601221125</v>
      </c>
      <c r="B431" s="1">
        <v>3.806980712236876</v>
      </c>
      <c r="C431" s="1">
        <v>1.6033284484720063</v>
      </c>
      <c r="D431" s="1">
        <v>3.8610233512952963</v>
      </c>
      <c r="E431" s="1">
        <v>3.8634160746988302</v>
      </c>
    </row>
    <row r="432" spans="1:5" ht="13" x14ac:dyDescent="0.15">
      <c r="A432" s="1">
        <v>-0.82973828460504262</v>
      </c>
      <c r="B432" s="1">
        <v>4.5952625658686959</v>
      </c>
      <c r="C432" s="1">
        <v>1.9515949101532293</v>
      </c>
      <c r="D432" s="1">
        <v>4.6422954092575672</v>
      </c>
      <c r="E432" s="1">
        <v>4.6431797946170894</v>
      </c>
    </row>
    <row r="433" spans="1:5" ht="13" x14ac:dyDescent="0.15">
      <c r="A433" s="1">
        <v>-1.1079053973095196</v>
      </c>
      <c r="B433" s="1">
        <v>4.4109530069542693</v>
      </c>
      <c r="C433" s="1">
        <v>1.9447688174075457</v>
      </c>
      <c r="D433" s="1">
        <v>4.4706293032088356</v>
      </c>
      <c r="E433" s="1">
        <v>4.4719213628688568</v>
      </c>
    </row>
    <row r="434" spans="1:5" ht="13" x14ac:dyDescent="0.15">
      <c r="A434" s="1">
        <v>-1.1804560644581312</v>
      </c>
      <c r="B434" s="1">
        <v>4.5340786753642872</v>
      </c>
      <c r="C434" s="1">
        <v>1.9557166061310576</v>
      </c>
      <c r="D434" s="1">
        <v>4.5882818832234777</v>
      </c>
      <c r="E434" s="1">
        <v>4.5892927955217937</v>
      </c>
    </row>
    <row r="435" spans="1:5" ht="13" x14ac:dyDescent="0.15">
      <c r="A435" s="1">
        <v>-1.0705810742857071</v>
      </c>
      <c r="B435" s="1">
        <v>4.4561700249078138</v>
      </c>
      <c r="C435" s="1">
        <v>1.9567925203704948</v>
      </c>
      <c r="D435" s="1">
        <v>4.5237615498310531</v>
      </c>
      <c r="E435" s="1">
        <v>4.5249373090905589</v>
      </c>
    </row>
    <row r="436" spans="1:5" ht="13" x14ac:dyDescent="0.15">
      <c r="A436" s="1">
        <v>-1.4436974992327127</v>
      </c>
      <c r="B436" s="1">
        <v>3.68461972115223</v>
      </c>
      <c r="C436" s="1">
        <v>1.6077123066830363</v>
      </c>
      <c r="D436" s="1">
        <v>3.7561339835838408</v>
      </c>
      <c r="E436" s="1">
        <v>3.759208911788102</v>
      </c>
    </row>
    <row r="437" spans="1:5" ht="13" x14ac:dyDescent="0.15">
      <c r="A437" s="1">
        <v>-1.1870866433571443</v>
      </c>
      <c r="B437" s="1">
        <v>3.9522709767234021</v>
      </c>
      <c r="C437" s="1">
        <v>1.6343966511736978</v>
      </c>
      <c r="D437" s="1">
        <v>3.9925016909934459</v>
      </c>
      <c r="E437" s="1">
        <v>3.9944016712635841</v>
      </c>
    </row>
    <row r="438" spans="1:5" ht="13" x14ac:dyDescent="0.15">
      <c r="A438" s="1">
        <v>-1.3098039199714864</v>
      </c>
      <c r="B438" s="1">
        <v>3.8340307445925803</v>
      </c>
      <c r="C438" s="1">
        <v>1.6128368162322582</v>
      </c>
      <c r="D438" s="1">
        <v>3.8933675011233571</v>
      </c>
      <c r="E438" s="1">
        <v>3.8956381479033575</v>
      </c>
    </row>
    <row r="439" spans="1:5" ht="13" x14ac:dyDescent="0.15">
      <c r="A439" s="1">
        <v>-1.2146701649892331</v>
      </c>
      <c r="B439" s="1">
        <v>3.8491230464620574</v>
      </c>
      <c r="C439" s="1">
        <v>1.6145175695287359</v>
      </c>
      <c r="D439" s="1">
        <v>3.9053035268558323</v>
      </c>
      <c r="E439" s="1">
        <v>3.9075212104849002</v>
      </c>
    </row>
    <row r="440" spans="1:5" ht="13" x14ac:dyDescent="0.15">
      <c r="A440" s="1">
        <v>-0.90657831483776496</v>
      </c>
      <c r="B440" s="1">
        <v>4.7466359968196157</v>
      </c>
      <c r="C440" s="1">
        <v>1.9562837145928134</v>
      </c>
      <c r="D440" s="1">
        <v>4.7831289661113647</v>
      </c>
      <c r="E440" s="1">
        <v>4.7837755506762418</v>
      </c>
    </row>
    <row r="441" spans="1:5" ht="13" x14ac:dyDescent="0.15">
      <c r="A441" s="1">
        <v>-1.3979400086720375</v>
      </c>
      <c r="B441" s="1">
        <v>3.6747214645990436</v>
      </c>
      <c r="C441" s="1">
        <v>1.6050031982042874</v>
      </c>
      <c r="D441" s="1">
        <v>3.7396886944703578</v>
      </c>
      <c r="E441" s="1">
        <v>3.7428619949595894</v>
      </c>
    </row>
    <row r="442" spans="1:5" ht="13" x14ac:dyDescent="0.15">
      <c r="A442" s="1">
        <v>-1.2757241303992111</v>
      </c>
      <c r="B442" s="1">
        <v>3.5182174656229663</v>
      </c>
      <c r="C442" s="1">
        <v>1.6012993101943376</v>
      </c>
      <c r="D442" s="1">
        <v>3.6018954711349629</v>
      </c>
      <c r="E442" s="1">
        <v>3.6062111614249939</v>
      </c>
    </row>
    <row r="443" spans="1:5" ht="13" x14ac:dyDescent="0.15">
      <c r="A443" s="1">
        <v>-1.0177287669604316</v>
      </c>
      <c r="B443" s="1">
        <v>4.0818300209978533</v>
      </c>
      <c r="C443" s="1">
        <v>1.6086971503965486</v>
      </c>
      <c r="D443" s="1">
        <v>4.1167013993886501</v>
      </c>
      <c r="E443" s="1">
        <v>4.1180476238227515</v>
      </c>
    </row>
    <row r="444" spans="1:5" ht="13" x14ac:dyDescent="0.15">
      <c r="A444" s="1">
        <v>-1.2676062401770316</v>
      </c>
      <c r="B444" s="1">
        <v>3.7519511242048829</v>
      </c>
      <c r="C444" s="1">
        <v>1.6051757084277685</v>
      </c>
      <c r="D444" s="1">
        <v>3.8141130235266454</v>
      </c>
      <c r="E444" s="1">
        <v>3.816789292341936</v>
      </c>
    </row>
    <row r="445" spans="1:5" ht="13" x14ac:dyDescent="0.15">
      <c r="A445" s="1">
        <v>-0.94692155651658028</v>
      </c>
      <c r="B445" s="1">
        <v>3.6677177450864051</v>
      </c>
      <c r="C445" s="1">
        <v>1.6100636631681218</v>
      </c>
      <c r="D445" s="1">
        <v>3.7387066904404609</v>
      </c>
      <c r="E445" s="1">
        <v>3.7419242862884379</v>
      </c>
    </row>
    <row r="446" spans="1:5" ht="13" x14ac:dyDescent="0.15">
      <c r="A446" s="1">
        <v>-1.4089353929735009</v>
      </c>
      <c r="B446" s="1">
        <v>3.6340149186864741</v>
      </c>
      <c r="C446" s="1">
        <v>1.6151079874431939</v>
      </c>
      <c r="D446" s="1">
        <v>3.7145740864521755</v>
      </c>
      <c r="E446" s="1">
        <v>3.7180143912757289</v>
      </c>
    </row>
    <row r="447" spans="1:5" ht="13" x14ac:dyDescent="0.15">
      <c r="A447" s="1">
        <v>-1.3565473235138126</v>
      </c>
      <c r="B447" s="1">
        <v>3.8901910669165063</v>
      </c>
      <c r="C447" s="1">
        <v>1.6085367303538822</v>
      </c>
      <c r="D447" s="1">
        <v>3.936970064788416</v>
      </c>
      <c r="E447" s="1">
        <v>3.9390040336130725</v>
      </c>
    </row>
    <row r="448" spans="1:5" ht="13" x14ac:dyDescent="0.15">
      <c r="A448" s="1">
        <v>-1.2839966563652008</v>
      </c>
      <c r="B448" s="1">
        <v>3.8510009376764014</v>
      </c>
      <c r="C448" s="1">
        <v>1.615929019937377</v>
      </c>
      <c r="D448" s="1">
        <v>3.9065610747418278</v>
      </c>
      <c r="E448" s="1">
        <v>3.9087794886399529</v>
      </c>
    </row>
    <row r="449" spans="1:5" ht="13" x14ac:dyDescent="0.15">
      <c r="A449" s="1">
        <v>-1.3279021420642825</v>
      </c>
      <c r="B449" s="1">
        <v>3.6718850014854945</v>
      </c>
      <c r="C449" s="1">
        <v>1.6053481501540379</v>
      </c>
      <c r="D449" s="1">
        <v>3.7618090298568023</v>
      </c>
      <c r="E449" s="1">
        <v>3.764827832394527</v>
      </c>
    </row>
    <row r="450" spans="1:5" ht="13" x14ac:dyDescent="0.15">
      <c r="A450" s="1">
        <v>-1.3010299956639813</v>
      </c>
      <c r="B450" s="1">
        <v>3.9596516005631708</v>
      </c>
      <c r="C450" s="1">
        <v>1.6184560372229269</v>
      </c>
      <c r="D450" s="1">
        <v>4.0041027525426411</v>
      </c>
      <c r="E450" s="1">
        <v>4.0058861395459839</v>
      </c>
    </row>
    <row r="451" spans="1:5" ht="13" x14ac:dyDescent="0.15">
      <c r="A451" s="1">
        <v>-1.1487416512809248</v>
      </c>
      <c r="B451" s="1">
        <v>3.876947673362571</v>
      </c>
      <c r="C451" s="1">
        <v>1.61768166971834</v>
      </c>
      <c r="D451" s="1">
        <v>3.9281893596534858</v>
      </c>
      <c r="E451" s="1">
        <v>3.9303087769863945</v>
      </c>
    </row>
    <row r="452" spans="1:5" ht="13" x14ac:dyDescent="0.15">
      <c r="A452" s="1">
        <v>-1.494850021680094</v>
      </c>
      <c r="B452" s="1">
        <v>3.7542704156795925</v>
      </c>
      <c r="C452" s="1">
        <v>1.6102235202850892</v>
      </c>
      <c r="D452" s="1">
        <v>3.8150569468597375</v>
      </c>
      <c r="E452" s="1">
        <v>3.8177585446687781</v>
      </c>
    </row>
    <row r="453" spans="1:5" ht="13" x14ac:dyDescent="0.15">
      <c r="A453" s="1">
        <v>-1.4685210829577449</v>
      </c>
      <c r="B453" s="1">
        <v>3.718728990424208</v>
      </c>
      <c r="C453" s="1">
        <v>1.6164335002983321</v>
      </c>
      <c r="D453" s="1">
        <v>3.7795556569998454</v>
      </c>
      <c r="E453" s="1">
        <v>3.7825285198588658</v>
      </c>
    </row>
    <row r="454" spans="1:5" ht="13" x14ac:dyDescent="0.15">
      <c r="A454" s="1">
        <v>-1.4559319556497243</v>
      </c>
      <c r="B454" s="1">
        <v>3.750138817346429</v>
      </c>
      <c r="C454" s="1">
        <v>1.6198026554894609</v>
      </c>
      <c r="D454" s="1">
        <v>3.8173219113359096</v>
      </c>
      <c r="E454" s="1">
        <v>3.8200691141959235</v>
      </c>
    </row>
    <row r="455" spans="1:5" ht="13" x14ac:dyDescent="0.15">
      <c r="A455" s="1">
        <v>-1.1938200260161129</v>
      </c>
      <c r="B455" s="1">
        <v>4.0431244710859486</v>
      </c>
      <c r="C455" s="1">
        <v>1.626709822507407</v>
      </c>
      <c r="D455" s="1">
        <v>4.0770219310034888</v>
      </c>
      <c r="E455" s="1">
        <v>4.0785590356090413</v>
      </c>
    </row>
    <row r="456" spans="1:5" ht="13" x14ac:dyDescent="0.15">
      <c r="A456" s="1">
        <v>-1.585026652029182</v>
      </c>
      <c r="B456" s="1">
        <v>3.6134605109293174</v>
      </c>
      <c r="C456" s="1">
        <v>1.5990201735850516</v>
      </c>
      <c r="D456" s="1">
        <v>3.6897316685019748</v>
      </c>
      <c r="E456" s="1">
        <v>3.6932417451172799</v>
      </c>
    </row>
    <row r="457" spans="1:5" ht="13" x14ac:dyDescent="0.15">
      <c r="A457" s="1">
        <v>-0.86327943284359321</v>
      </c>
      <c r="B457" s="1">
        <v>4.5675145376330182</v>
      </c>
      <c r="C457" s="1">
        <v>1.95501390303805</v>
      </c>
      <c r="D457" s="1">
        <v>4.617126436056683</v>
      </c>
      <c r="E457" s="1">
        <v>4.6180709305831282</v>
      </c>
    </row>
    <row r="458" spans="1:5" ht="13" x14ac:dyDescent="0.15">
      <c r="A458" s="1">
        <v>-1.1366771398795441</v>
      </c>
      <c r="B458" s="1">
        <v>4.4169171529829514</v>
      </c>
      <c r="C458" s="1">
        <v>1.9403570815606535</v>
      </c>
      <c r="D458" s="1">
        <v>4.4774059427584083</v>
      </c>
      <c r="E458" s="1">
        <v>4.4786651745568644</v>
      </c>
    </row>
    <row r="459" spans="1:5" ht="13" x14ac:dyDescent="0.15">
      <c r="A459" s="1">
        <v>-0.63827216398240705</v>
      </c>
      <c r="B459" s="1">
        <v>4.8036237885544519</v>
      </c>
      <c r="C459" s="1">
        <v>1.9538176582069966</v>
      </c>
      <c r="D459" s="1">
        <v>4.8377862181176585</v>
      </c>
      <c r="E459" s="1">
        <v>4.8383533975432371</v>
      </c>
    </row>
    <row r="460" spans="1:5" ht="13" x14ac:dyDescent="0.15">
      <c r="A460" s="1">
        <v>-0.92811799269387463</v>
      </c>
      <c r="B460" s="1">
        <v>4.5746070151917433</v>
      </c>
      <c r="C460" s="1">
        <v>1.9556877503135057</v>
      </c>
      <c r="D460" s="1">
        <v>4.6281194612651984</v>
      </c>
      <c r="E460" s="1">
        <v>4.6290418121160721</v>
      </c>
    </row>
    <row r="461" spans="1:5" ht="13" x14ac:dyDescent="0.15">
      <c r="A461" s="1">
        <v>-0.83564714421556296</v>
      </c>
      <c r="B461" s="1">
        <v>4.7848702222444697</v>
      </c>
      <c r="C461" s="1">
        <v>1.9540108239273466</v>
      </c>
      <c r="D461" s="1">
        <v>4.8139982244645889</v>
      </c>
      <c r="E461" s="1">
        <v>4.8145973350280213</v>
      </c>
    </row>
    <row r="462" spans="1:5" ht="13" x14ac:dyDescent="0.15">
      <c r="A462" s="1">
        <v>-1.0222763947111522</v>
      </c>
      <c r="B462" s="1">
        <v>4.5376941639422759</v>
      </c>
      <c r="C462" s="1">
        <v>1.954334184153514</v>
      </c>
      <c r="D462" s="1">
        <v>4.5930241151107989</v>
      </c>
      <c r="E462" s="1">
        <v>4.59402088726935</v>
      </c>
    </row>
    <row r="463" spans="1:5" ht="13" x14ac:dyDescent="0.15">
      <c r="A463" s="1">
        <v>-0.95467702121334252</v>
      </c>
      <c r="B463" s="1">
        <v>4.5130269349159393</v>
      </c>
      <c r="C463" s="1">
        <v>1.954189425758579</v>
      </c>
      <c r="D463" s="1">
        <v>4.5668172424527631</v>
      </c>
      <c r="E463" s="1">
        <v>4.567875587336574</v>
      </c>
    </row>
    <row r="464" spans="1:5" ht="13" x14ac:dyDescent="0.15">
      <c r="A464" s="1">
        <v>-1.2006594505464183</v>
      </c>
      <c r="B464" s="1">
        <v>4.3141195438291229</v>
      </c>
      <c r="C464" s="1">
        <v>1.9389298097006464</v>
      </c>
      <c r="D464" s="1">
        <v>4.3869618889034303</v>
      </c>
      <c r="E464" s="1">
        <v>4.3885071055989551</v>
      </c>
    </row>
    <row r="465" spans="1:5" ht="13" x14ac:dyDescent="0.15">
      <c r="A465" s="1">
        <v>-0.8477116556169435</v>
      </c>
      <c r="B465" s="1">
        <v>4.4557396204987114</v>
      </c>
      <c r="C465" s="1">
        <v>1.9603137752495607</v>
      </c>
      <c r="D465" s="1">
        <v>4.5251992458051271</v>
      </c>
      <c r="E465" s="1">
        <v>4.5263804041639437</v>
      </c>
    </row>
    <row r="466" spans="1:5" ht="13" x14ac:dyDescent="0.15">
      <c r="A466" s="1">
        <v>-0.93554201077308152</v>
      </c>
      <c r="B466" s="1">
        <v>4.5415398311819963</v>
      </c>
      <c r="C466" s="1">
        <v>1.9540687568937374</v>
      </c>
      <c r="D466" s="1">
        <v>4.5943930808111109</v>
      </c>
      <c r="E466" s="1">
        <v>4.5953862895230584</v>
      </c>
    </row>
    <row r="467" spans="1:5" ht="13" x14ac:dyDescent="0.15">
      <c r="A467" s="1">
        <v>-0.90308998699194354</v>
      </c>
      <c r="B467" s="1">
        <v>4.7305007971632484</v>
      </c>
      <c r="C467" s="1">
        <v>1.9565477919960697</v>
      </c>
      <c r="D467" s="1">
        <v>4.7646667648849741</v>
      </c>
      <c r="E467" s="1">
        <v>4.7653418171026933</v>
      </c>
    </row>
    <row r="468" spans="1:5" ht="13" x14ac:dyDescent="0.15">
      <c r="A468" s="1">
        <v>-1.0362121726544447</v>
      </c>
      <c r="B468" s="1">
        <v>4.485194020473303</v>
      </c>
      <c r="C468" s="1">
        <v>1.9596899632847247</v>
      </c>
      <c r="D468" s="1">
        <v>4.5439434335922462</v>
      </c>
      <c r="E468" s="1">
        <v>4.5450731530895769</v>
      </c>
    </row>
    <row r="469" spans="1:5" ht="13" x14ac:dyDescent="0.15">
      <c r="A469" s="1">
        <v>-0.86012091359876341</v>
      </c>
      <c r="B469" s="1">
        <v>4.750589915767784</v>
      </c>
      <c r="C469" s="1">
        <v>1.9500872456523561</v>
      </c>
      <c r="D469" s="1">
        <v>4.7832983598369037</v>
      </c>
      <c r="E469" s="1">
        <v>4.7839355287425285</v>
      </c>
    </row>
    <row r="470" spans="1:5" ht="13" x14ac:dyDescent="0.15">
      <c r="A470" s="1">
        <v>-2.1549019599857431</v>
      </c>
      <c r="B470" s="1">
        <v>0.36957212497497616</v>
      </c>
      <c r="C470" s="1">
        <v>0.36151074304536268</v>
      </c>
      <c r="D470" s="1">
        <v>0.341035157335565</v>
      </c>
      <c r="E470" s="1">
        <v>5.0122295963125202E-2</v>
      </c>
    </row>
    <row r="471" spans="1:5" ht="13" x14ac:dyDescent="0.15">
      <c r="A471" s="1">
        <v>-3</v>
      </c>
      <c r="B471" s="1">
        <v>0.348721986001856</v>
      </c>
      <c r="C471" s="1">
        <v>0.39040559077477999</v>
      </c>
      <c r="D471" s="1">
        <v>0.32422165832591499</v>
      </c>
      <c r="E471" s="1">
        <v>5.5024091587952087E-2</v>
      </c>
    </row>
    <row r="472" spans="1:5" ht="13" x14ac:dyDescent="0.15">
      <c r="A472" s="1">
        <v>-2.0969100130080562</v>
      </c>
      <c r="B472" s="1">
        <v>1.4696158612003916</v>
      </c>
      <c r="C472" s="1">
        <v>0.46952747918701387</v>
      </c>
      <c r="D472" s="1">
        <v>1.4972476454159096</v>
      </c>
      <c r="E472" s="1">
        <v>1.5361921678126427</v>
      </c>
    </row>
    <row r="473" spans="1:5" ht="13" x14ac:dyDescent="0.15">
      <c r="A473" s="1">
        <v>-2.3010299956639813</v>
      </c>
      <c r="B473" s="1">
        <v>1.1409791634769708</v>
      </c>
      <c r="C473" s="1">
        <v>0.47741068790725155</v>
      </c>
      <c r="D473" s="1">
        <v>1.1990966563056158</v>
      </c>
      <c r="E473" s="1">
        <v>1.2745503849095303</v>
      </c>
    </row>
    <row r="474" spans="1:5" ht="13" x14ac:dyDescent="0.15">
      <c r="A474" s="1">
        <v>-2.0457574905606752</v>
      </c>
      <c r="B474" s="1">
        <v>1.4515408285719487</v>
      </c>
      <c r="C474" s="1">
        <v>0.45773054824599846</v>
      </c>
      <c r="D474" s="1">
        <v>1.4811128408415175</v>
      </c>
      <c r="E474" s="1">
        <v>1.5204311260215413</v>
      </c>
    </row>
    <row r="475" spans="1:5" ht="13" x14ac:dyDescent="0.15">
      <c r="A475" s="1">
        <v>-1.5086383061657274</v>
      </c>
      <c r="B475" s="1">
        <v>2.5540067465537577</v>
      </c>
      <c r="C475" s="1">
        <v>1.0583121211083863</v>
      </c>
      <c r="D475" s="1">
        <v>2.5726265166533175</v>
      </c>
      <c r="E475" s="1">
        <v>2.585715591213317</v>
      </c>
    </row>
    <row r="476" spans="1:5" ht="13" x14ac:dyDescent="0.15">
      <c r="A476" s="1">
        <v>-1.5686362358410126</v>
      </c>
      <c r="B476" s="1">
        <v>2.6303556561209085</v>
      </c>
      <c r="C476" s="1">
        <v>1.0521550671995648</v>
      </c>
      <c r="D476" s="1">
        <v>2.6581831714879409</v>
      </c>
      <c r="E476" s="1">
        <v>2.6688106837557597</v>
      </c>
    </row>
    <row r="477" spans="1:5" ht="13" x14ac:dyDescent="0.15">
      <c r="A477" s="1">
        <v>-1.8860566476931633</v>
      </c>
      <c r="B477" s="1">
        <v>2.1942006485772887</v>
      </c>
      <c r="C477" s="1">
        <v>1.0567143295163943</v>
      </c>
      <c r="D477" s="1">
        <v>2.2482185611900749</v>
      </c>
      <c r="E477" s="1">
        <v>2.2752998346414968</v>
      </c>
    </row>
    <row r="478" spans="1:5" ht="13" x14ac:dyDescent="0.15">
      <c r="A478" s="1">
        <v>-1.6382721639824072</v>
      </c>
      <c r="B478" s="1">
        <v>2.4695643072117894</v>
      </c>
      <c r="C478" s="1">
        <v>1.0644205484335936</v>
      </c>
      <c r="D478" s="1">
        <v>2.4954791191013324</v>
      </c>
      <c r="E478" s="1">
        <v>2.5112856278791718</v>
      </c>
    </row>
    <row r="479" spans="1:5" ht="13" x14ac:dyDescent="0.15">
      <c r="A479" s="1">
        <v>-1.0457574905606752</v>
      </c>
      <c r="B479" s="1">
        <v>3.2550217482991988</v>
      </c>
      <c r="C479" s="1">
        <v>1.5006343500363071</v>
      </c>
      <c r="D479" s="1">
        <v>3.2758381785257935</v>
      </c>
      <c r="E479" s="1">
        <v>3.2830656958068749</v>
      </c>
    </row>
    <row r="480" spans="1:5" ht="13" x14ac:dyDescent="0.15">
      <c r="A480" s="1">
        <v>-0.9507819773298184</v>
      </c>
      <c r="B480" s="1">
        <v>3.2607552210701289</v>
      </c>
      <c r="C480" s="1">
        <v>1.471365065418019</v>
      </c>
      <c r="D480" s="1">
        <v>3.288417364724483</v>
      </c>
      <c r="E480" s="1">
        <v>3.2949905901206722</v>
      </c>
    </row>
    <row r="481" spans="1:5" ht="13" x14ac:dyDescent="0.15">
      <c r="A481" s="1">
        <v>-0.9244530386074693</v>
      </c>
      <c r="B481" s="1">
        <v>3.0578212356993348</v>
      </c>
      <c r="C481" s="1">
        <v>1.5042533209548865</v>
      </c>
      <c r="D481" s="1">
        <v>3.1003508980180272</v>
      </c>
      <c r="E481" s="1">
        <v>3.1112292344012844</v>
      </c>
    </row>
    <row r="482" spans="1:5" ht="13" x14ac:dyDescent="0.15">
      <c r="A482" s="1">
        <v>-1.0222763947111522</v>
      </c>
      <c r="B482" s="1">
        <v>3.3009227116768334</v>
      </c>
      <c r="C482" s="1">
        <v>1.4934580509951885</v>
      </c>
      <c r="D482" s="1">
        <v>3.3302542321499824</v>
      </c>
      <c r="E482" s="1">
        <v>3.336533177442234</v>
      </c>
    </row>
    <row r="483" spans="1:5" ht="13" x14ac:dyDescent="0.15">
      <c r="A483" s="1">
        <v>-1.0705810742857071</v>
      </c>
      <c r="B483" s="1">
        <v>3.1428685527423186</v>
      </c>
      <c r="C483" s="1">
        <v>1.4829164395022711</v>
      </c>
      <c r="D483" s="1">
        <v>3.1793871761497696</v>
      </c>
      <c r="E483" s="1">
        <v>3.1880370550068946</v>
      </c>
    </row>
    <row r="484" spans="1:5" ht="13" x14ac:dyDescent="0.15">
      <c r="A484" s="1">
        <v>-0.95860731484177497</v>
      </c>
      <c r="B484" s="1">
        <v>2.7935047176998178</v>
      </c>
      <c r="C484" s="1">
        <v>1.5071269403705478</v>
      </c>
      <c r="D484" s="1">
        <v>2.8522609612792493</v>
      </c>
      <c r="E484" s="1">
        <v>2.8714672677171813</v>
      </c>
    </row>
    <row r="485" spans="1:5" ht="13" x14ac:dyDescent="0.15">
      <c r="A485" s="1">
        <v>-0.72815839346350109</v>
      </c>
      <c r="B485" s="1">
        <v>3.8706865144327343</v>
      </c>
      <c r="C485" s="1">
        <v>1.8208776700125862</v>
      </c>
      <c r="D485" s="1">
        <v>3.8970387461803409</v>
      </c>
      <c r="E485" s="1">
        <v>3.90066868106392</v>
      </c>
    </row>
    <row r="486" spans="1:5" ht="13" x14ac:dyDescent="0.15">
      <c r="A486" s="1">
        <v>0</v>
      </c>
      <c r="B486" s="1">
        <v>1.0757207139381184</v>
      </c>
      <c r="C486" s="1">
        <v>0.32513885926218844</v>
      </c>
      <c r="D486" s="1">
        <v>0.98296666070121963</v>
      </c>
      <c r="E486" s="1">
        <v>0.23882418684426859</v>
      </c>
    </row>
    <row r="487" spans="1:5" ht="13" x14ac:dyDescent="0.15">
      <c r="A487" s="1">
        <v>0</v>
      </c>
      <c r="B487" s="1">
        <v>0.94309514866352739</v>
      </c>
      <c r="C487" s="1">
        <v>0.33441900898204685</v>
      </c>
      <c r="D487" s="1">
        <v>0.87614835903291421</v>
      </c>
      <c r="E487" s="1">
        <v>0.22475374025976358</v>
      </c>
    </row>
    <row r="488" spans="1:5" ht="13" x14ac:dyDescent="0.15">
      <c r="A488" s="1">
        <v>-3</v>
      </c>
      <c r="B488" s="1">
        <v>0.60032627851896181</v>
      </c>
      <c r="C488" s="1">
        <v>0.34294414714289606</v>
      </c>
      <c r="D488" s="1">
        <v>0.55129368009492008</v>
      </c>
      <c r="E488" s="1">
        <v>0.13371266091580511</v>
      </c>
    </row>
    <row r="489" spans="1:5" ht="13" x14ac:dyDescent="0.15">
      <c r="A489" s="1">
        <v>-3</v>
      </c>
      <c r="B489" s="1">
        <v>0.61261017366127057</v>
      </c>
      <c r="C489" s="1">
        <v>0.35261702988538018</v>
      </c>
      <c r="D489" s="1">
        <v>0.543633966870957</v>
      </c>
      <c r="E489" s="1">
        <v>0.13667713987954411</v>
      </c>
    </row>
    <row r="490" spans="1:5" ht="13" x14ac:dyDescent="0.15">
      <c r="A490" s="1">
        <v>0</v>
      </c>
      <c r="B490" s="1">
        <v>1.585026652029182</v>
      </c>
      <c r="C490" s="1">
        <v>0.25103713874383854</v>
      </c>
      <c r="D490" s="1">
        <v>1.494850021680094</v>
      </c>
      <c r="E490" s="1">
        <v>0.22767829327708025</v>
      </c>
    </row>
    <row r="491" spans="1:5" ht="13" x14ac:dyDescent="0.15">
      <c r="A491" s="1">
        <v>0</v>
      </c>
      <c r="B491" s="1">
        <v>1.3372421683184259</v>
      </c>
      <c r="C491" s="1">
        <v>0.38827669199265824</v>
      </c>
      <c r="D491" s="1">
        <v>1.2218487496163564</v>
      </c>
      <c r="E491" s="1">
        <v>0.32882715728491674</v>
      </c>
    </row>
    <row r="492" spans="1:5" ht="13" x14ac:dyDescent="0.15">
      <c r="A492" s="1">
        <v>0</v>
      </c>
      <c r="B492" s="1">
        <v>1.1674910872937636</v>
      </c>
      <c r="C492" s="1">
        <v>0.32697909287110383</v>
      </c>
      <c r="D492" s="1">
        <v>1.0705810742857071</v>
      </c>
      <c r="E492" s="1">
        <v>0.25570701687732372</v>
      </c>
    </row>
    <row r="493" spans="1:5" ht="13" x14ac:dyDescent="0.15">
      <c r="A493" s="1">
        <v>-3</v>
      </c>
      <c r="B493" s="1">
        <v>0.54668165995296236</v>
      </c>
      <c r="C493" s="1">
        <v>0.35654732351381258</v>
      </c>
      <c r="D493" s="1">
        <v>0.48545224733971393</v>
      </c>
      <c r="E493" s="1">
        <v>0.11463877996848799</v>
      </c>
    </row>
    <row r="494" spans="1:5" ht="13" x14ac:dyDescent="0.15">
      <c r="A494" s="1">
        <v>-3</v>
      </c>
      <c r="B494" s="1">
        <v>0.91721462968354994</v>
      </c>
      <c r="C494" s="1">
        <v>0.36251027048748929</v>
      </c>
      <c r="D494" s="1">
        <v>0.790484985457369</v>
      </c>
      <c r="E494" s="1">
        <v>0.22475374025976358</v>
      </c>
    </row>
    <row r="495" spans="1:5" ht="13" x14ac:dyDescent="0.15">
      <c r="A495" s="1">
        <v>0</v>
      </c>
      <c r="B495" s="1">
        <v>1.2006594505464183</v>
      </c>
      <c r="C495" s="1">
        <v>0.35359627377693043</v>
      </c>
      <c r="D495" s="1">
        <v>1.0757207139381184</v>
      </c>
      <c r="E495" s="1">
        <v>0.27901425584626094</v>
      </c>
    </row>
    <row r="496" spans="1:5" ht="13" x14ac:dyDescent="0.15">
      <c r="A496" s="1">
        <v>0</v>
      </c>
      <c r="B496" s="1">
        <v>1.2146701649892331</v>
      </c>
      <c r="C496" s="1">
        <v>0.35852588949590047</v>
      </c>
      <c r="D496" s="1">
        <v>1.0362121726544447</v>
      </c>
      <c r="E496" s="1">
        <v>0.27572413039921095</v>
      </c>
    </row>
    <row r="497" spans="1:5" ht="13" x14ac:dyDescent="0.15">
      <c r="A497" s="1">
        <v>0</v>
      </c>
      <c r="B497" s="1">
        <v>1.1870866433571443</v>
      </c>
      <c r="C497" s="1">
        <v>0.37059040089728107</v>
      </c>
      <c r="D497" s="1">
        <v>1.0087739243075051</v>
      </c>
      <c r="E497" s="1">
        <v>0.28149831113272572</v>
      </c>
    </row>
    <row r="498" spans="1:5" ht="13" x14ac:dyDescent="0.15">
      <c r="A498" s="1">
        <v>0</v>
      </c>
      <c r="B498" s="1">
        <v>1.5228787452803376</v>
      </c>
      <c r="C498" s="1">
        <v>0.37571790416433171</v>
      </c>
      <c r="D498" s="1">
        <v>1.3467874862246563</v>
      </c>
      <c r="E498" s="1">
        <v>0.33161408330999981</v>
      </c>
    </row>
    <row r="499" spans="1:5" ht="13" x14ac:dyDescent="0.15">
      <c r="A499" s="1">
        <v>-3</v>
      </c>
      <c r="B499" s="1">
        <v>0.36351210364663455</v>
      </c>
      <c r="C499" s="1">
        <v>0.35852588949590047</v>
      </c>
      <c r="D499" s="1">
        <v>0.33348201944511913</v>
      </c>
      <c r="E499" s="1">
        <v>4.4793462458058257E-2</v>
      </c>
    </row>
    <row r="500" spans="1:5" ht="13" x14ac:dyDescent="0.15">
      <c r="A500" s="1">
        <v>0</v>
      </c>
      <c r="B500" s="1">
        <v>1.1804560644581312</v>
      </c>
      <c r="C500" s="1">
        <v>0.36855623098682799</v>
      </c>
      <c r="D500" s="1">
        <v>1.0705810742857071</v>
      </c>
      <c r="E500" s="1">
        <v>0.28988263488818372</v>
      </c>
    </row>
    <row r="501" spans="1:5" ht="13" x14ac:dyDescent="0.15">
      <c r="A501" s="1">
        <v>0</v>
      </c>
      <c r="B501" s="1">
        <v>1.2924298239020637</v>
      </c>
      <c r="C501" s="1">
        <v>0.27002571430044436</v>
      </c>
      <c r="D501" s="1">
        <v>1.2006594505464183</v>
      </c>
      <c r="E501" s="1">
        <v>0.22112552799726048</v>
      </c>
    </row>
    <row r="502" spans="1:5" ht="13" x14ac:dyDescent="0.15">
      <c r="A502" s="1">
        <v>0</v>
      </c>
      <c r="B502" s="1">
        <v>1.3665315444204136</v>
      </c>
      <c r="C502" s="1">
        <v>0.33535802444387447</v>
      </c>
      <c r="D502" s="1">
        <v>1.2291479883578558</v>
      </c>
      <c r="E502" s="1">
        <v>0.2831622767004755</v>
      </c>
    </row>
    <row r="503" spans="1:5" ht="13" x14ac:dyDescent="0.15">
      <c r="A503" s="1">
        <v>0</v>
      </c>
      <c r="B503" s="1">
        <v>1.2218487496163564</v>
      </c>
      <c r="C503" s="1">
        <v>0.31695296176115045</v>
      </c>
      <c r="D503" s="1">
        <v>1.1307682802690238</v>
      </c>
      <c r="E503" s="1">
        <v>0.25492520841794247</v>
      </c>
    </row>
    <row r="504" spans="1:5" ht="13" x14ac:dyDescent="0.15">
      <c r="A504" s="1">
        <v>-2.6989700043360187</v>
      </c>
      <c r="B504" s="1">
        <v>0.78418920538096082</v>
      </c>
      <c r="C504" s="1">
        <v>0.51653537389579962</v>
      </c>
      <c r="D504" s="1">
        <v>0.85217490442030319</v>
      </c>
      <c r="E504" s="1">
        <v>1.0170750963760591</v>
      </c>
    </row>
    <row r="505" spans="1:5" ht="13" x14ac:dyDescent="0.15">
      <c r="A505" s="1">
        <v>-2.5228787452803374</v>
      </c>
      <c r="B505" s="1">
        <v>0.45224657452043721</v>
      </c>
      <c r="C505" s="1">
        <v>0.5243961221038419</v>
      </c>
      <c r="D505" s="1">
        <v>0.51930284923542869</v>
      </c>
      <c r="E505" s="1">
        <v>0.82288694783415062</v>
      </c>
    </row>
    <row r="506" spans="1:5" ht="13" x14ac:dyDescent="0.15">
      <c r="A506" s="1">
        <v>-2.0457574905606752</v>
      </c>
      <c r="B506" s="1">
        <v>1.5416541158512407</v>
      </c>
      <c r="C506" s="1">
        <v>0.49094120535678676</v>
      </c>
      <c r="D506" s="1">
        <v>1.5641095268659491</v>
      </c>
      <c r="E506" s="1">
        <v>1.599337132992489</v>
      </c>
    </row>
    <row r="507" spans="1:5" ht="13" x14ac:dyDescent="0.15">
      <c r="A507" s="1">
        <v>-2.3979400086720375</v>
      </c>
      <c r="B507" s="1">
        <v>0.86658267706354897</v>
      </c>
      <c r="C507" s="1">
        <v>0.47943133719773645</v>
      </c>
      <c r="D507" s="1">
        <v>0.9224659452984133</v>
      </c>
      <c r="E507" s="1">
        <v>1.0562185812723062</v>
      </c>
    </row>
    <row r="508" spans="1:5" ht="13" x14ac:dyDescent="0.15">
      <c r="A508" s="1">
        <v>-2.6989700043360187</v>
      </c>
      <c r="B508" s="1">
        <v>0.35545152012651737</v>
      </c>
      <c r="C508" s="1">
        <v>0.55205953418788434</v>
      </c>
      <c r="D508" s="1">
        <v>0.42226145081360267</v>
      </c>
      <c r="E508" s="1">
        <v>0.79295170825013206</v>
      </c>
    </row>
    <row r="509" spans="1:5" ht="13" x14ac:dyDescent="0.15">
      <c r="A509" s="1">
        <v>-2.6989700043360187</v>
      </c>
      <c r="B509" s="1">
        <v>0.49982449583957972</v>
      </c>
      <c r="C509" s="1">
        <v>0.53122337453302682</v>
      </c>
      <c r="D509" s="1">
        <v>0.58081097266094628</v>
      </c>
      <c r="E509" s="1">
        <v>0.85775452205944225</v>
      </c>
    </row>
    <row r="510" spans="1:5" ht="13" x14ac:dyDescent="0.15">
      <c r="A510" s="1">
        <v>-2.5228787452803374</v>
      </c>
      <c r="B510" s="1">
        <v>0.75579865697383053</v>
      </c>
      <c r="C510" s="1">
        <v>0.49498897368316808</v>
      </c>
      <c r="D510" s="1">
        <v>0.84154716525655326</v>
      </c>
      <c r="E510" s="1">
        <v>1.002986340856785</v>
      </c>
    </row>
    <row r="511" spans="1:5" ht="13" x14ac:dyDescent="0.15">
      <c r="A511" s="1">
        <v>-2.3010299956639813</v>
      </c>
      <c r="B511" s="1">
        <v>1.087603973687808</v>
      </c>
      <c r="C511" s="1">
        <v>0.50514997831990605</v>
      </c>
      <c r="D511" s="1">
        <v>1.1337943006045126</v>
      </c>
      <c r="E511" s="1">
        <v>1.2254902000712842</v>
      </c>
    </row>
    <row r="512" spans="1:5" ht="13" x14ac:dyDescent="0.15">
      <c r="A512" s="1">
        <v>-2.5228787452803374</v>
      </c>
      <c r="B512" s="1">
        <v>0.80297885533526181</v>
      </c>
      <c r="C512" s="1">
        <v>0.47290265180366409</v>
      </c>
      <c r="D512" s="1">
        <v>0.87989832433000981</v>
      </c>
      <c r="E512" s="1">
        <v>1.0234582376436752</v>
      </c>
    </row>
    <row r="513" spans="1:5" ht="13" x14ac:dyDescent="0.15">
      <c r="A513" s="1">
        <v>-2.6989700043360187</v>
      </c>
      <c r="B513" s="1">
        <v>0.65369479531508179</v>
      </c>
      <c r="C513" s="1">
        <v>0.49345805099518847</v>
      </c>
      <c r="D513" s="1">
        <v>0.73917663191072991</v>
      </c>
      <c r="E513" s="1">
        <v>0.9344479489489701</v>
      </c>
    </row>
    <row r="514" spans="1:5" ht="13" x14ac:dyDescent="0.15">
      <c r="A514" s="1">
        <v>-2.6989700043360187</v>
      </c>
      <c r="B514" s="1">
        <v>0.74702317745162783</v>
      </c>
      <c r="C514" s="1">
        <v>0.48869169831694065</v>
      </c>
      <c r="D514" s="1">
        <v>0.83543689480185823</v>
      </c>
      <c r="E514" s="1">
        <v>0.9968180218795154</v>
      </c>
    </row>
    <row r="515" spans="1:5" ht="13" x14ac:dyDescent="0.15">
      <c r="A515" s="1">
        <v>-2.6989700043360187</v>
      </c>
      <c r="B515" s="1">
        <v>0.62283547952152019</v>
      </c>
      <c r="C515" s="1">
        <v>0.48643047885443386</v>
      </c>
      <c r="D515" s="1">
        <v>0.71982828625433481</v>
      </c>
      <c r="E515" s="1">
        <v>0.91965328231036414</v>
      </c>
    </row>
    <row r="516" spans="1:5" ht="13" x14ac:dyDescent="0.15">
      <c r="A516" s="1">
        <v>-2.3979400086720375</v>
      </c>
      <c r="B516" s="1">
        <v>1.0645702922440257</v>
      </c>
      <c r="C516" s="1">
        <v>0.47275644931721239</v>
      </c>
      <c r="D516" s="1">
        <v>1.109646031090973</v>
      </c>
      <c r="E516" s="1">
        <v>1.1997825939689855</v>
      </c>
    </row>
    <row r="517" spans="1:5" ht="13" x14ac:dyDescent="0.15">
      <c r="A517" s="1">
        <v>-2.5228787452803374</v>
      </c>
      <c r="B517" s="1">
        <v>0.76745271809777316</v>
      </c>
      <c r="C517" s="1">
        <v>0.46657107238635426</v>
      </c>
      <c r="D517" s="1">
        <v>0.82503644122135378</v>
      </c>
      <c r="E517" s="1">
        <v>0.98276857725101197</v>
      </c>
    </row>
    <row r="518" spans="1:5" ht="13" x14ac:dyDescent="0.15">
      <c r="A518" s="1">
        <v>-2.5228787452803374</v>
      </c>
      <c r="B518" s="1">
        <v>0.79539333493128939</v>
      </c>
      <c r="C518" s="1">
        <v>0.54900326202578786</v>
      </c>
      <c r="D518" s="1">
        <v>0.84348194303995772</v>
      </c>
      <c r="E518" s="1">
        <v>1.0217679726824065</v>
      </c>
    </row>
    <row r="519" spans="1:5" ht="13" x14ac:dyDescent="0.15">
      <c r="A519" s="1">
        <v>-2.5228787452803374</v>
      </c>
      <c r="B519" s="1">
        <v>0.70432214082223543</v>
      </c>
      <c r="C519" s="1">
        <v>0.51798720302507817</v>
      </c>
      <c r="D519" s="1">
        <v>0.76959884838744652</v>
      </c>
      <c r="E519" s="1">
        <v>0.96279536985723324</v>
      </c>
    </row>
    <row r="520" spans="1:5" ht="13" x14ac:dyDescent="0.15">
      <c r="A520" s="1">
        <v>-2.5228787452803374</v>
      </c>
      <c r="B520" s="1">
        <v>0.73423960443545511</v>
      </c>
      <c r="C520" s="1">
        <v>0.49331860823210144</v>
      </c>
      <c r="D520" s="1">
        <v>0.7912694809102685</v>
      </c>
      <c r="E520" s="1">
        <v>0.96834283095894547</v>
      </c>
    </row>
    <row r="521" spans="1:5" ht="13" x14ac:dyDescent="0.15">
      <c r="A521" s="1">
        <v>-2.0969100130080562</v>
      </c>
      <c r="B521" s="1">
        <v>2.02812371512884</v>
      </c>
      <c r="C521" s="1">
        <v>1.0847192320112975</v>
      </c>
      <c r="D521" s="1">
        <v>2.0930888320305887</v>
      </c>
      <c r="E521" s="1">
        <v>2.1337304666245487</v>
      </c>
    </row>
    <row r="522" spans="1:5" ht="13" x14ac:dyDescent="0.15">
      <c r="A522" s="1">
        <v>-2.2218487496163561</v>
      </c>
      <c r="B522" s="1">
        <v>1.538410339987667</v>
      </c>
      <c r="C522" s="1">
        <v>1.0963189705126097</v>
      </c>
      <c r="D522" s="1">
        <v>1.5958708321028718</v>
      </c>
      <c r="E522" s="1">
        <v>1.7153179540986763</v>
      </c>
    </row>
    <row r="523" spans="1:5" ht="13" x14ac:dyDescent="0.15">
      <c r="A523" s="1">
        <v>-1.6020599913279623</v>
      </c>
      <c r="B523" s="1">
        <v>2.5520680616255489</v>
      </c>
      <c r="C523" s="1">
        <v>1.0613016562060444</v>
      </c>
      <c r="D523" s="1">
        <v>2.5798807305718694</v>
      </c>
      <c r="E523" s="1">
        <v>2.5928449011769268</v>
      </c>
    </row>
    <row r="524" spans="1:5" ht="13" x14ac:dyDescent="0.15">
      <c r="A524" s="1">
        <v>-2.1549019599857431</v>
      </c>
      <c r="B524" s="1">
        <v>1.8394969020075409</v>
      </c>
      <c r="C524" s="1">
        <v>1.0862886290216822</v>
      </c>
      <c r="D524" s="1">
        <v>1.9181509573888782</v>
      </c>
      <c r="E524" s="1">
        <v>1.9778195966177756</v>
      </c>
    </row>
    <row r="525" spans="1:5" ht="13" x14ac:dyDescent="0.15">
      <c r="A525" s="1">
        <v>-2.3010299956639813</v>
      </c>
      <c r="B525" s="1">
        <v>1.6823256186678071</v>
      </c>
      <c r="C525" s="1">
        <v>1.0837175638989476</v>
      </c>
      <c r="D525" s="1">
        <v>1.7617775375081781</v>
      </c>
      <c r="E525" s="1">
        <v>1.8445144526421382</v>
      </c>
    </row>
    <row r="526" spans="1:5" ht="13" x14ac:dyDescent="0.15">
      <c r="A526" s="1">
        <v>-2.0969100130080562</v>
      </c>
      <c r="B526" s="1">
        <v>1.901948465073084</v>
      </c>
      <c r="C526" s="1">
        <v>1.0776948658865861</v>
      </c>
      <c r="D526" s="1">
        <v>1.9636509085911917</v>
      </c>
      <c r="E526" s="1">
        <v>2.0167409272862598</v>
      </c>
    </row>
    <row r="527" spans="1:5" ht="13" x14ac:dyDescent="0.15">
      <c r="A527" s="1">
        <v>-1.7695510786217261</v>
      </c>
      <c r="B527" s="1">
        <v>2.2512097972759277</v>
      </c>
      <c r="C527" s="1">
        <v>1.0706657534537278</v>
      </c>
      <c r="D527" s="1">
        <v>2.2918393032694158</v>
      </c>
      <c r="E527" s="1">
        <v>2.3171834154315643</v>
      </c>
    </row>
    <row r="528" spans="1:5" ht="13" x14ac:dyDescent="0.15">
      <c r="A528" s="1">
        <v>-1.9208187539523751</v>
      </c>
      <c r="B528" s="1">
        <v>2.0564016926830102</v>
      </c>
      <c r="C528" s="1">
        <v>1.0517311960598497</v>
      </c>
      <c r="D528" s="1">
        <v>2.105748555526993</v>
      </c>
      <c r="E528" s="1">
        <v>2.1424989646110806</v>
      </c>
    </row>
    <row r="529" spans="1:5" ht="13" x14ac:dyDescent="0.15">
      <c r="A529" s="1">
        <v>-1.9586073148417751</v>
      </c>
      <c r="B529" s="1">
        <v>2.1765976406193928</v>
      </c>
      <c r="C529" s="1">
        <v>1.0421421830649562</v>
      </c>
      <c r="D529" s="1">
        <v>2.2132892606559507</v>
      </c>
      <c r="E529" s="1">
        <v>2.2416286501042815</v>
      </c>
    </row>
    <row r="530" spans="1:5" ht="13" x14ac:dyDescent="0.15">
      <c r="A530" s="1">
        <v>-2.1549019599857431</v>
      </c>
      <c r="B530" s="1">
        <v>1.839754499992019</v>
      </c>
      <c r="C530" s="1">
        <v>1.0680373596137853</v>
      </c>
      <c r="D530" s="1">
        <v>1.8964986598587898</v>
      </c>
      <c r="E530" s="1">
        <v>1.9566053875510288</v>
      </c>
    </row>
    <row r="531" spans="1:5" ht="13" x14ac:dyDescent="0.15">
      <c r="A531" s="1">
        <v>-2.2218487496163561</v>
      </c>
      <c r="B531" s="1">
        <v>1.7482112921588484</v>
      </c>
      <c r="C531" s="1">
        <v>1.0600553648248447</v>
      </c>
      <c r="D531" s="1">
        <v>1.81813348070119</v>
      </c>
      <c r="E531" s="1">
        <v>1.8880052917287589</v>
      </c>
    </row>
    <row r="532" spans="1:5" ht="13" x14ac:dyDescent="0.15">
      <c r="A532" s="1">
        <v>-1.8239087409443189</v>
      </c>
      <c r="B532" s="1">
        <v>2.2224927648862733</v>
      </c>
      <c r="C532" s="1">
        <v>1.0542299098633972</v>
      </c>
      <c r="D532" s="1">
        <v>2.2551108209530693</v>
      </c>
      <c r="E532" s="1">
        <v>2.2816332341535874</v>
      </c>
    </row>
    <row r="533" spans="1:5" ht="13" x14ac:dyDescent="0.15">
      <c r="A533" s="1">
        <v>-2</v>
      </c>
      <c r="B533" s="1">
        <v>2.006889433374877</v>
      </c>
      <c r="C533" s="1">
        <v>1.0450490129889611</v>
      </c>
      <c r="D533" s="1">
        <v>2.0611734155618713</v>
      </c>
      <c r="E533" s="1">
        <v>2.1011247350512248</v>
      </c>
    </row>
    <row r="534" spans="1:5" ht="13" x14ac:dyDescent="0.15">
      <c r="A534" s="1">
        <v>-2.0969100130080562</v>
      </c>
      <c r="B534" s="1">
        <v>1.8809050130751304</v>
      </c>
      <c r="C534" s="1">
        <v>1.0863242313073851</v>
      </c>
      <c r="D534" s="1">
        <v>1.9545464092241374</v>
      </c>
      <c r="E534" s="1">
        <v>2.0097100353331978</v>
      </c>
    </row>
    <row r="535" spans="1:5" ht="13" x14ac:dyDescent="0.15">
      <c r="A535" s="1">
        <v>-2.0969100130080562</v>
      </c>
      <c r="B535" s="1">
        <v>1.8696188908263527</v>
      </c>
      <c r="C535" s="1">
        <v>1.0694830939346114</v>
      </c>
      <c r="D535" s="1">
        <v>1.9398186628213796</v>
      </c>
      <c r="E535" s="1">
        <v>1.9947349655657907</v>
      </c>
    </row>
    <row r="536" spans="1:5" ht="13" x14ac:dyDescent="0.15">
      <c r="A536" s="1">
        <v>-2</v>
      </c>
      <c r="B536" s="1">
        <v>1.8491859254377954</v>
      </c>
      <c r="C536" s="1">
        <v>1.0674056584378244</v>
      </c>
      <c r="D536" s="1">
        <v>1.9070510909602922</v>
      </c>
      <c r="E536" s="1">
        <v>1.9657330689597035</v>
      </c>
    </row>
    <row r="537" spans="1:5" ht="13" x14ac:dyDescent="0.15">
      <c r="A537" s="1">
        <v>-1.0087739243075051</v>
      </c>
      <c r="B537" s="1">
        <v>2.9325057267630954</v>
      </c>
      <c r="C537" s="1">
        <v>1.5192765753322837</v>
      </c>
      <c r="D537" s="1">
        <v>2.9811954753477319</v>
      </c>
      <c r="E537" s="1">
        <v>2.9959443548436964</v>
      </c>
    </row>
    <row r="538" spans="1:5" ht="13" x14ac:dyDescent="0.15">
      <c r="A538" s="1">
        <v>-1.3372421683184259</v>
      </c>
      <c r="B538" s="1">
        <v>2.6228478995864934</v>
      </c>
      <c r="C538" s="1">
        <v>1.5089873386369181</v>
      </c>
      <c r="D538" s="1">
        <v>2.667472565746269</v>
      </c>
      <c r="E538" s="1">
        <v>2.6966236990294741</v>
      </c>
    </row>
    <row r="539" spans="1:5" ht="13" x14ac:dyDescent="0.15">
      <c r="A539" s="1">
        <v>-0.61439372640168788</v>
      </c>
      <c r="B539" s="1">
        <v>3.3244135471622966</v>
      </c>
      <c r="C539" s="1">
        <v>1.4928720902830868</v>
      </c>
      <c r="D539" s="1">
        <v>3.359443682034311</v>
      </c>
      <c r="E539" s="1">
        <v>3.3653089887310972</v>
      </c>
    </row>
    <row r="540" spans="1:5" ht="13" x14ac:dyDescent="0.15">
      <c r="A540" s="1">
        <v>-1.1739251972991736</v>
      </c>
      <c r="B540" s="1">
        <v>2.6054677413868745</v>
      </c>
      <c r="C540" s="1">
        <v>1.5185271001173364</v>
      </c>
      <c r="D540" s="1">
        <v>2.6535164135601561</v>
      </c>
      <c r="E540" s="1">
        <v>2.6842338682466038</v>
      </c>
    </row>
    <row r="541" spans="1:5" ht="13" x14ac:dyDescent="0.15">
      <c r="A541" s="1">
        <v>-1.2218487496163564</v>
      </c>
      <c r="B541" s="1">
        <v>2.5727299108356796</v>
      </c>
      <c r="C541" s="1">
        <v>1.5086912868607629</v>
      </c>
      <c r="D541" s="1">
        <v>2.635536019856549</v>
      </c>
      <c r="E541" s="1">
        <v>2.6668145847452909</v>
      </c>
    </row>
    <row r="542" spans="1:5" ht="13" x14ac:dyDescent="0.15">
      <c r="A542" s="1">
        <v>-1.4202164033831899</v>
      </c>
      <c r="B542" s="1">
        <v>3.0363050496263249</v>
      </c>
      <c r="C542" s="1">
        <v>1.5149990780786806</v>
      </c>
      <c r="D542" s="1">
        <v>3.0770025081359331</v>
      </c>
      <c r="E542" s="1">
        <v>3.0887493402139414</v>
      </c>
    </row>
    <row r="543" spans="1:5" ht="13" x14ac:dyDescent="0.15">
      <c r="A543" s="1">
        <v>-1.0362121726544447</v>
      </c>
      <c r="B543" s="1">
        <v>3.2663902346404696</v>
      </c>
      <c r="C543" s="1">
        <v>1.4994121256722754</v>
      </c>
      <c r="D543" s="1">
        <v>3.2949110949639171</v>
      </c>
      <c r="E543" s="1">
        <v>3.301811239774501</v>
      </c>
    </row>
    <row r="544" spans="1:5" ht="13" x14ac:dyDescent="0.15">
      <c r="A544" s="1">
        <v>-1.0861861476162833</v>
      </c>
      <c r="B544" s="1">
        <v>3.0813098545920985</v>
      </c>
      <c r="C544" s="1">
        <v>1.4882545056339631</v>
      </c>
      <c r="D544" s="1">
        <v>3.1210425189543196</v>
      </c>
      <c r="E544" s="1">
        <v>3.1310428586531311</v>
      </c>
    </row>
    <row r="545" spans="1:5" ht="13" x14ac:dyDescent="0.15">
      <c r="A545" s="1">
        <v>-1.1135092748275182</v>
      </c>
      <c r="B545" s="1">
        <v>2.9283753661847789</v>
      </c>
      <c r="C545" s="1">
        <v>1.500263926200883</v>
      </c>
      <c r="D545" s="1">
        <v>2.9762710925879361</v>
      </c>
      <c r="E545" s="1">
        <v>2.9905484023808562</v>
      </c>
    </row>
    <row r="546" spans="1:5" ht="13" x14ac:dyDescent="0.15">
      <c r="A546" s="1">
        <v>-1.0268721464003014</v>
      </c>
      <c r="B546" s="1">
        <v>2.8895890823313692</v>
      </c>
      <c r="C546" s="1">
        <v>1.5004971928592248</v>
      </c>
      <c r="D546" s="1">
        <v>2.9335950888327562</v>
      </c>
      <c r="E546" s="1">
        <v>2.9493348623840459</v>
      </c>
    </row>
    <row r="547" spans="1:5" ht="13" x14ac:dyDescent="0.15">
      <c r="A547" s="1">
        <v>-1.2924298239020637</v>
      </c>
      <c r="B547" s="1">
        <v>2.6395542179888904</v>
      </c>
      <c r="C547" s="1">
        <v>1.5118566343422368</v>
      </c>
      <c r="D547" s="1">
        <v>2.714494056305861</v>
      </c>
      <c r="E547" s="1">
        <v>2.7409119219793094</v>
      </c>
    </row>
    <row r="548" spans="1:5" ht="13" x14ac:dyDescent="0.15">
      <c r="A548" s="1">
        <v>-1.1191864077192086</v>
      </c>
      <c r="B548" s="1">
        <v>3.0987547941062923</v>
      </c>
      <c r="C548" s="1">
        <v>1.4827307000799428</v>
      </c>
      <c r="D548" s="1">
        <v>3.1298322710546373</v>
      </c>
      <c r="E548" s="1">
        <v>3.1395119839252987</v>
      </c>
    </row>
    <row r="549" spans="1:5" ht="13" x14ac:dyDescent="0.15">
      <c r="A549" s="1">
        <v>-1.1674910872937636</v>
      </c>
      <c r="B549" s="1">
        <v>2.8774859522345841</v>
      </c>
      <c r="C549" s="1">
        <v>1.5182901547709442</v>
      </c>
      <c r="D549" s="1">
        <v>2.9312279490582163</v>
      </c>
      <c r="E549" s="1">
        <v>2.9477051936174563</v>
      </c>
    </row>
    <row r="550" spans="1:5" ht="13" x14ac:dyDescent="0.15">
      <c r="A550" s="1">
        <v>-1.2076083105017461</v>
      </c>
      <c r="B550" s="1">
        <v>2.7268762939228215</v>
      </c>
      <c r="C550" s="1">
        <v>1.5025500161269034</v>
      </c>
      <c r="D550" s="1">
        <v>2.7669301227685823</v>
      </c>
      <c r="E550" s="1">
        <v>2.7899499874438165</v>
      </c>
    </row>
    <row r="551" spans="1:5" ht="13" x14ac:dyDescent="0.15">
      <c r="A551" s="1">
        <v>-0.89619627904404309</v>
      </c>
      <c r="B551" s="1">
        <v>3.6869813337025987</v>
      </c>
      <c r="C551" s="1">
        <v>1.8534791845469023</v>
      </c>
      <c r="D551" s="1">
        <v>3.7324773936698157</v>
      </c>
      <c r="E551" s="1">
        <v>3.7381809292877453</v>
      </c>
    </row>
    <row r="552" spans="1:5" ht="13" x14ac:dyDescent="0.15">
      <c r="A552" s="1">
        <v>-1.2291479883578558</v>
      </c>
      <c r="B552" s="1">
        <v>3.4678266035742755</v>
      </c>
      <c r="C552" s="1">
        <v>1.8378850206738169</v>
      </c>
      <c r="D552" s="1">
        <v>3.5007321166576415</v>
      </c>
      <c r="E552" s="1">
        <v>3.5100705122384861</v>
      </c>
    </row>
    <row r="553" spans="1:5" ht="13" x14ac:dyDescent="0.15">
      <c r="A553" s="1">
        <v>-0.78781239559604221</v>
      </c>
      <c r="B553" s="1">
        <v>3.9811234516614609</v>
      </c>
      <c r="C553" s="1">
        <v>1.828898242037426</v>
      </c>
      <c r="D553" s="1">
        <v>4.0095125510397329</v>
      </c>
      <c r="E553" s="1">
        <v>4.0123684819326142</v>
      </c>
    </row>
    <row r="554" spans="1:5" ht="13" x14ac:dyDescent="0.15">
      <c r="A554" s="1">
        <v>-0.88941028970075098</v>
      </c>
      <c r="B554" s="1">
        <v>3.4097326594636854</v>
      </c>
      <c r="C554" s="1">
        <v>1.8508177139552593</v>
      </c>
      <c r="D554" s="1">
        <v>3.4647985406966515</v>
      </c>
      <c r="E554" s="1">
        <v>3.4752401660016332</v>
      </c>
    </row>
    <row r="555" spans="1:5" ht="13" x14ac:dyDescent="0.15">
      <c r="A555" s="1">
        <v>-0.57839607313016894</v>
      </c>
      <c r="B555" s="1">
        <v>3.4300602131392015</v>
      </c>
      <c r="C555" s="1">
        <v>1.8462690549556575</v>
      </c>
      <c r="D555" s="1">
        <v>3.4835931445727963</v>
      </c>
      <c r="E555" s="1">
        <v>3.4934905347287279</v>
      </c>
    </row>
    <row r="556" spans="1:5" ht="13" x14ac:dyDescent="0.15">
      <c r="A556" s="1">
        <v>-1.0555173278498313</v>
      </c>
      <c r="B556" s="1">
        <v>3.6873901788342884</v>
      </c>
      <c r="C556" s="1">
        <v>1.8406580255923264</v>
      </c>
      <c r="D556" s="1">
        <v>3.7289239163399519</v>
      </c>
      <c r="E556" s="1">
        <v>3.7345051612149938</v>
      </c>
    </row>
    <row r="557" spans="1:5" ht="13" x14ac:dyDescent="0.15">
      <c r="A557" s="1">
        <v>-2.0969100130080562</v>
      </c>
      <c r="B557" s="1">
        <v>1.4882262845356424</v>
      </c>
      <c r="C557" s="1">
        <v>0.48486903272040238</v>
      </c>
      <c r="D557" s="1">
        <v>1.5126443795257734</v>
      </c>
      <c r="E557" s="1">
        <v>1.5515841693604118</v>
      </c>
    </row>
    <row r="558" spans="1:5" ht="13" x14ac:dyDescent="0.15">
      <c r="A558" s="1">
        <v>-2.1549019599857431</v>
      </c>
      <c r="B558" s="1">
        <v>1.2403495267422193</v>
      </c>
      <c r="C558" s="1">
        <v>0.48301642014413215</v>
      </c>
      <c r="D558" s="1">
        <v>1.2832786086102137</v>
      </c>
      <c r="E558" s="1">
        <v>1.3471347829100198</v>
      </c>
    </row>
    <row r="559" spans="1:5" ht="13" x14ac:dyDescent="0.15">
      <c r="A559" s="1">
        <v>-2.1549019599857431</v>
      </c>
      <c r="B559" s="1">
        <v>1.244499778833843</v>
      </c>
      <c r="C559" s="1">
        <v>0.51679970408162434</v>
      </c>
      <c r="D559" s="1">
        <v>1.2739961137592797</v>
      </c>
      <c r="E559" s="1">
        <v>1.3440187377459127</v>
      </c>
    </row>
    <row r="560" spans="1:5" ht="13" x14ac:dyDescent="0.15">
      <c r="A560" s="1">
        <v>-1.585026652029182</v>
      </c>
      <c r="B560" s="1">
        <v>2.4662951009324696</v>
      </c>
      <c r="C560" s="1">
        <v>1.0605845313608648</v>
      </c>
      <c r="D560" s="1">
        <v>2.4868058077737998</v>
      </c>
      <c r="E560" s="1">
        <v>2.5027847876140878</v>
      </c>
    </row>
    <row r="561" spans="1:5" ht="13" x14ac:dyDescent="0.15">
      <c r="A561" s="1">
        <v>-1.8860566476931633</v>
      </c>
      <c r="B561" s="1">
        <v>2.1932136752662501</v>
      </c>
      <c r="C561" s="1">
        <v>1.0766768457056428</v>
      </c>
      <c r="D561" s="1">
        <v>2.2269863455252201</v>
      </c>
      <c r="E561" s="1">
        <v>2.2566744586559664</v>
      </c>
    </row>
    <row r="562" spans="1:5" ht="13" x14ac:dyDescent="0.15">
      <c r="A562" s="1">
        <v>-1.4559319556497243</v>
      </c>
      <c r="B562" s="1">
        <v>2.6987406362910797</v>
      </c>
      <c r="C562" s="1">
        <v>1.0388585015597658</v>
      </c>
      <c r="D562" s="1">
        <v>2.7208734405672148</v>
      </c>
      <c r="E562" s="1">
        <v>2.7298125071609358</v>
      </c>
    </row>
    <row r="563" spans="1:5" ht="13" x14ac:dyDescent="0.15">
      <c r="A563" s="1">
        <v>-1.7695510786217261</v>
      </c>
      <c r="B563" s="1">
        <v>2.2877950139842484</v>
      </c>
      <c r="C563" s="1">
        <v>1.0651687517057451</v>
      </c>
      <c r="D563" s="1">
        <v>2.3264055063459415</v>
      </c>
      <c r="E563" s="1">
        <v>2.3495766698343767</v>
      </c>
    </row>
    <row r="564" spans="1:5" ht="13" x14ac:dyDescent="0.15">
      <c r="A564" s="1">
        <v>-1.744727494896694</v>
      </c>
      <c r="B564" s="1">
        <v>2.407283804955533</v>
      </c>
      <c r="C564" s="1">
        <v>1.0395330876693898</v>
      </c>
      <c r="D564" s="1">
        <v>2.4354302515829653</v>
      </c>
      <c r="E564" s="1">
        <v>2.4525438717140537</v>
      </c>
    </row>
    <row r="565" spans="1:5" ht="13" x14ac:dyDescent="0.15">
      <c r="A565" s="1">
        <v>-1.7958800173440752</v>
      </c>
      <c r="B565" s="1">
        <v>2.2978698913999018</v>
      </c>
      <c r="C565" s="1">
        <v>1.0675543766935036</v>
      </c>
      <c r="D565" s="1">
        <v>2.3280267232808196</v>
      </c>
      <c r="E565" s="1">
        <v>2.3512337554595741</v>
      </c>
    </row>
    <row r="566" spans="1:5" ht="13" x14ac:dyDescent="0.15">
      <c r="A566" s="1">
        <v>-1.2676062401770316</v>
      </c>
      <c r="B566" s="1">
        <v>3.2630826118819889</v>
      </c>
      <c r="C566" s="1">
        <v>1.4878451201114355</v>
      </c>
      <c r="D566" s="1">
        <v>3.2864667992757259</v>
      </c>
      <c r="E566" s="1">
        <v>3.2933181284235165</v>
      </c>
    </row>
    <row r="567" spans="1:5" ht="13" x14ac:dyDescent="0.15">
      <c r="A567" s="1">
        <v>-1.1739251972991736</v>
      </c>
      <c r="B567" s="1">
        <v>3.1493629296366827</v>
      </c>
      <c r="C567" s="1">
        <v>1.5039812407042239</v>
      </c>
      <c r="D567" s="1">
        <v>3.1768075434695775</v>
      </c>
      <c r="E567" s="1">
        <v>3.1859363255116038</v>
      </c>
    </row>
    <row r="568" spans="1:5" ht="13" x14ac:dyDescent="0.15">
      <c r="A568" s="1">
        <v>-0.86966623150499389</v>
      </c>
      <c r="B568" s="1">
        <v>3.3653116105461187</v>
      </c>
      <c r="C568" s="1">
        <v>1.4705721819053825</v>
      </c>
      <c r="D568" s="1">
        <v>3.3898276577177353</v>
      </c>
      <c r="E568" s="1">
        <v>3.3950270898959252</v>
      </c>
    </row>
    <row r="569" spans="1:5" ht="13" x14ac:dyDescent="0.15">
      <c r="A569" s="1">
        <v>-0.99139982823808248</v>
      </c>
      <c r="B569" s="1">
        <v>3.1440620920756022</v>
      </c>
      <c r="C569" s="1">
        <v>1.5015932393273523</v>
      </c>
      <c r="D569" s="1">
        <v>3.1778019011599086</v>
      </c>
      <c r="E569" s="1">
        <v>3.1868668130073106</v>
      </c>
    </row>
    <row r="570" spans="1:5" ht="13" x14ac:dyDescent="0.15">
      <c r="A570" s="1">
        <v>-1.4089353929735009</v>
      </c>
      <c r="B570" s="1">
        <v>3.1398907303725538</v>
      </c>
      <c r="C570" s="1">
        <v>1.4894522102998093</v>
      </c>
      <c r="D570" s="1">
        <v>3.1649375696945832</v>
      </c>
      <c r="E570" s="1">
        <v>3.1740112268576071</v>
      </c>
    </row>
    <row r="571" spans="1:5" ht="13" x14ac:dyDescent="0.15">
      <c r="A571" s="1">
        <v>-1.0087739243075051</v>
      </c>
      <c r="B571" s="1">
        <v>3.1373981083643518</v>
      </c>
      <c r="C571" s="1">
        <v>1.4964175980535566</v>
      </c>
      <c r="D571" s="1">
        <v>3.1652487788825447</v>
      </c>
      <c r="E571" s="1">
        <v>3.1744686025702129</v>
      </c>
    </row>
    <row r="572" spans="1:5" ht="13" x14ac:dyDescent="0.15">
      <c r="A572" s="1">
        <v>-1.2441251443275085</v>
      </c>
      <c r="B572" s="1">
        <v>3.1409565613689985</v>
      </c>
      <c r="C572" s="1">
        <v>1.4881980616033539</v>
      </c>
      <c r="D572" s="1">
        <v>3.1715863454952919</v>
      </c>
      <c r="E572" s="1">
        <v>3.1804980500190925</v>
      </c>
    </row>
    <row r="573" spans="1:5" ht="13" x14ac:dyDescent="0.15">
      <c r="A573" s="1">
        <v>-1.3767507096020994</v>
      </c>
      <c r="B573" s="1">
        <v>3.0965742604809487</v>
      </c>
      <c r="C573" s="1">
        <v>1.493151217795686</v>
      </c>
      <c r="D573" s="1">
        <v>3.1373927276762958</v>
      </c>
      <c r="E573" s="1">
        <v>3.14713597936636</v>
      </c>
    </row>
    <row r="574" spans="1:5" ht="13" x14ac:dyDescent="0.15">
      <c r="A574" s="1">
        <v>-0.75945075171740029</v>
      </c>
      <c r="B574" s="1">
        <v>3.9145619419858395</v>
      </c>
      <c r="C574" s="1">
        <v>1.8229457117178616</v>
      </c>
      <c r="D574" s="1">
        <v>3.9389191124142418</v>
      </c>
      <c r="E574" s="1">
        <v>3.9422375976375545</v>
      </c>
    </row>
    <row r="575" spans="1:5" ht="13" x14ac:dyDescent="0.15">
      <c r="A575" s="1">
        <v>-2.3979400086720375</v>
      </c>
      <c r="B575" s="1">
        <v>1.2208922492195191</v>
      </c>
      <c r="C575" s="1">
        <v>0.51693180886801282</v>
      </c>
      <c r="D575" s="1">
        <v>1.2467939187751549</v>
      </c>
      <c r="E575" s="1">
        <v>1.3209766773428235</v>
      </c>
    </row>
    <row r="576" spans="1:5" ht="13" x14ac:dyDescent="0.15">
      <c r="A576" s="1">
        <v>-2.5228787452803374</v>
      </c>
      <c r="B576" s="1">
        <v>0.60927417240458759</v>
      </c>
      <c r="C576" s="1">
        <v>0.5142820478603779</v>
      </c>
      <c r="D576" s="1">
        <v>0.68331726192188269</v>
      </c>
      <c r="E576" s="1">
        <v>0.90800220117255359</v>
      </c>
    </row>
    <row r="577" spans="1:5" ht="13" x14ac:dyDescent="0.15">
      <c r="A577" s="1">
        <v>-2.0969100130080562</v>
      </c>
      <c r="B577" s="1">
        <v>1.4107603672445874</v>
      </c>
      <c r="C577" s="1">
        <v>0.48586332959733464</v>
      </c>
      <c r="D577" s="1">
        <v>1.4432003819400767</v>
      </c>
      <c r="E577" s="1">
        <v>1.488649408577202</v>
      </c>
    </row>
    <row r="578" spans="1:5" ht="13" x14ac:dyDescent="0.15">
      <c r="A578" s="1">
        <v>-2.5228787452803374</v>
      </c>
      <c r="B578" s="1">
        <v>0.61405310598721929</v>
      </c>
      <c r="C578" s="1">
        <v>0.47986311302309775</v>
      </c>
      <c r="D578" s="1">
        <v>0.7134065321676909</v>
      </c>
      <c r="E578" s="1">
        <v>0.91317783399046804</v>
      </c>
    </row>
    <row r="579" spans="1:5" ht="13" x14ac:dyDescent="0.15">
      <c r="A579" s="1">
        <v>-3</v>
      </c>
      <c r="B579" s="1">
        <v>0.42242567637120454</v>
      </c>
      <c r="C579" s="1">
        <v>0.5542468081661106</v>
      </c>
      <c r="D579" s="1">
        <v>0.49872397074790464</v>
      </c>
      <c r="E579" s="1">
        <v>0.82840207849159309</v>
      </c>
    </row>
    <row r="580" spans="1:5" ht="13" x14ac:dyDescent="0.15">
      <c r="A580" s="1">
        <v>-2.6989700043360187</v>
      </c>
      <c r="B580" s="1">
        <v>0.36567514045591776</v>
      </c>
      <c r="C580" s="1">
        <v>0.530711837981657</v>
      </c>
      <c r="D580" s="1">
        <v>0.45545396877862815</v>
      </c>
      <c r="E580" s="1">
        <v>0.79574102086924392</v>
      </c>
    </row>
    <row r="581" spans="1:5" ht="13" x14ac:dyDescent="0.15">
      <c r="A581" s="1">
        <v>-2.5228787452803374</v>
      </c>
      <c r="B581" s="1">
        <v>0.84217222938561576</v>
      </c>
      <c r="C581" s="1">
        <v>0.49303958831765132</v>
      </c>
      <c r="D581" s="1">
        <v>0.91099771631064286</v>
      </c>
      <c r="E581" s="1">
        <v>1.0514998191327449</v>
      </c>
    </row>
    <row r="582" spans="1:5" ht="13" x14ac:dyDescent="0.15">
      <c r="A582" s="1">
        <v>-2.5228787452803374</v>
      </c>
      <c r="B582" s="1">
        <v>0.76996780132944243</v>
      </c>
      <c r="C582" s="1">
        <v>0.50188049375505872</v>
      </c>
      <c r="D582" s="1">
        <v>0.85284581801499681</v>
      </c>
      <c r="E582" s="1">
        <v>1.0129215455445602</v>
      </c>
    </row>
    <row r="583" spans="1:5" ht="13" x14ac:dyDescent="0.15">
      <c r="A583" s="1">
        <v>-2.3010299956639813</v>
      </c>
      <c r="B583" s="1">
        <v>1.188675422969832</v>
      </c>
      <c r="C583" s="1">
        <v>0.46029632675747539</v>
      </c>
      <c r="D583" s="1">
        <v>1.2369652991029796</v>
      </c>
      <c r="E583" s="1">
        <v>1.3041241527329093</v>
      </c>
    </row>
    <row r="584" spans="1:5" ht="13" x14ac:dyDescent="0.15">
      <c r="A584" s="1">
        <v>-2.3979400086720375</v>
      </c>
      <c r="B584" s="1">
        <v>0.87616008482562813</v>
      </c>
      <c r="C584" s="1">
        <v>0.47755533219898111</v>
      </c>
      <c r="D584" s="1">
        <v>0.95525468282018</v>
      </c>
      <c r="E584" s="1">
        <v>1.0800489675788516</v>
      </c>
    </row>
    <row r="585" spans="1:5" ht="13" x14ac:dyDescent="0.15">
      <c r="A585" s="1">
        <v>-2.6989700043360187</v>
      </c>
      <c r="B585" s="1">
        <v>0.64991871873541918</v>
      </c>
      <c r="C585" s="1">
        <v>0.49651451869774504</v>
      </c>
      <c r="D585" s="1">
        <v>0.73973052856471755</v>
      </c>
      <c r="E585" s="1">
        <v>0.93596046898916641</v>
      </c>
    </row>
    <row r="586" spans="1:5" ht="13" x14ac:dyDescent="0.15">
      <c r="A586" s="1">
        <v>-2.6989700043360187</v>
      </c>
      <c r="B586" s="1">
        <v>0.66950283410434308</v>
      </c>
      <c r="C586" s="1">
        <v>0.49331860823210144</v>
      </c>
      <c r="D586" s="1">
        <v>0.76700736394980407</v>
      </c>
      <c r="E586" s="1">
        <v>0.9523564773237907</v>
      </c>
    </row>
    <row r="587" spans="1:5" ht="13" x14ac:dyDescent="0.15">
      <c r="A587" s="1">
        <v>-2.6989700043360187</v>
      </c>
      <c r="B587" s="1">
        <v>0.59725628292514177</v>
      </c>
      <c r="C587" s="1">
        <v>0.48967729166369856</v>
      </c>
      <c r="D587" s="1">
        <v>0.67486114073781156</v>
      </c>
      <c r="E587" s="1">
        <v>0.89309566609622826</v>
      </c>
    </row>
    <row r="588" spans="1:5" ht="13" x14ac:dyDescent="0.15">
      <c r="A588" s="1">
        <v>-2.5228787452803374</v>
      </c>
      <c r="B588" s="1">
        <v>0.9169274661129927</v>
      </c>
      <c r="C588" s="1">
        <v>0.48628876096056634</v>
      </c>
      <c r="D588" s="1">
        <v>0.96501345027224794</v>
      </c>
      <c r="E588" s="1">
        <v>1.0895165442248207</v>
      </c>
    </row>
    <row r="589" spans="1:5" ht="13" x14ac:dyDescent="0.15">
      <c r="A589" s="1">
        <v>-2.6989700043360187</v>
      </c>
      <c r="B589" s="1">
        <v>0.72402997293559768</v>
      </c>
      <c r="C589" s="1">
        <v>0.47143840738929915</v>
      </c>
      <c r="D589" s="1">
        <v>0.78447464376251641</v>
      </c>
      <c r="E589" s="1">
        <v>0.95660058821317662</v>
      </c>
    </row>
    <row r="590" spans="1:5" ht="13" x14ac:dyDescent="0.15">
      <c r="A590" s="1">
        <v>-2.5228787452803374</v>
      </c>
      <c r="B590" s="1">
        <v>0.81862172637588904</v>
      </c>
      <c r="C590" s="1">
        <v>0.55666426212256848</v>
      </c>
      <c r="D590" s="1">
        <v>0.86409557342424748</v>
      </c>
      <c r="E590" s="1">
        <v>1.0380635269978589</v>
      </c>
    </row>
    <row r="591" spans="1:5" ht="13" x14ac:dyDescent="0.15">
      <c r="A591" s="1">
        <v>-2.3979400086720375</v>
      </c>
      <c r="B591" s="1">
        <v>0.92267356785855426</v>
      </c>
      <c r="C591" s="1">
        <v>0.5029730590656315</v>
      </c>
      <c r="D591" s="1">
        <v>0.96312644108190471</v>
      </c>
      <c r="E591" s="1">
        <v>1.0923696996291206</v>
      </c>
    </row>
    <row r="592" spans="1:5" ht="13" x14ac:dyDescent="0.15">
      <c r="A592" s="1">
        <v>-1.8860566476931633</v>
      </c>
      <c r="B592" s="1">
        <v>2.3127864652098964</v>
      </c>
      <c r="C592" s="1">
        <v>1.0840397806679536</v>
      </c>
      <c r="D592" s="1">
        <v>2.3458851713259348</v>
      </c>
      <c r="E592" s="1">
        <v>2.3690227947344127</v>
      </c>
    </row>
    <row r="593" spans="1:5" ht="13" x14ac:dyDescent="0.15">
      <c r="A593" s="1">
        <v>-2.0969100130080562</v>
      </c>
      <c r="B593" s="1">
        <v>1.6939378909573755</v>
      </c>
      <c r="C593" s="1">
        <v>1.0786018003553912</v>
      </c>
      <c r="D593" s="1">
        <v>1.765676004000134</v>
      </c>
      <c r="E593" s="1">
        <v>1.846856470075585</v>
      </c>
    </row>
    <row r="594" spans="1:5" ht="13" x14ac:dyDescent="0.15">
      <c r="A594" s="1">
        <v>-1.5686362358410126</v>
      </c>
      <c r="B594" s="1">
        <v>2.5532225912189568</v>
      </c>
      <c r="C594" s="1">
        <v>1.0556840649194132</v>
      </c>
      <c r="D594" s="1">
        <v>2.5789565071479639</v>
      </c>
      <c r="E594" s="1">
        <v>2.591782269996405</v>
      </c>
    </row>
    <row r="595" spans="1:5" ht="13" x14ac:dyDescent="0.15">
      <c r="A595" s="1">
        <v>-2.0457574905606752</v>
      </c>
      <c r="B595" s="1">
        <v>1.9951919003264258</v>
      </c>
      <c r="C595" s="1">
        <v>1.0926855629374908</v>
      </c>
      <c r="D595" s="1">
        <v>2.0371833843713412</v>
      </c>
      <c r="E595" s="1">
        <v>2.083925242092604</v>
      </c>
    </row>
    <row r="596" spans="1:5" ht="13" x14ac:dyDescent="0.15">
      <c r="A596" s="1">
        <v>-2.2218487496163561</v>
      </c>
      <c r="B596" s="1">
        <v>1.7001496816919146</v>
      </c>
      <c r="C596" s="1">
        <v>1.0804460946110488</v>
      </c>
      <c r="D596" s="1">
        <v>1.7592446735295735</v>
      </c>
      <c r="E596" s="1">
        <v>1.841847308314708</v>
      </c>
    </row>
    <row r="597" spans="1:5" ht="13" x14ac:dyDescent="0.15">
      <c r="A597" s="1">
        <v>-1.744727494896694</v>
      </c>
      <c r="B597" s="1">
        <v>2.2824136377452588</v>
      </c>
      <c r="C597" s="1">
        <v>1.0686681432858998</v>
      </c>
      <c r="D597" s="1">
        <v>2.3178377773415528</v>
      </c>
      <c r="E597" s="1">
        <v>2.3416442015854049</v>
      </c>
    </row>
    <row r="598" spans="1:5" ht="13" x14ac:dyDescent="0.15">
      <c r="A598" s="1">
        <v>-1.744727494896694</v>
      </c>
      <c r="B598" s="1">
        <v>2.3788700983989748</v>
      </c>
      <c r="C598" s="1">
        <v>1.0604334067027401</v>
      </c>
      <c r="D598" s="1">
        <v>2.4089264898453644</v>
      </c>
      <c r="E598" s="1">
        <v>2.4279710924984945</v>
      </c>
    </row>
    <row r="599" spans="1:5" ht="13" x14ac:dyDescent="0.15">
      <c r="A599" s="1">
        <v>-1.853871964321762</v>
      </c>
      <c r="B599" s="1">
        <v>2.0726248249514585</v>
      </c>
      <c r="C599" s="1">
        <v>1.0549575960124065</v>
      </c>
      <c r="D599" s="1">
        <v>2.1160096794247378</v>
      </c>
      <c r="E599" s="1">
        <v>2.1521935232653115</v>
      </c>
    </row>
    <row r="600" spans="1:5" ht="13" x14ac:dyDescent="0.15">
      <c r="A600" s="1">
        <v>-2.0969100130080562</v>
      </c>
      <c r="B600" s="1">
        <v>1.8927177577370946</v>
      </c>
      <c r="C600" s="1">
        <v>1.0649070271596361</v>
      </c>
      <c r="D600" s="1">
        <v>1.9422859125851524</v>
      </c>
      <c r="E600" s="1">
        <v>1.9963671751558369</v>
      </c>
    </row>
    <row r="601" spans="1:5" ht="13" x14ac:dyDescent="0.15">
      <c r="A601" s="1">
        <v>-2.2218487496163561</v>
      </c>
      <c r="B601" s="1">
        <v>1.7137676639043045</v>
      </c>
      <c r="C601" s="1">
        <v>1.063558518110981</v>
      </c>
      <c r="D601" s="1">
        <v>1.7776225370647991</v>
      </c>
      <c r="E601" s="1">
        <v>1.8543181897285761</v>
      </c>
    </row>
    <row r="602" spans="1:5" ht="13" x14ac:dyDescent="0.15">
      <c r="A602" s="1">
        <v>-1.9208187539523751</v>
      </c>
      <c r="B602" s="1">
        <v>1.9766113025354246</v>
      </c>
      <c r="C602" s="1">
        <v>1.0536545582907473</v>
      </c>
      <c r="D602" s="1">
        <v>2.0416176703758926</v>
      </c>
      <c r="E602" s="1">
        <v>2.0841185084192744</v>
      </c>
    </row>
    <row r="603" spans="1:5" ht="13" x14ac:dyDescent="0.15">
      <c r="A603" s="1">
        <v>-2</v>
      </c>
      <c r="B603" s="1">
        <v>1.98380213401977</v>
      </c>
      <c r="C603" s="1">
        <v>1.0430084098799515</v>
      </c>
      <c r="D603" s="1">
        <v>2.0407012119373582</v>
      </c>
      <c r="E603" s="1">
        <v>2.0823041495865477</v>
      </c>
    </row>
    <row r="604" spans="1:5" ht="13" x14ac:dyDescent="0.15">
      <c r="A604" s="1">
        <v>-2.0457574905606752</v>
      </c>
      <c r="B604" s="1">
        <v>1.9088173146567056</v>
      </c>
      <c r="C604" s="1">
        <v>1.090645957573315</v>
      </c>
      <c r="D604" s="1">
        <v>1.9760334294622262</v>
      </c>
      <c r="E604" s="1">
        <v>2.0291889102805478</v>
      </c>
    </row>
    <row r="605" spans="1:5" ht="13" x14ac:dyDescent="0.15">
      <c r="A605" s="1">
        <v>-1.8860566476931633</v>
      </c>
      <c r="B605" s="1">
        <v>2.0384572212886738</v>
      </c>
      <c r="C605" s="1">
        <v>1.0671452788853952</v>
      </c>
      <c r="D605" s="1">
        <v>2.0805110444751125</v>
      </c>
      <c r="E605" s="1">
        <v>2.1207055156582739</v>
      </c>
    </row>
    <row r="606" spans="1:5" ht="13" x14ac:dyDescent="0.15">
      <c r="A606" s="1">
        <v>-1.1739251972991736</v>
      </c>
      <c r="B606" s="1">
        <v>3.1974600294232922</v>
      </c>
      <c r="C606" s="1">
        <v>1.5267139532218916</v>
      </c>
      <c r="D606" s="1">
        <v>3.2257624693120936</v>
      </c>
      <c r="E606" s="1">
        <v>3.2343618612927822</v>
      </c>
    </row>
    <row r="607" spans="1:5" ht="13" x14ac:dyDescent="0.15">
      <c r="A607" s="1">
        <v>-1.3767507096020994</v>
      </c>
      <c r="B607" s="1">
        <v>2.6727967865512001</v>
      </c>
      <c r="C607" s="1">
        <v>1.5155294493748623</v>
      </c>
      <c r="D607" s="1">
        <v>2.7184834198814958</v>
      </c>
      <c r="E607" s="1">
        <v>2.7448825971860096</v>
      </c>
    </row>
    <row r="608" spans="1:5" ht="13" x14ac:dyDescent="0.15">
      <c r="A608" s="1">
        <v>-1.1549019599857431</v>
      </c>
      <c r="B608" s="1">
        <v>3.3728034157756657</v>
      </c>
      <c r="C608" s="1">
        <v>1.489888199550597</v>
      </c>
      <c r="D608" s="1">
        <v>3.4006187969104982</v>
      </c>
      <c r="E608" s="1">
        <v>3.4059206562399766</v>
      </c>
    </row>
    <row r="609" spans="1:5" ht="13" x14ac:dyDescent="0.15">
      <c r="A609" s="1">
        <v>-1.6020599913279623</v>
      </c>
      <c r="B609" s="1">
        <v>2.7805196476683114</v>
      </c>
      <c r="C609" s="1">
        <v>1.5127377460706677</v>
      </c>
      <c r="D609" s="1">
        <v>2.8325159380013272</v>
      </c>
      <c r="E609" s="1">
        <v>2.8528318004254838</v>
      </c>
    </row>
    <row r="610" spans="1:5" ht="13" x14ac:dyDescent="0.15">
      <c r="A610" s="1">
        <v>-1.6382721639824072</v>
      </c>
      <c r="B610" s="1">
        <v>2.6658182404663306</v>
      </c>
      <c r="C610" s="1">
        <v>1.5107192292163927</v>
      </c>
      <c r="D610" s="1">
        <v>2.7227638624266173</v>
      </c>
      <c r="E610" s="1">
        <v>2.7486314013993223</v>
      </c>
    </row>
    <row r="611" spans="1:5" ht="13" x14ac:dyDescent="0.15">
      <c r="A611" s="1">
        <v>-1.2006594505464183</v>
      </c>
      <c r="B611" s="1">
        <v>3.312158096364636</v>
      </c>
      <c r="C611" s="1">
        <v>1.4972891061693567</v>
      </c>
      <c r="D611" s="1">
        <v>3.3396255217293311</v>
      </c>
      <c r="E611" s="1">
        <v>3.3458254363288993</v>
      </c>
    </row>
    <row r="612" spans="1:5" ht="13" x14ac:dyDescent="0.15">
      <c r="A612" s="1">
        <v>-0.86646109162978246</v>
      </c>
      <c r="B612" s="1">
        <v>3.3087385232738762</v>
      </c>
      <c r="C612" s="1">
        <v>1.4917817755841658</v>
      </c>
      <c r="D612" s="1">
        <v>3.3406011463693099</v>
      </c>
      <c r="E612" s="1">
        <v>3.3467137584785336</v>
      </c>
    </row>
    <row r="613" spans="1:5" ht="13" x14ac:dyDescent="0.15">
      <c r="A613" s="1">
        <v>-1.2596373105057561</v>
      </c>
      <c r="B613" s="1">
        <v>3.1516961381068098</v>
      </c>
      <c r="C613" s="1">
        <v>1.4898741422108783</v>
      </c>
      <c r="D613" s="1">
        <v>3.1875393330582855</v>
      </c>
      <c r="E613" s="1">
        <v>3.1961662329199942</v>
      </c>
    </row>
    <row r="614" spans="1:5" ht="13" x14ac:dyDescent="0.15">
      <c r="A614" s="1">
        <v>-1.3979400086720375</v>
      </c>
      <c r="B614" s="1">
        <v>2.6132126431836378</v>
      </c>
      <c r="C614" s="1">
        <v>1.5159532805588785</v>
      </c>
      <c r="D614" s="1">
        <v>2.6670109618392996</v>
      </c>
      <c r="E614" s="1">
        <v>2.6966490238250111</v>
      </c>
    </row>
    <row r="615" spans="1:5" ht="13" x14ac:dyDescent="0.15">
      <c r="A615" s="1">
        <v>-1.0409586076789064</v>
      </c>
      <c r="B615" s="1">
        <v>2.9945793222669366</v>
      </c>
      <c r="C615" s="1">
        <v>1.4825305841317409</v>
      </c>
      <c r="D615" s="1">
        <v>3.0377761833202843</v>
      </c>
      <c r="E615" s="1">
        <v>3.0497098152719868</v>
      </c>
    </row>
    <row r="616" spans="1:5" ht="13" x14ac:dyDescent="0.15">
      <c r="A616" s="1">
        <v>-1.494850021680094</v>
      </c>
      <c r="B616" s="1">
        <v>2.9069698545386204</v>
      </c>
      <c r="C616" s="1">
        <v>1.516680775406827</v>
      </c>
      <c r="D616" s="1">
        <v>2.9639964274152035</v>
      </c>
      <c r="E616" s="1">
        <v>2.9792314152966575</v>
      </c>
    </row>
    <row r="617" spans="1:5" ht="13" x14ac:dyDescent="0.15">
      <c r="A617" s="1">
        <v>-1.4814860601221125</v>
      </c>
      <c r="B617" s="1">
        <v>2.942565081592023</v>
      </c>
      <c r="C617" s="1">
        <v>1.5028639261383319</v>
      </c>
      <c r="D617" s="1">
        <v>2.9773989059575032</v>
      </c>
      <c r="E617" s="1">
        <v>2.9917238994416406</v>
      </c>
    </row>
    <row r="618" spans="1:5" ht="13" x14ac:dyDescent="0.15">
      <c r="A618" s="1">
        <v>-0.40893539297350079</v>
      </c>
      <c r="B618" s="1">
        <v>3.9811115675123299</v>
      </c>
      <c r="C618" s="1">
        <v>1.8512461148993897</v>
      </c>
      <c r="D618" s="1">
        <v>4.0107365762637679</v>
      </c>
      <c r="E618" s="1">
        <v>4.0137344014839726</v>
      </c>
    </row>
    <row r="619" spans="1:5" ht="13" x14ac:dyDescent="0.15">
      <c r="A619" s="1">
        <v>-1.0655015487564323</v>
      </c>
      <c r="B619" s="1">
        <v>3.5476109221130256</v>
      </c>
      <c r="C619" s="1">
        <v>1.8431766962800649</v>
      </c>
      <c r="D619" s="1">
        <v>3.5889750862678822</v>
      </c>
      <c r="E619" s="1">
        <v>3.5967063701600921</v>
      </c>
    </row>
    <row r="620" spans="1:5" ht="13" x14ac:dyDescent="0.15">
      <c r="A620" s="1">
        <v>-0.75202673363819339</v>
      </c>
      <c r="B620" s="1">
        <v>4.0753637526699018</v>
      </c>
      <c r="C620" s="1">
        <v>1.8268842987076119</v>
      </c>
      <c r="D620" s="1">
        <v>4.1040522919468456</v>
      </c>
      <c r="E620" s="1">
        <v>4.1063404429407324</v>
      </c>
    </row>
    <row r="621" spans="1:5" ht="13" x14ac:dyDescent="0.15">
      <c r="A621" s="1">
        <v>-0.80134291304557737</v>
      </c>
      <c r="B621" s="1">
        <v>3.5771135232011115</v>
      </c>
      <c r="C621" s="1">
        <v>1.8488785125380143</v>
      </c>
      <c r="D621" s="1">
        <v>3.6296567503881896</v>
      </c>
      <c r="E621" s="1">
        <v>3.6367945023072497</v>
      </c>
    </row>
    <row r="622" spans="1:5" ht="13" x14ac:dyDescent="0.15">
      <c r="A622" s="1">
        <v>-1.1191864077192086</v>
      </c>
      <c r="B622" s="1">
        <v>3.5135865935775223</v>
      </c>
      <c r="C622" s="1">
        <v>1.8455259194404723</v>
      </c>
      <c r="D622" s="1">
        <v>3.5579970407159589</v>
      </c>
      <c r="E622" s="1">
        <v>3.5663367147551654</v>
      </c>
    </row>
    <row r="623" spans="1:5" ht="13" x14ac:dyDescent="0.15">
      <c r="A623" s="1">
        <v>-0.57348873863542471</v>
      </c>
      <c r="B623" s="1">
        <v>3.8455064569787636</v>
      </c>
      <c r="C623" s="1">
        <v>1.8398424252970387</v>
      </c>
      <c r="D623" s="1">
        <v>3.8763907731746134</v>
      </c>
      <c r="E623" s="1">
        <v>3.8803650087806556</v>
      </c>
    </row>
    <row r="624" spans="1:5" ht="13" x14ac:dyDescent="0.15">
      <c r="A624" s="1">
        <v>-1.6575773191777938</v>
      </c>
      <c r="B624" s="1">
        <v>2.3897878324151485</v>
      </c>
      <c r="C624" s="1">
        <v>1.050689027758881</v>
      </c>
      <c r="D624" s="1">
        <v>2.4203023851786898</v>
      </c>
      <c r="E624" s="1">
        <v>2.438460070271109</v>
      </c>
    </row>
    <row r="625" spans="1:5" ht="13" x14ac:dyDescent="0.15">
      <c r="A625" s="1">
        <v>-1.8860566476931633</v>
      </c>
      <c r="B625" s="1">
        <v>2.2056103099025215</v>
      </c>
      <c r="C625" s="1">
        <v>1.0725807326489498</v>
      </c>
      <c r="D625" s="1">
        <v>2.2369426488609672</v>
      </c>
      <c r="E625" s="1">
        <v>2.2657138106400216</v>
      </c>
    </row>
    <row r="626" spans="1:5" ht="13" x14ac:dyDescent="0.15">
      <c r="A626" s="1">
        <v>-1.8860566476931633</v>
      </c>
      <c r="B626" s="1">
        <v>2.0720108043656973</v>
      </c>
      <c r="C626" s="1">
        <v>1.0660275949488618</v>
      </c>
      <c r="D626" s="1">
        <v>2.1279369385587019</v>
      </c>
      <c r="E626" s="1">
        <v>2.1640523152247044</v>
      </c>
    </row>
    <row r="627" spans="1:5" ht="13" x14ac:dyDescent="0.15">
      <c r="A627" s="1">
        <v>-1.7695510786217261</v>
      </c>
      <c r="B627" s="1">
        <v>2.3663613110535482</v>
      </c>
      <c r="C627" s="1">
        <v>1.0521935804334748</v>
      </c>
      <c r="D627" s="1">
        <v>2.3909721794402325</v>
      </c>
      <c r="E627" s="1">
        <v>2.4104364104142348</v>
      </c>
    </row>
    <row r="628" spans="1:5" ht="13" x14ac:dyDescent="0.15">
      <c r="A628" s="1">
        <v>-1.0915149811213503</v>
      </c>
      <c r="B628" s="1">
        <v>3.2559253860353619</v>
      </c>
      <c r="C628" s="1">
        <v>1.4990957098297226</v>
      </c>
      <c r="D628" s="1">
        <v>3.2794392447181857</v>
      </c>
      <c r="E628" s="1">
        <v>3.2865880405939754</v>
      </c>
    </row>
    <row r="629" spans="1:5" ht="13" x14ac:dyDescent="0.15">
      <c r="A629" s="1">
        <v>-1.2596373105057561</v>
      </c>
      <c r="B629" s="1">
        <v>3.225947845349697</v>
      </c>
      <c r="C629" s="1">
        <v>1.507289030873264</v>
      </c>
      <c r="D629" s="1">
        <v>3.2482901611536028</v>
      </c>
      <c r="E629" s="1">
        <v>3.2561045877896491</v>
      </c>
    </row>
    <row r="630" spans="1:5" ht="13" x14ac:dyDescent="0.15">
      <c r="A630" s="1">
        <v>-1.3565473235138126</v>
      </c>
      <c r="B630" s="1">
        <v>3.0887450918829931</v>
      </c>
      <c r="C630" s="1">
        <v>1.4972891061693567</v>
      </c>
      <c r="D630" s="1">
        <v>3.1241806658018079</v>
      </c>
      <c r="E630" s="1">
        <v>3.1343164293450578</v>
      </c>
    </row>
    <row r="631" spans="1:5" ht="13" x14ac:dyDescent="0.15">
      <c r="A631" s="1">
        <v>-0.69036983257410123</v>
      </c>
      <c r="B631" s="1">
        <v>3.1749762980124179</v>
      </c>
      <c r="C631" s="1">
        <v>1.4900568521459283</v>
      </c>
      <c r="D631" s="1">
        <v>3.199865930157233</v>
      </c>
      <c r="E631" s="1">
        <v>3.2082604523143194</v>
      </c>
    </row>
    <row r="632" spans="1:5" ht="13" x14ac:dyDescent="0.15">
      <c r="A632" s="1">
        <v>-1.3010299956639813</v>
      </c>
      <c r="B632" s="1">
        <v>3.1031469954459499</v>
      </c>
      <c r="C632" s="1">
        <v>1.5015658718510116</v>
      </c>
      <c r="D632" s="1">
        <v>3.1313318198140863</v>
      </c>
      <c r="E632" s="1">
        <v>3.1414011673270119</v>
      </c>
    </row>
    <row r="633" spans="1:5" ht="13" x14ac:dyDescent="0.15">
      <c r="A633" s="1">
        <v>-1.1135092748275182</v>
      </c>
      <c r="B633" s="1">
        <v>3.2139242363482246</v>
      </c>
      <c r="C633" s="1">
        <v>1.4874070739392058</v>
      </c>
      <c r="D633" s="1">
        <v>3.2386185926898503</v>
      </c>
      <c r="E633" s="1">
        <v>3.2462530513136936</v>
      </c>
    </row>
    <row r="634" spans="1:5" ht="13" x14ac:dyDescent="0.15">
      <c r="A634" s="1">
        <v>-1.3372421683184259</v>
      </c>
      <c r="B634" s="1">
        <v>3.1110591005794901</v>
      </c>
      <c r="C634" s="1">
        <v>1.4900709035729911</v>
      </c>
      <c r="D634" s="1">
        <v>3.1489017461447277</v>
      </c>
      <c r="E634" s="1">
        <v>3.1583269026170049</v>
      </c>
    </row>
    <row r="635" spans="1:5" ht="13" x14ac:dyDescent="0.15">
      <c r="A635" s="1">
        <v>-0.43770713554352531</v>
      </c>
      <c r="B635" s="1">
        <v>3.9280932259105676</v>
      </c>
      <c r="C635" s="1">
        <v>1.8260034947679116</v>
      </c>
      <c r="D635" s="1">
        <v>3.9506112417214134</v>
      </c>
      <c r="E635" s="1">
        <v>3.9538588580047573</v>
      </c>
    </row>
    <row r="636" spans="1:5" ht="13" x14ac:dyDescent="0.15">
      <c r="A636" s="1">
        <v>-0.70774392864352398</v>
      </c>
      <c r="B636" s="1">
        <v>3.9655370557680762</v>
      </c>
      <c r="C636" s="1">
        <v>1.8398361455084125</v>
      </c>
      <c r="D636" s="1">
        <v>3.9880832018946584</v>
      </c>
      <c r="E636" s="1">
        <v>3.9911599072172397</v>
      </c>
    </row>
    <row r="637" spans="1:5" ht="13" x14ac:dyDescent="0.15">
      <c r="A637" s="1">
        <v>-2.0969100130080562</v>
      </c>
      <c r="B637" s="1">
        <v>2.0147262968714394</v>
      </c>
      <c r="C637" s="1">
        <v>1.0919481908785595</v>
      </c>
      <c r="D637" s="1">
        <v>2.0773824420946516</v>
      </c>
      <c r="E637" s="1">
        <v>2.1201196585635813</v>
      </c>
    </row>
    <row r="638" spans="1:5" ht="13" x14ac:dyDescent="0.15">
      <c r="A638" s="1">
        <v>-2.3010299956639813</v>
      </c>
      <c r="B638" s="1">
        <v>1.4834303806341569</v>
      </c>
      <c r="C638" s="1">
        <v>1.0824981385057795</v>
      </c>
      <c r="D638" s="1">
        <v>1.5837540436397781</v>
      </c>
      <c r="E638" s="1">
        <v>1.7027836879362721</v>
      </c>
    </row>
    <row r="639" spans="1:5" ht="13" x14ac:dyDescent="0.15">
      <c r="A639" s="1">
        <v>-1.7695510786217261</v>
      </c>
      <c r="B639" s="1">
        <v>2.2977276916362745</v>
      </c>
      <c r="C639" s="1">
        <v>1.0581222157829138</v>
      </c>
      <c r="D639" s="1">
        <v>2.3437767509480132</v>
      </c>
      <c r="E639" s="1">
        <v>2.365710690897243</v>
      </c>
    </row>
    <row r="640" spans="1:5" ht="13" x14ac:dyDescent="0.15">
      <c r="A640" s="1">
        <v>-2</v>
      </c>
      <c r="B640" s="1">
        <v>2.0378327119174209</v>
      </c>
      <c r="C640" s="1">
        <v>1.0870712059065355</v>
      </c>
      <c r="D640" s="1">
        <v>2.0810086709940383</v>
      </c>
      <c r="E640" s="1">
        <v>2.1229592782393736</v>
      </c>
    </row>
    <row r="641" spans="1:5" ht="13" x14ac:dyDescent="0.15">
      <c r="A641" s="1">
        <v>-2.2218487496163561</v>
      </c>
      <c r="B641" s="1">
        <v>1.6956567599361902</v>
      </c>
      <c r="C641" s="1">
        <v>1.0766768457056428</v>
      </c>
      <c r="D641" s="1">
        <v>1.7649304466902818</v>
      </c>
      <c r="E641" s="1">
        <v>1.8459162241344682</v>
      </c>
    </row>
    <row r="642" spans="1:5" ht="13" x14ac:dyDescent="0.15">
      <c r="A642" s="1">
        <v>-1.853871964321762</v>
      </c>
      <c r="B642" s="1">
        <v>2.1885572774520008</v>
      </c>
      <c r="C642" s="1">
        <v>1.0710715499836498</v>
      </c>
      <c r="D642" s="1">
        <v>2.2294079226605996</v>
      </c>
      <c r="E642" s="1">
        <v>2.2585678475156281</v>
      </c>
    </row>
    <row r="643" spans="1:5" ht="13" x14ac:dyDescent="0.15">
      <c r="A643" s="1">
        <v>-1.6020599913279623</v>
      </c>
      <c r="B643" s="1">
        <v>2.5127204080871204</v>
      </c>
      <c r="C643" s="1">
        <v>1.0433229735745753</v>
      </c>
      <c r="D643" s="1">
        <v>2.5447809427071051</v>
      </c>
      <c r="E643" s="1">
        <v>2.5582572457017845</v>
      </c>
    </row>
    <row r="644" spans="1:5" ht="13" x14ac:dyDescent="0.15">
      <c r="A644" s="1">
        <v>-1.853871964321762</v>
      </c>
      <c r="B644" s="1">
        <v>2.2760318926839744</v>
      </c>
      <c r="C644" s="1">
        <v>1.0622810699726439</v>
      </c>
      <c r="D644" s="1">
        <v>2.3214948667395872</v>
      </c>
      <c r="E644" s="1">
        <v>2.3447694154957524</v>
      </c>
    </row>
    <row r="645" spans="1:5" ht="13" x14ac:dyDescent="0.15">
      <c r="A645" s="1">
        <v>-2</v>
      </c>
      <c r="B645" s="1">
        <v>1.917605275543061</v>
      </c>
      <c r="C645" s="1">
        <v>1.0518853788898717</v>
      </c>
      <c r="D645" s="1">
        <v>1.9809754662831962</v>
      </c>
      <c r="E645" s="1">
        <v>2.0293147721454434</v>
      </c>
    </row>
    <row r="646" spans="1:5" ht="13" x14ac:dyDescent="0.15">
      <c r="A646" s="1">
        <v>-2.1549019599857431</v>
      </c>
      <c r="B646" s="1">
        <v>1.7970458347538432</v>
      </c>
      <c r="C646" s="1">
        <v>1.063558518110981</v>
      </c>
      <c r="D646" s="1">
        <v>1.8525714786244298</v>
      </c>
      <c r="E646" s="1">
        <v>1.9179883739381494</v>
      </c>
    </row>
    <row r="647" spans="1:5" ht="13" x14ac:dyDescent="0.15">
      <c r="A647" s="1">
        <v>-2.1549019599857431</v>
      </c>
      <c r="B647" s="1">
        <v>1.7745023673493519</v>
      </c>
      <c r="C647" s="1">
        <v>1.0629202637326634</v>
      </c>
      <c r="D647" s="1">
        <v>1.8454515359028623</v>
      </c>
      <c r="E647" s="1">
        <v>1.9117753061871117</v>
      </c>
    </row>
    <row r="648" spans="1:5" ht="13" x14ac:dyDescent="0.15">
      <c r="A648" s="1">
        <v>-2</v>
      </c>
      <c r="B648" s="1">
        <v>1.8210154090566848</v>
      </c>
      <c r="C648" s="1">
        <v>1.0584639856022509</v>
      </c>
      <c r="D648" s="1">
        <v>1.9144436521315038</v>
      </c>
      <c r="E648" s="1">
        <v>1.971085571230287</v>
      </c>
    </row>
    <row r="649" spans="1:5" ht="13" x14ac:dyDescent="0.15">
      <c r="A649" s="1">
        <v>-1.9586073148417751</v>
      </c>
      <c r="B649" s="1">
        <v>2.1424551685270643</v>
      </c>
      <c r="C649" s="1">
        <v>1.0385009430766743</v>
      </c>
      <c r="D649" s="1">
        <v>2.1803380940557404</v>
      </c>
      <c r="E649" s="1">
        <v>2.2105886991240284</v>
      </c>
    </row>
    <row r="650" spans="1:5" ht="13" x14ac:dyDescent="0.15">
      <c r="A650" s="1">
        <v>-2.0457574905606752</v>
      </c>
      <c r="B650" s="1">
        <v>1.9266613609946424</v>
      </c>
      <c r="C650" s="1">
        <v>1.0935617575652887</v>
      </c>
      <c r="D650" s="1">
        <v>1.9922706704370092</v>
      </c>
      <c r="E650" s="1">
        <v>2.0439121671012543</v>
      </c>
    </row>
    <row r="651" spans="1:5" ht="13" x14ac:dyDescent="0.15">
      <c r="A651" s="1">
        <v>-1.9208187539523751</v>
      </c>
      <c r="B651" s="1">
        <v>2.1660599028568348</v>
      </c>
      <c r="C651" s="1">
        <v>1.0762762554042176</v>
      </c>
      <c r="D651" s="1">
        <v>2.2099651606365809</v>
      </c>
      <c r="E651" s="1">
        <v>2.2407688359456142</v>
      </c>
    </row>
    <row r="652" spans="1:5" ht="13" x14ac:dyDescent="0.15">
      <c r="A652" s="1">
        <v>-1.9208187539523751</v>
      </c>
      <c r="B652" s="1">
        <v>2.0141549727591088</v>
      </c>
      <c r="C652" s="1">
        <v>1.0730948645157459</v>
      </c>
      <c r="D652" s="1">
        <v>2.0600024126919605</v>
      </c>
      <c r="E652" s="1">
        <v>2.1026017650211863</v>
      </c>
    </row>
    <row r="653" spans="1:5" ht="13" x14ac:dyDescent="0.15">
      <c r="A653" s="1">
        <v>-1.0409586076789064</v>
      </c>
      <c r="B653" s="1">
        <v>2.9713639978595565</v>
      </c>
      <c r="C653" s="1">
        <v>1.5225485559862602</v>
      </c>
      <c r="D653" s="1">
        <v>3.0174307039430541</v>
      </c>
      <c r="E653" s="1">
        <v>3.0311162776956242</v>
      </c>
    </row>
    <row r="654" spans="1:5" ht="13" x14ac:dyDescent="0.15">
      <c r="A654" s="1">
        <v>-1.1938200260161129</v>
      </c>
      <c r="B654" s="1">
        <v>2.4739028177234186</v>
      </c>
      <c r="C654" s="1">
        <v>1.5120971148810132</v>
      </c>
      <c r="D654" s="1">
        <v>2.5280832892249405</v>
      </c>
      <c r="E654" s="1">
        <v>2.5680984201211534</v>
      </c>
    </row>
    <row r="655" spans="1:5" ht="13" x14ac:dyDescent="0.15">
      <c r="A655" s="1">
        <v>-0.86012091359876341</v>
      </c>
      <c r="B655" s="1">
        <v>3.4382744116677304</v>
      </c>
      <c r="C655" s="1">
        <v>1.4866996155142045</v>
      </c>
      <c r="D655" s="1">
        <v>3.4618276494821538</v>
      </c>
      <c r="E655" s="1">
        <v>3.4664069943679654</v>
      </c>
    </row>
    <row r="656" spans="1:5" ht="13" x14ac:dyDescent="0.15">
      <c r="A656" s="1">
        <v>-1.0705810742857071</v>
      </c>
      <c r="B656" s="1">
        <v>2.8720950591450856</v>
      </c>
      <c r="C656" s="1">
        <v>1.5096057046115561</v>
      </c>
      <c r="D656" s="1">
        <v>2.9169390345248463</v>
      </c>
      <c r="E656" s="1">
        <v>2.9336158361861995</v>
      </c>
    </row>
    <row r="657" spans="1:5" ht="13" x14ac:dyDescent="0.15">
      <c r="A657" s="1">
        <v>-1.1739251972991736</v>
      </c>
      <c r="B657" s="1">
        <v>2.6613203954496929</v>
      </c>
      <c r="C657" s="1">
        <v>1.5027138235713362</v>
      </c>
      <c r="D657" s="1">
        <v>2.7177736564897965</v>
      </c>
      <c r="E657" s="1">
        <v>2.7434674307120765</v>
      </c>
    </row>
    <row r="658" spans="1:5" ht="13" x14ac:dyDescent="0.15">
      <c r="A658" s="1">
        <v>-1.0705810742857071</v>
      </c>
      <c r="B658" s="1">
        <v>3.214082901636047</v>
      </c>
      <c r="C658" s="1">
        <v>1.5042125197822045</v>
      </c>
      <c r="D658" s="1">
        <v>3.2455980377699567</v>
      </c>
      <c r="E658" s="1">
        <v>3.2534090086081937</v>
      </c>
    </row>
    <row r="659" spans="1:5" ht="13" x14ac:dyDescent="0.15">
      <c r="A659" s="1">
        <v>-0.86327943284359321</v>
      </c>
      <c r="B659" s="1">
        <v>3.1898952230986248</v>
      </c>
      <c r="C659" s="1">
        <v>1.492676594226712</v>
      </c>
      <c r="D659" s="1">
        <v>3.2228914539670779</v>
      </c>
      <c r="E659" s="1">
        <v>3.2309276586840396</v>
      </c>
    </row>
    <row r="660" spans="1:5" ht="13" x14ac:dyDescent="0.15">
      <c r="A660" s="1">
        <v>-0.74957999769110606</v>
      </c>
      <c r="B660" s="1">
        <v>3.3032193920194879</v>
      </c>
      <c r="C660" s="1">
        <v>1.4994671309895427</v>
      </c>
      <c r="D660" s="1">
        <v>3.334239365875717</v>
      </c>
      <c r="E660" s="1">
        <v>3.3405474210112969</v>
      </c>
    </row>
    <row r="661" spans="1:5" ht="13" x14ac:dyDescent="0.15">
      <c r="A661" s="1">
        <v>-1.1079053973095196</v>
      </c>
      <c r="B661" s="1">
        <v>3.0353532796149159</v>
      </c>
      <c r="C661" s="1">
        <v>1.4855936740223845</v>
      </c>
      <c r="D661" s="1">
        <v>3.0796023075132588</v>
      </c>
      <c r="E661" s="1">
        <v>3.0905303277103142</v>
      </c>
    </row>
    <row r="662" spans="1:5" ht="13" x14ac:dyDescent="0.15">
      <c r="A662" s="1">
        <v>-1.4089353929735009</v>
      </c>
      <c r="B662" s="1">
        <v>2.612234815809531</v>
      </c>
      <c r="C662" s="1">
        <v>1.5088797067945079</v>
      </c>
      <c r="D662" s="1">
        <v>2.6867175801641916</v>
      </c>
      <c r="E662" s="1">
        <v>2.7146381837337343</v>
      </c>
    </row>
    <row r="663" spans="1:5" ht="13" x14ac:dyDescent="0.15">
      <c r="A663" s="1">
        <v>-1.1023729087095586</v>
      </c>
      <c r="B663" s="1">
        <v>2.8909148387429378</v>
      </c>
      <c r="C663" s="1">
        <v>1.5090814946225235</v>
      </c>
      <c r="D663" s="1">
        <v>2.9453952117256108</v>
      </c>
      <c r="E663" s="1">
        <v>2.9610146131074337</v>
      </c>
    </row>
    <row r="664" spans="1:5" ht="13" x14ac:dyDescent="0.15">
      <c r="A664" s="1">
        <v>-1.2757241303992111</v>
      </c>
      <c r="B664" s="1">
        <v>3.2485703173902594</v>
      </c>
      <c r="C664" s="1">
        <v>1.5148531123501594</v>
      </c>
      <c r="D664" s="1">
        <v>3.2753267907291743</v>
      </c>
      <c r="E664" s="1">
        <v>3.2828015026517754</v>
      </c>
    </row>
    <row r="665" spans="1:5" ht="13" x14ac:dyDescent="0.15">
      <c r="A665" s="1">
        <v>-1.5086383061657274</v>
      </c>
      <c r="B665" s="1">
        <v>2.9165392198218298</v>
      </c>
      <c r="C665" s="1">
        <v>1.5062478972590434</v>
      </c>
      <c r="D665" s="1">
        <v>2.9537509960948136</v>
      </c>
      <c r="E665" s="1">
        <v>2.9689795347853503</v>
      </c>
    </row>
    <row r="666" spans="1:5" ht="13" x14ac:dyDescent="0.15">
      <c r="A666" s="1">
        <v>-0.72353819582675583</v>
      </c>
      <c r="B666" s="1">
        <v>3.9147355375873718</v>
      </c>
      <c r="C666" s="1">
        <v>1.8548159624165357</v>
      </c>
      <c r="D666" s="1">
        <v>3.9476418490588219</v>
      </c>
      <c r="E666" s="1">
        <v>3.9511358213630534</v>
      </c>
    </row>
    <row r="667" spans="1:5" ht="13" x14ac:dyDescent="0.15">
      <c r="A667" s="1">
        <v>-0.88272870434423567</v>
      </c>
      <c r="B667" s="1">
        <v>3.4506459521918784</v>
      </c>
      <c r="C667" s="1">
        <v>1.8419535592588365</v>
      </c>
      <c r="D667" s="1">
        <v>3.4935879713538611</v>
      </c>
      <c r="E667" s="1">
        <v>3.503167793202056</v>
      </c>
    </row>
    <row r="668" spans="1:5" ht="13" x14ac:dyDescent="0.15">
      <c r="A668" s="1">
        <v>-0.85387196432176193</v>
      </c>
      <c r="B668" s="1">
        <v>3.6713749417086978</v>
      </c>
      <c r="C668" s="1">
        <v>1.8484539250754641</v>
      </c>
      <c r="D668" s="1">
        <v>3.714872288837527</v>
      </c>
      <c r="E668" s="1">
        <v>3.7207411162861952</v>
      </c>
    </row>
    <row r="669" spans="1:5" ht="13" x14ac:dyDescent="0.15">
      <c r="A669" s="1">
        <v>-0.59176003468815042</v>
      </c>
      <c r="B669" s="1">
        <v>3.588543966153432</v>
      </c>
      <c r="C669" s="1">
        <v>1.8408272275743862</v>
      </c>
      <c r="D669" s="1">
        <v>3.6254704971588505</v>
      </c>
      <c r="E669" s="1">
        <v>3.6325438387545606</v>
      </c>
    </row>
    <row r="670" spans="1:5" ht="13" x14ac:dyDescent="0.15">
      <c r="A670" s="1">
        <v>-1.1079053973095196</v>
      </c>
      <c r="B670" s="1">
        <v>2.9769750597535456</v>
      </c>
      <c r="C670" s="1">
        <v>1.4994121256722754</v>
      </c>
      <c r="D670" s="1">
        <v>3.0351963172340857</v>
      </c>
      <c r="E670" s="1">
        <v>3.0476638054486243</v>
      </c>
    </row>
    <row r="671" spans="1:5" ht="13" x14ac:dyDescent="0.15">
      <c r="A671" s="1">
        <v>-0.94309514866352739</v>
      </c>
      <c r="B671" s="1">
        <v>3.049585466442553</v>
      </c>
      <c r="C671" s="1">
        <v>1.5061531248676354</v>
      </c>
      <c r="D671" s="1">
        <v>3.0864897436075078</v>
      </c>
      <c r="E671" s="1">
        <v>3.0977572762734504</v>
      </c>
    </row>
    <row r="672" spans="1:5" ht="13" x14ac:dyDescent="0.15">
      <c r="A672" s="1">
        <v>-1.1804560644581312</v>
      </c>
      <c r="B672" s="1">
        <v>3.012192050316072</v>
      </c>
      <c r="C672" s="1">
        <v>1.4854800847238252</v>
      </c>
      <c r="D672" s="1">
        <v>3.0570667291942804</v>
      </c>
      <c r="E672" s="1">
        <v>3.0685606038053055</v>
      </c>
    </row>
    <row r="673" spans="1:5" ht="13" x14ac:dyDescent="0.15">
      <c r="A673" s="1">
        <v>-1.1135092748275182</v>
      </c>
      <c r="B673" s="1">
        <v>3.0679471197680059</v>
      </c>
      <c r="C673" s="1">
        <v>1.493764667567145</v>
      </c>
      <c r="D673" s="1">
        <v>3.1072106482324662</v>
      </c>
      <c r="E673" s="1">
        <v>3.1176609912313276</v>
      </c>
    </row>
    <row r="674" spans="1:5" ht="13" x14ac:dyDescent="0.15">
      <c r="A674" s="1">
        <v>-0.57839607313016894</v>
      </c>
      <c r="B674" s="1">
        <v>3.9842289203060908</v>
      </c>
      <c r="C674" s="1">
        <v>1.8425093903212608</v>
      </c>
      <c r="D674" s="1">
        <v>4.0059148874587196</v>
      </c>
      <c r="E674" s="1">
        <v>4.0088859031251394</v>
      </c>
    </row>
    <row r="675" spans="1:5" ht="13" x14ac:dyDescent="0.15">
      <c r="A675" s="1">
        <v>-1.1135092748275182</v>
      </c>
      <c r="B675" s="1">
        <v>2.9672666232670144</v>
      </c>
      <c r="C675" s="1">
        <v>1.5149725425040592</v>
      </c>
      <c r="D675" s="1">
        <v>3.0089342796518799</v>
      </c>
      <c r="E675" s="1">
        <v>3.0226518536647209</v>
      </c>
    </row>
    <row r="676" spans="1:5" ht="13" x14ac:dyDescent="0.15">
      <c r="A676" s="1">
        <v>-1.2365720064370627</v>
      </c>
      <c r="B676" s="1">
        <v>2.5057751835727906</v>
      </c>
      <c r="C676" s="1">
        <v>1.5075050574806672</v>
      </c>
      <c r="D676" s="1">
        <v>2.5525501984963439</v>
      </c>
      <c r="E676" s="1">
        <v>2.5900377909933079</v>
      </c>
    </row>
    <row r="677" spans="1:5" ht="13" x14ac:dyDescent="0.15">
      <c r="A677" s="1">
        <v>-0.86012091359876341</v>
      </c>
      <c r="B677" s="1">
        <v>3.3909206303793691</v>
      </c>
      <c r="C677" s="1">
        <v>1.4887198891891653</v>
      </c>
      <c r="D677" s="1">
        <v>3.4178062119018446</v>
      </c>
      <c r="E677" s="1">
        <v>3.4228899344102626</v>
      </c>
    </row>
    <row r="678" spans="1:5" ht="13" x14ac:dyDescent="0.15">
      <c r="A678" s="1">
        <v>-1.0555173278498313</v>
      </c>
      <c r="B678" s="1">
        <v>2.860815767129679</v>
      </c>
      <c r="C678" s="1">
        <v>1.4924251127760866</v>
      </c>
      <c r="D678" s="1">
        <v>2.9226673406257353</v>
      </c>
      <c r="E678" s="1">
        <v>2.93850221294915</v>
      </c>
    </row>
    <row r="679" spans="1:5" ht="13" x14ac:dyDescent="0.15">
      <c r="A679" s="1">
        <v>-1.2924298239020637</v>
      </c>
      <c r="B679" s="1">
        <v>2.7441403663569512</v>
      </c>
      <c r="C679" s="1">
        <v>1.5161253438987214</v>
      </c>
      <c r="D679" s="1">
        <v>2.7924260114155723</v>
      </c>
      <c r="E679" s="1">
        <v>2.8148267128167528</v>
      </c>
    </row>
    <row r="680" spans="1:5" ht="13" x14ac:dyDescent="0.15">
      <c r="A680" s="1">
        <v>-1.2291479883578558</v>
      </c>
      <c r="B680" s="1">
        <v>2.6706595349171227</v>
      </c>
      <c r="C680" s="1">
        <v>1.5054213275832811</v>
      </c>
      <c r="D680" s="1">
        <v>2.741515591556086</v>
      </c>
      <c r="E680" s="1">
        <v>2.7660505360718313</v>
      </c>
    </row>
    <row r="681" spans="1:5" ht="13" x14ac:dyDescent="0.15">
      <c r="A681" s="1">
        <v>-1.3187587626244128</v>
      </c>
      <c r="B681" s="1">
        <v>3.065252096551955</v>
      </c>
      <c r="C681" s="1">
        <v>1.5070323596321069</v>
      </c>
      <c r="D681" s="1">
        <v>3.1019586722326578</v>
      </c>
      <c r="E681" s="1">
        <v>3.1128626199081175</v>
      </c>
    </row>
    <row r="682" spans="1:5" ht="13" x14ac:dyDescent="0.15">
      <c r="A682" s="1">
        <v>-1.0757207139381184</v>
      </c>
      <c r="B682" s="1">
        <v>3.0581157575419344</v>
      </c>
      <c r="C682" s="1">
        <v>1.5005794923633375</v>
      </c>
      <c r="D682" s="1">
        <v>3.1008356115356297</v>
      </c>
      <c r="E682" s="1">
        <v>3.1116122957941261</v>
      </c>
    </row>
    <row r="683" spans="1:5" ht="13" x14ac:dyDescent="0.15">
      <c r="A683" s="1">
        <v>-0.62708799702989348</v>
      </c>
      <c r="B683" s="1">
        <v>2.8235303056180614</v>
      </c>
      <c r="C683" s="1">
        <v>1.4826449473929424</v>
      </c>
      <c r="D683" s="1">
        <v>2.8885035488185138</v>
      </c>
      <c r="E683" s="1">
        <v>2.905236062099712</v>
      </c>
    </row>
    <row r="684" spans="1:5" ht="13" x14ac:dyDescent="0.15">
      <c r="A684" s="1">
        <v>-0.98296666070121963</v>
      </c>
      <c r="B684" s="1">
        <v>3.2289856969339779</v>
      </c>
      <c r="C684" s="1">
        <v>1.4946415102820405</v>
      </c>
      <c r="D684" s="1">
        <v>3.2635468337973661</v>
      </c>
      <c r="E684" s="1">
        <v>3.2708853388946992</v>
      </c>
    </row>
    <row r="685" spans="1:5" ht="13" x14ac:dyDescent="0.15">
      <c r="A685" s="1">
        <v>-1.1249387366082999</v>
      </c>
      <c r="B685" s="1">
        <v>2.9979033850642183</v>
      </c>
      <c r="C685" s="1">
        <v>1.4842571197557646</v>
      </c>
      <c r="D685" s="1">
        <v>3.0421051330398408</v>
      </c>
      <c r="E685" s="1">
        <v>3.0539737807641569</v>
      </c>
    </row>
    <row r="686" spans="1:5" ht="13" x14ac:dyDescent="0.15">
      <c r="A686" s="1">
        <v>-1.3665315444204136</v>
      </c>
      <c r="B686" s="1">
        <v>2.8774968929693503</v>
      </c>
      <c r="C686" s="1">
        <v>1.5045524124865661</v>
      </c>
      <c r="D686" s="1">
        <v>2.9301617001340703</v>
      </c>
      <c r="E686" s="1">
        <v>2.9461632942866318</v>
      </c>
    </row>
    <row r="687" spans="1:5" ht="13" x14ac:dyDescent="0.15">
      <c r="A687" s="1">
        <v>-1.3279021420642825</v>
      </c>
      <c r="B687" s="1">
        <v>2.8384826182054108</v>
      </c>
      <c r="C687" s="1">
        <v>1.5169582250038989</v>
      </c>
      <c r="D687" s="1">
        <v>2.8801456368323195</v>
      </c>
      <c r="E687" s="1">
        <v>2.8985814896968995</v>
      </c>
    </row>
    <row r="688" spans="1:5" ht="13" x14ac:dyDescent="0.15">
      <c r="A688" s="1">
        <v>-1.1674910872937636</v>
      </c>
      <c r="B688" s="1">
        <v>2.8333186275490516</v>
      </c>
      <c r="C688" s="1">
        <v>1.4811128408415175</v>
      </c>
      <c r="D688" s="1">
        <v>2.8871518158166092</v>
      </c>
      <c r="E688" s="1">
        <v>2.9038894383062841</v>
      </c>
    </row>
    <row r="689" spans="1:5" ht="13" x14ac:dyDescent="0.15">
      <c r="A689" s="1">
        <v>-0.69680394257951106</v>
      </c>
      <c r="B689" s="1">
        <v>3.3190750222881507</v>
      </c>
      <c r="C689" s="1">
        <v>1.5209549088528092</v>
      </c>
      <c r="D689" s="1">
        <v>3.3395961157797776</v>
      </c>
      <c r="E689" s="1">
        <v>3.3461436018745281</v>
      </c>
    </row>
    <row r="690" spans="1:5" ht="13" x14ac:dyDescent="0.15">
      <c r="A690" s="1">
        <v>-1.6020599913279623</v>
      </c>
      <c r="B690" s="1">
        <v>2.7323519368591289</v>
      </c>
      <c r="C690" s="1">
        <v>1.5074240600948547</v>
      </c>
      <c r="D690" s="1">
        <v>2.7926108828401301</v>
      </c>
      <c r="E690" s="1">
        <v>2.8145692009108991</v>
      </c>
    </row>
    <row r="691" spans="1:5" ht="13" x14ac:dyDescent="0.15">
      <c r="A691" s="1">
        <v>-0.88272870434423567</v>
      </c>
      <c r="B691" s="1">
        <v>3.8868407269755965</v>
      </c>
      <c r="C691" s="1">
        <v>1.8549372838917229</v>
      </c>
      <c r="D691" s="1">
        <v>3.9218859450739245</v>
      </c>
      <c r="E691" s="1">
        <v>3.9255926932971845</v>
      </c>
    </row>
    <row r="692" spans="1:5" ht="13" x14ac:dyDescent="0.15">
      <c r="A692" s="1">
        <v>-1.0655015487564323</v>
      </c>
      <c r="B692" s="1">
        <v>3.4711512762545951</v>
      </c>
      <c r="C692" s="1">
        <v>1.8375631878223002</v>
      </c>
      <c r="D692" s="1">
        <v>3.5140651122334883</v>
      </c>
      <c r="E692" s="1">
        <v>3.5231213612562331</v>
      </c>
    </row>
    <row r="693" spans="1:5" ht="13" x14ac:dyDescent="0.15">
      <c r="A693" s="1">
        <v>-0.44977164694490596</v>
      </c>
      <c r="B693" s="1">
        <v>4.1422083889023318</v>
      </c>
      <c r="C693" s="1">
        <v>1.8275114295265333</v>
      </c>
      <c r="D693" s="1">
        <v>4.1661291118676314</v>
      </c>
      <c r="E693" s="1">
        <v>4.1681161151756942</v>
      </c>
    </row>
    <row r="694" spans="1:5" ht="13" x14ac:dyDescent="0.15">
      <c r="A694" s="1">
        <v>-0.54515513999148979</v>
      </c>
      <c r="B694" s="1">
        <v>3.7416104789070088</v>
      </c>
      <c r="C694" s="1">
        <v>1.8323556052450092</v>
      </c>
      <c r="D694" s="1">
        <v>3.7759661834847722</v>
      </c>
      <c r="E694" s="1">
        <v>3.7808844773760972</v>
      </c>
    </row>
    <row r="695" spans="1:5" ht="13" x14ac:dyDescent="0.15">
      <c r="A695" s="1">
        <v>-0.60554831917378371</v>
      </c>
      <c r="B695" s="1">
        <v>3.9844088000380191</v>
      </c>
      <c r="C695" s="1">
        <v>1.8509830043868534</v>
      </c>
      <c r="D695" s="1">
        <v>4.0052174602946025</v>
      </c>
      <c r="E695" s="1">
        <v>4.0082516596634257</v>
      </c>
    </row>
    <row r="696" spans="1:5" ht="13" x14ac:dyDescent="0.15">
      <c r="A696" s="1">
        <v>-0.96657624451305035</v>
      </c>
      <c r="B696" s="1">
        <v>3.6859648280668469</v>
      </c>
      <c r="C696" s="1">
        <v>1.8442783115755748</v>
      </c>
      <c r="D696" s="1">
        <v>3.7261623404900988</v>
      </c>
      <c r="E696" s="1">
        <v>3.7318275212239067</v>
      </c>
    </row>
    <row r="697" spans="1:5" ht="13" x14ac:dyDescent="0.15">
      <c r="A697" s="1">
        <v>-0.70333480973846885</v>
      </c>
      <c r="B697" s="1">
        <v>3.829699990303717</v>
      </c>
      <c r="C697" s="1">
        <v>1.855494926568968</v>
      </c>
      <c r="D697" s="1">
        <v>3.8617052873500879</v>
      </c>
      <c r="E697" s="1">
        <v>3.8659673796138301</v>
      </c>
    </row>
    <row r="698" spans="1:5" ht="13" x14ac:dyDescent="0.15">
      <c r="A698" s="1">
        <v>-1.1249387366082999</v>
      </c>
      <c r="B698" s="1">
        <v>3.3556813461057229</v>
      </c>
      <c r="C698" s="1">
        <v>1.8395534609966904</v>
      </c>
      <c r="D698" s="1">
        <v>3.3955103830997464</v>
      </c>
      <c r="E698" s="1">
        <v>3.407419119947106</v>
      </c>
    </row>
    <row r="699" spans="1:5" ht="13" x14ac:dyDescent="0.15">
      <c r="A699" s="1">
        <v>-0.9507819773298184</v>
      </c>
      <c r="B699" s="1">
        <v>3.7858516003822622</v>
      </c>
      <c r="C699" s="1">
        <v>1.830858014513242</v>
      </c>
      <c r="D699" s="1">
        <v>3.829852888482244</v>
      </c>
      <c r="E699" s="1">
        <v>3.834184289039408</v>
      </c>
    </row>
    <row r="700" spans="1:5" ht="13" x14ac:dyDescent="0.15">
      <c r="A700" s="1">
        <v>-0.60730304674033431</v>
      </c>
      <c r="B700" s="1">
        <v>3.6564731823140026</v>
      </c>
      <c r="C700" s="1">
        <v>1.8287436544560283</v>
      </c>
      <c r="D700" s="1">
        <v>3.7015434635619027</v>
      </c>
      <c r="E700" s="1">
        <v>3.7073257102146977</v>
      </c>
    </row>
    <row r="701" spans="1:5" ht="13" x14ac:dyDescent="0.15">
      <c r="A701" s="1">
        <v>-0.55909091793478227</v>
      </c>
      <c r="B701" s="1">
        <v>3.8960321746281394</v>
      </c>
      <c r="C701" s="1">
        <v>1.8517840772215968</v>
      </c>
      <c r="D701" s="1">
        <v>3.9172021852311731</v>
      </c>
      <c r="E701" s="1">
        <v>3.9209219647997426</v>
      </c>
    </row>
    <row r="702" spans="1:5" ht="13" x14ac:dyDescent="0.15">
      <c r="A702" s="1">
        <v>-0.74232142513081545</v>
      </c>
      <c r="B702" s="1">
        <v>3.633984656118459</v>
      </c>
      <c r="C702" s="1">
        <v>1.848244555301612</v>
      </c>
      <c r="D702" s="1">
        <v>3.6701450627881007</v>
      </c>
      <c r="E702" s="1">
        <v>3.6766435028657933</v>
      </c>
    </row>
    <row r="703" spans="1:5" ht="13" x14ac:dyDescent="0.15">
      <c r="A703" s="1">
        <v>-0.75945075171740029</v>
      </c>
      <c r="B703" s="1">
        <v>3.9811057160369803</v>
      </c>
      <c r="C703" s="1">
        <v>1.8421847214965283</v>
      </c>
      <c r="D703" s="1">
        <v>4.0043822567412812</v>
      </c>
      <c r="E703" s="1">
        <v>4.0073615193425143</v>
      </c>
    </row>
    <row r="704" spans="1:5" ht="13" x14ac:dyDescent="0.15">
      <c r="A704" s="1">
        <v>0</v>
      </c>
      <c r="B704" s="1">
        <v>0</v>
      </c>
      <c r="C704" s="1">
        <v>0</v>
      </c>
      <c r="D704" s="1">
        <v>0</v>
      </c>
      <c r="E704" s="1">
        <v>0</v>
      </c>
    </row>
    <row r="705" spans="1:5" ht="13" x14ac:dyDescent="0.15">
      <c r="A705" s="1">
        <v>0</v>
      </c>
      <c r="B705" s="1">
        <v>0</v>
      </c>
      <c r="C705" s="1">
        <v>0</v>
      </c>
      <c r="D705" s="1">
        <v>0</v>
      </c>
      <c r="E705" s="1">
        <v>0</v>
      </c>
    </row>
    <row r="706" spans="1:5" ht="13" x14ac:dyDescent="0.15">
      <c r="A706" s="1">
        <v>0</v>
      </c>
      <c r="B706" s="1">
        <v>0</v>
      </c>
      <c r="C706" s="1">
        <v>0</v>
      </c>
      <c r="D706" s="1">
        <v>0</v>
      </c>
      <c r="E706" s="1">
        <v>0</v>
      </c>
    </row>
    <row r="707" spans="1:5" ht="13" x14ac:dyDescent="0.15">
      <c r="A707" s="1">
        <v>0</v>
      </c>
      <c r="B707" s="1">
        <v>0</v>
      </c>
      <c r="C707" s="1">
        <v>0</v>
      </c>
      <c r="D707" s="1">
        <v>0</v>
      </c>
      <c r="E707" s="1">
        <v>0</v>
      </c>
    </row>
    <row r="708" spans="1:5" ht="13" x14ac:dyDescent="0.15">
      <c r="A708" s="1">
        <v>0</v>
      </c>
      <c r="B708" s="1">
        <v>0</v>
      </c>
      <c r="C708" s="1">
        <v>0</v>
      </c>
      <c r="D708" s="1">
        <v>0</v>
      </c>
      <c r="E708" s="1">
        <v>0</v>
      </c>
    </row>
    <row r="709" spans="1:5" ht="13" x14ac:dyDescent="0.15">
      <c r="A709" s="1">
        <v>0</v>
      </c>
      <c r="B709" s="1">
        <v>0</v>
      </c>
      <c r="C709" s="1">
        <v>0</v>
      </c>
      <c r="D709" s="1">
        <v>0</v>
      </c>
      <c r="E709" s="1">
        <v>0</v>
      </c>
    </row>
    <row r="710" spans="1:5" ht="13" x14ac:dyDescent="0.15">
      <c r="A710" s="1">
        <v>0</v>
      </c>
      <c r="B710" s="1">
        <v>0</v>
      </c>
      <c r="C710" s="1">
        <v>0</v>
      </c>
      <c r="D710" s="1">
        <v>0</v>
      </c>
      <c r="E710" s="1">
        <v>0</v>
      </c>
    </row>
    <row r="711" spans="1:5" ht="13" x14ac:dyDescent="0.15">
      <c r="A711" s="1">
        <v>0</v>
      </c>
      <c r="B711" s="1">
        <v>0</v>
      </c>
      <c r="C711" s="1">
        <v>0</v>
      </c>
      <c r="D711" s="1">
        <v>0</v>
      </c>
      <c r="E711" s="1">
        <v>0</v>
      </c>
    </row>
    <row r="712" spans="1:5" ht="13" x14ac:dyDescent="0.15">
      <c r="A712" s="1">
        <v>0</v>
      </c>
      <c r="B712" s="1">
        <v>0</v>
      </c>
      <c r="C712" s="1">
        <v>0</v>
      </c>
      <c r="D712" s="1">
        <v>0</v>
      </c>
      <c r="E712" s="1">
        <v>0</v>
      </c>
    </row>
    <row r="713" spans="1:5" ht="13" x14ac:dyDescent="0.15">
      <c r="A713" s="1">
        <v>0</v>
      </c>
      <c r="B713" s="1">
        <v>0</v>
      </c>
      <c r="C713" s="1">
        <v>0</v>
      </c>
      <c r="D713" s="1">
        <v>0</v>
      </c>
      <c r="E713" s="1">
        <v>0</v>
      </c>
    </row>
    <row r="714" spans="1:5" ht="13" x14ac:dyDescent="0.15">
      <c r="A714" s="1">
        <v>0</v>
      </c>
      <c r="B714" s="1">
        <v>0</v>
      </c>
      <c r="C714" s="1">
        <v>0</v>
      </c>
      <c r="D714" s="1">
        <v>0</v>
      </c>
      <c r="E714" s="1">
        <v>0</v>
      </c>
    </row>
    <row r="715" spans="1:5" ht="13" x14ac:dyDescent="0.15">
      <c r="A715" s="1">
        <v>0</v>
      </c>
      <c r="B715" s="1">
        <v>0</v>
      </c>
      <c r="C715" s="1">
        <v>0</v>
      </c>
      <c r="D715" s="1">
        <v>0</v>
      </c>
      <c r="E715" s="1">
        <v>0</v>
      </c>
    </row>
    <row r="716" spans="1:5" ht="13" x14ac:dyDescent="0.15">
      <c r="A716" s="1">
        <v>0</v>
      </c>
      <c r="B716" s="1">
        <v>0</v>
      </c>
      <c r="C716" s="1">
        <v>0</v>
      </c>
      <c r="D716" s="1">
        <v>0</v>
      </c>
      <c r="E716" s="1">
        <v>0</v>
      </c>
    </row>
    <row r="717" spans="1:5" ht="13" x14ac:dyDescent="0.15">
      <c r="A717" s="1">
        <v>0</v>
      </c>
      <c r="B717" s="1">
        <v>0</v>
      </c>
      <c r="C717" s="1">
        <v>0</v>
      </c>
      <c r="D717" s="1">
        <v>0</v>
      </c>
      <c r="E717" s="1">
        <v>0</v>
      </c>
    </row>
    <row r="718" spans="1:5" ht="13" x14ac:dyDescent="0.15">
      <c r="A718" s="1">
        <v>0</v>
      </c>
      <c r="B718" s="1">
        <v>0</v>
      </c>
      <c r="C718" s="1">
        <v>0</v>
      </c>
      <c r="D718" s="1">
        <v>0</v>
      </c>
      <c r="E718" s="1">
        <v>0</v>
      </c>
    </row>
    <row r="719" spans="1:5" ht="13" x14ac:dyDescent="0.15">
      <c r="A719" s="1">
        <v>0</v>
      </c>
      <c r="B719" s="1">
        <v>0</v>
      </c>
      <c r="C719" s="1">
        <v>0</v>
      </c>
      <c r="D719" s="1">
        <v>0</v>
      </c>
      <c r="E719" s="1">
        <v>0</v>
      </c>
    </row>
    <row r="720" spans="1:5" ht="13" x14ac:dyDescent="0.15">
      <c r="A720" s="1">
        <v>0</v>
      </c>
      <c r="B720" s="1">
        <v>0</v>
      </c>
      <c r="C720" s="1">
        <v>0</v>
      </c>
      <c r="D720" s="1">
        <v>0</v>
      </c>
      <c r="E720" s="1">
        <v>0</v>
      </c>
    </row>
    <row r="721" spans="1:5" ht="13" x14ac:dyDescent="0.15">
      <c r="A721" s="1">
        <v>0</v>
      </c>
      <c r="B721" s="1">
        <v>0</v>
      </c>
      <c r="C721" s="1">
        <v>0</v>
      </c>
      <c r="D721" s="1">
        <v>0</v>
      </c>
      <c r="E721" s="1">
        <v>0</v>
      </c>
    </row>
    <row r="722" spans="1:5" ht="13" x14ac:dyDescent="0.15">
      <c r="A722" s="1">
        <v>0</v>
      </c>
      <c r="B722" s="1">
        <v>0</v>
      </c>
      <c r="C722" s="1">
        <v>0</v>
      </c>
      <c r="D722" s="1">
        <v>0</v>
      </c>
      <c r="E722" s="1">
        <v>0</v>
      </c>
    </row>
    <row r="723" spans="1:5" ht="13" x14ac:dyDescent="0.15">
      <c r="A723" s="1">
        <v>0</v>
      </c>
      <c r="B723" s="1">
        <v>0</v>
      </c>
      <c r="C723" s="1">
        <v>0</v>
      </c>
      <c r="D723" s="1">
        <v>0</v>
      </c>
      <c r="E723" s="1">
        <v>0</v>
      </c>
    </row>
    <row r="724" spans="1:5" ht="13" x14ac:dyDescent="0.15">
      <c r="A724" s="1">
        <v>0</v>
      </c>
      <c r="B724" s="1">
        <v>0</v>
      </c>
      <c r="C724" s="1">
        <v>0</v>
      </c>
      <c r="D724" s="1">
        <v>0</v>
      </c>
      <c r="E724" s="1">
        <v>0</v>
      </c>
    </row>
    <row r="725" spans="1:5" ht="13" x14ac:dyDescent="0.15">
      <c r="A725" s="1">
        <v>0</v>
      </c>
      <c r="B725" s="1">
        <v>0</v>
      </c>
      <c r="C725" s="1">
        <v>0</v>
      </c>
      <c r="D725" s="1">
        <v>0</v>
      </c>
      <c r="E725" s="1">
        <v>0</v>
      </c>
    </row>
    <row r="726" spans="1:5" ht="13" x14ac:dyDescent="0.15">
      <c r="A726" s="1">
        <v>0</v>
      </c>
      <c r="B726" s="1">
        <v>0</v>
      </c>
      <c r="C726" s="1">
        <v>0</v>
      </c>
      <c r="D726" s="1">
        <v>0</v>
      </c>
      <c r="E726" s="1">
        <v>0</v>
      </c>
    </row>
    <row r="727" spans="1:5" ht="13" x14ac:dyDescent="0.15">
      <c r="A727" s="1">
        <v>0</v>
      </c>
      <c r="B727" s="1">
        <v>0</v>
      </c>
      <c r="C727" s="1">
        <v>0</v>
      </c>
      <c r="D727" s="1">
        <v>0</v>
      </c>
      <c r="E727" s="1">
        <v>0</v>
      </c>
    </row>
    <row r="728" spans="1:5" ht="13" x14ac:dyDescent="0.15">
      <c r="A728" s="1">
        <v>0</v>
      </c>
      <c r="B728" s="1">
        <v>0</v>
      </c>
      <c r="C728" s="1">
        <v>0</v>
      </c>
      <c r="D728" s="1">
        <v>0</v>
      </c>
      <c r="E728" s="1">
        <v>0</v>
      </c>
    </row>
    <row r="729" spans="1:5" ht="13" x14ac:dyDescent="0.15">
      <c r="A729" s="1">
        <v>0</v>
      </c>
      <c r="B729" s="1">
        <v>0</v>
      </c>
      <c r="C729" s="1">
        <v>0</v>
      </c>
      <c r="D729" s="1">
        <v>0</v>
      </c>
      <c r="E729" s="1">
        <v>0</v>
      </c>
    </row>
    <row r="730" spans="1:5" ht="13" x14ac:dyDescent="0.15">
      <c r="A730" s="1">
        <v>0</v>
      </c>
      <c r="B730" s="1">
        <v>0</v>
      </c>
      <c r="C730" s="1">
        <v>0</v>
      </c>
      <c r="D730" s="1">
        <v>0</v>
      </c>
      <c r="E730" s="1">
        <v>0</v>
      </c>
    </row>
    <row r="731" spans="1:5" ht="13" x14ac:dyDescent="0.15">
      <c r="A731" s="1">
        <v>0</v>
      </c>
      <c r="B731" s="1">
        <v>0</v>
      </c>
      <c r="C731" s="1">
        <v>0</v>
      </c>
      <c r="D731" s="1">
        <v>0</v>
      </c>
      <c r="E731" s="1">
        <v>0</v>
      </c>
    </row>
    <row r="732" spans="1:5" ht="13" x14ac:dyDescent="0.15">
      <c r="A732" s="1">
        <v>0</v>
      </c>
      <c r="B732" s="1">
        <v>0</v>
      </c>
      <c r="C732" s="1">
        <v>0</v>
      </c>
      <c r="D732" s="1">
        <v>0</v>
      </c>
      <c r="E732" s="1">
        <v>0</v>
      </c>
    </row>
    <row r="733" spans="1:5" ht="13" x14ac:dyDescent="0.15">
      <c r="A733" s="1">
        <v>0</v>
      </c>
      <c r="B733" s="1">
        <v>0</v>
      </c>
      <c r="C733" s="1">
        <v>0</v>
      </c>
      <c r="D733" s="1">
        <v>0</v>
      </c>
      <c r="E733" s="1">
        <v>0</v>
      </c>
    </row>
    <row r="734" spans="1:5" ht="13" x14ac:dyDescent="0.15">
      <c r="A734" s="1">
        <v>0</v>
      </c>
      <c r="B734" s="1">
        <v>0</v>
      </c>
      <c r="C734" s="1">
        <v>0</v>
      </c>
      <c r="D734" s="1">
        <v>0</v>
      </c>
      <c r="E734" s="1">
        <v>0</v>
      </c>
    </row>
    <row r="735" spans="1:5" ht="13" x14ac:dyDescent="0.15">
      <c r="A735" s="1">
        <v>0</v>
      </c>
      <c r="B735" s="1">
        <v>0</v>
      </c>
      <c r="C735" s="1">
        <v>0</v>
      </c>
      <c r="D735" s="1">
        <v>0</v>
      </c>
      <c r="E735" s="1">
        <v>0</v>
      </c>
    </row>
    <row r="736" spans="1:5" ht="13" x14ac:dyDescent="0.15">
      <c r="A736" s="1">
        <v>0</v>
      </c>
      <c r="B736" s="1">
        <v>0</v>
      </c>
      <c r="C736" s="1">
        <v>0</v>
      </c>
      <c r="D736" s="1">
        <v>0</v>
      </c>
      <c r="E736" s="1">
        <v>0</v>
      </c>
    </row>
    <row r="737" spans="1:5" ht="13" x14ac:dyDescent="0.15">
      <c r="A737" s="1">
        <v>0</v>
      </c>
      <c r="B737" s="1">
        <v>0</v>
      </c>
      <c r="C737" s="1">
        <v>0</v>
      </c>
      <c r="D737" s="1">
        <v>0</v>
      </c>
      <c r="E737" s="1">
        <v>0</v>
      </c>
    </row>
    <row r="738" spans="1:5" ht="13" x14ac:dyDescent="0.15">
      <c r="A738" s="1">
        <v>0</v>
      </c>
      <c r="B738" s="1">
        <v>0</v>
      </c>
      <c r="C738" s="1">
        <v>0</v>
      </c>
      <c r="D738" s="1">
        <v>0</v>
      </c>
      <c r="E738" s="1">
        <v>0</v>
      </c>
    </row>
    <row r="739" spans="1:5" ht="13" x14ac:dyDescent="0.15">
      <c r="A739" s="1">
        <v>0</v>
      </c>
      <c r="B739" s="1">
        <v>0</v>
      </c>
      <c r="C739" s="1">
        <v>0</v>
      </c>
      <c r="D739" s="1">
        <v>0</v>
      </c>
      <c r="E739" s="1">
        <v>0</v>
      </c>
    </row>
    <row r="740" spans="1:5" ht="13" x14ac:dyDescent="0.15">
      <c r="A740" s="1">
        <v>0</v>
      </c>
      <c r="B740" s="1">
        <v>0</v>
      </c>
      <c r="C740" s="1">
        <v>0</v>
      </c>
      <c r="D740" s="1">
        <v>0</v>
      </c>
      <c r="E740" s="1">
        <v>0</v>
      </c>
    </row>
    <row r="741" spans="1:5" ht="13" x14ac:dyDescent="0.15">
      <c r="A741" s="1">
        <v>0</v>
      </c>
      <c r="B741" s="1">
        <v>0</v>
      </c>
      <c r="C741" s="1">
        <v>0</v>
      </c>
      <c r="D741" s="1">
        <v>0</v>
      </c>
      <c r="E741" s="1">
        <v>0</v>
      </c>
    </row>
    <row r="742" spans="1:5" ht="13" x14ac:dyDescent="0.15">
      <c r="A742" s="1">
        <v>0</v>
      </c>
      <c r="B742" s="1">
        <v>0</v>
      </c>
      <c r="C742" s="1">
        <v>0</v>
      </c>
      <c r="D742" s="1">
        <v>0</v>
      </c>
      <c r="E742" s="1">
        <v>0</v>
      </c>
    </row>
    <row r="743" spans="1:5" ht="13" x14ac:dyDescent="0.15">
      <c r="A743" s="1">
        <v>0</v>
      </c>
      <c r="B743" s="1">
        <v>0</v>
      </c>
      <c r="C743" s="1">
        <v>0</v>
      </c>
      <c r="D743" s="1">
        <v>0</v>
      </c>
      <c r="E743" s="1">
        <v>0</v>
      </c>
    </row>
    <row r="744" spans="1:5" ht="13" x14ac:dyDescent="0.15">
      <c r="A744" s="1">
        <v>0</v>
      </c>
      <c r="B744" s="1">
        <v>0</v>
      </c>
      <c r="C744" s="1">
        <v>0</v>
      </c>
      <c r="D744" s="1">
        <v>0</v>
      </c>
      <c r="E744" s="1">
        <v>0</v>
      </c>
    </row>
    <row r="745" spans="1:5" ht="13" x14ac:dyDescent="0.15">
      <c r="A745" s="1">
        <v>0</v>
      </c>
      <c r="B745" s="1">
        <v>0</v>
      </c>
      <c r="C745" s="1">
        <v>0</v>
      </c>
      <c r="D745" s="1">
        <v>0</v>
      </c>
      <c r="E745" s="1">
        <v>0</v>
      </c>
    </row>
    <row r="746" spans="1:5" ht="13" x14ac:dyDescent="0.15">
      <c r="A746" s="1">
        <v>0</v>
      </c>
      <c r="B746" s="1">
        <v>0</v>
      </c>
      <c r="C746" s="1">
        <v>0</v>
      </c>
      <c r="D746" s="1">
        <v>0</v>
      </c>
      <c r="E746" s="1">
        <v>0</v>
      </c>
    </row>
    <row r="747" spans="1:5" ht="13" x14ac:dyDescent="0.15">
      <c r="A747" s="1">
        <v>0</v>
      </c>
      <c r="B747" s="1">
        <v>0</v>
      </c>
      <c r="C747" s="1">
        <v>0</v>
      </c>
      <c r="D747" s="1">
        <v>0</v>
      </c>
      <c r="E747" s="1">
        <v>0</v>
      </c>
    </row>
    <row r="748" spans="1:5" ht="13" x14ac:dyDescent="0.15">
      <c r="A748" s="1">
        <v>0</v>
      </c>
      <c r="B748" s="1">
        <v>0</v>
      </c>
      <c r="C748" s="1">
        <v>0</v>
      </c>
      <c r="D748" s="1">
        <v>0</v>
      </c>
      <c r="E748" s="1">
        <v>0</v>
      </c>
    </row>
    <row r="749" spans="1:5" ht="13" x14ac:dyDescent="0.15">
      <c r="A749" s="1">
        <v>0</v>
      </c>
      <c r="B749" s="1">
        <v>0</v>
      </c>
      <c r="C749" s="1">
        <v>0</v>
      </c>
      <c r="D749" s="1">
        <v>0</v>
      </c>
      <c r="E749" s="1">
        <v>0</v>
      </c>
    </row>
    <row r="750" spans="1:5" ht="13" x14ac:dyDescent="0.15">
      <c r="A750" s="1">
        <v>0</v>
      </c>
      <c r="B750" s="1">
        <v>0</v>
      </c>
      <c r="C750" s="1">
        <v>0</v>
      </c>
      <c r="D750" s="1">
        <v>0</v>
      </c>
      <c r="E750" s="1">
        <v>0</v>
      </c>
    </row>
    <row r="751" spans="1:5" ht="13" x14ac:dyDescent="0.15">
      <c r="A751" s="1">
        <v>0</v>
      </c>
      <c r="B751" s="1">
        <v>0</v>
      </c>
      <c r="C751" s="1">
        <v>0</v>
      </c>
      <c r="D751" s="1">
        <v>0</v>
      </c>
      <c r="E751" s="1">
        <v>0</v>
      </c>
    </row>
    <row r="752" spans="1:5" ht="13" x14ac:dyDescent="0.15">
      <c r="A752" s="1">
        <v>0</v>
      </c>
      <c r="B752" s="1">
        <v>0</v>
      </c>
      <c r="C752" s="1">
        <v>0</v>
      </c>
      <c r="D752" s="1">
        <v>0</v>
      </c>
      <c r="E752" s="1">
        <v>0</v>
      </c>
    </row>
    <row r="753" spans="1:5" ht="13" x14ac:dyDescent="0.15">
      <c r="A753" s="1">
        <v>0</v>
      </c>
      <c r="B753" s="1">
        <v>0</v>
      </c>
      <c r="C753" s="1">
        <v>0</v>
      </c>
      <c r="D753" s="1">
        <v>0</v>
      </c>
      <c r="E753" s="1">
        <v>0</v>
      </c>
    </row>
    <row r="754" spans="1:5" ht="13" x14ac:dyDescent="0.15">
      <c r="A754" s="1">
        <v>0</v>
      </c>
      <c r="B754" s="1">
        <v>0</v>
      </c>
      <c r="C754" s="1">
        <v>0</v>
      </c>
      <c r="D754" s="1">
        <v>0</v>
      </c>
      <c r="E754" s="1">
        <v>0</v>
      </c>
    </row>
    <row r="755" spans="1:5" ht="13" x14ac:dyDescent="0.15">
      <c r="A755" s="1">
        <v>0</v>
      </c>
      <c r="B755" s="1">
        <v>0</v>
      </c>
      <c r="C755" s="1">
        <v>0</v>
      </c>
      <c r="D755" s="1">
        <v>0</v>
      </c>
      <c r="E755" s="1">
        <v>0</v>
      </c>
    </row>
    <row r="756" spans="1:5" ht="13" x14ac:dyDescent="0.15">
      <c r="A756" s="1">
        <v>0</v>
      </c>
      <c r="B756" s="1">
        <v>0</v>
      </c>
      <c r="C756" s="1">
        <v>0</v>
      </c>
      <c r="D756" s="1">
        <v>0</v>
      </c>
      <c r="E756" s="1">
        <v>0</v>
      </c>
    </row>
    <row r="757" spans="1:5" ht="13" x14ac:dyDescent="0.15">
      <c r="A757" s="1">
        <v>0</v>
      </c>
      <c r="B757" s="1">
        <v>0</v>
      </c>
      <c r="C757" s="1">
        <v>0</v>
      </c>
      <c r="D757" s="1">
        <v>0</v>
      </c>
      <c r="E757" s="1">
        <v>0</v>
      </c>
    </row>
    <row r="758" spans="1:5" ht="13" x14ac:dyDescent="0.15">
      <c r="A758" s="1">
        <v>0</v>
      </c>
      <c r="B758" s="1">
        <v>0</v>
      </c>
      <c r="C758" s="1">
        <v>0</v>
      </c>
      <c r="D758" s="1">
        <v>0</v>
      </c>
      <c r="E758" s="1">
        <v>0</v>
      </c>
    </row>
    <row r="759" spans="1:5" ht="13" x14ac:dyDescent="0.15">
      <c r="A759" s="1">
        <v>0</v>
      </c>
      <c r="B759" s="1">
        <v>0</v>
      </c>
      <c r="C759" s="1">
        <v>0</v>
      </c>
      <c r="D759" s="1">
        <v>0</v>
      </c>
      <c r="E759" s="1">
        <v>0</v>
      </c>
    </row>
    <row r="760" spans="1:5" ht="13" x14ac:dyDescent="0.15">
      <c r="A760" s="1">
        <v>0</v>
      </c>
      <c r="B760" s="1">
        <v>0</v>
      </c>
      <c r="C760" s="1">
        <v>0</v>
      </c>
      <c r="D760" s="1">
        <v>0</v>
      </c>
      <c r="E760" s="1">
        <v>0</v>
      </c>
    </row>
    <row r="761" spans="1:5" ht="13" x14ac:dyDescent="0.15">
      <c r="A761" s="1">
        <v>0</v>
      </c>
      <c r="B761" s="1">
        <v>0</v>
      </c>
      <c r="C761" s="1">
        <v>0</v>
      </c>
      <c r="D761" s="1">
        <v>0</v>
      </c>
      <c r="E761" s="1">
        <v>0</v>
      </c>
    </row>
    <row r="762" spans="1:5" ht="13" x14ac:dyDescent="0.15">
      <c r="A762" s="1">
        <v>0</v>
      </c>
      <c r="B762" s="1">
        <v>0</v>
      </c>
      <c r="C762" s="1">
        <v>0</v>
      </c>
      <c r="D762" s="1">
        <v>0</v>
      </c>
      <c r="E762" s="1">
        <v>0</v>
      </c>
    </row>
    <row r="763" spans="1:5" ht="13" x14ac:dyDescent="0.15">
      <c r="A763" s="1">
        <v>0</v>
      </c>
      <c r="B763" s="1">
        <v>0</v>
      </c>
      <c r="C763" s="1">
        <v>0</v>
      </c>
      <c r="D763" s="1">
        <v>0</v>
      </c>
      <c r="E763" s="1">
        <v>0</v>
      </c>
    </row>
    <row r="764" spans="1:5" ht="13" x14ac:dyDescent="0.15">
      <c r="A764" s="1">
        <v>0</v>
      </c>
      <c r="B764" s="1">
        <v>0</v>
      </c>
      <c r="C764" s="1">
        <v>0</v>
      </c>
      <c r="D764" s="1">
        <v>0</v>
      </c>
      <c r="E764" s="1">
        <v>0</v>
      </c>
    </row>
    <row r="765" spans="1:5" ht="13" x14ac:dyDescent="0.15">
      <c r="A765" s="1">
        <v>0</v>
      </c>
      <c r="B765" s="1">
        <v>0</v>
      </c>
      <c r="C765" s="1">
        <v>0</v>
      </c>
      <c r="D765" s="1">
        <v>0</v>
      </c>
      <c r="E765" s="1">
        <v>0</v>
      </c>
    </row>
    <row r="766" spans="1:5" ht="13" x14ac:dyDescent="0.15">
      <c r="A766" s="1">
        <v>0</v>
      </c>
      <c r="B766" s="1">
        <v>0</v>
      </c>
      <c r="C766" s="1">
        <v>0</v>
      </c>
      <c r="D766" s="1">
        <v>0</v>
      </c>
      <c r="E766" s="1">
        <v>0</v>
      </c>
    </row>
    <row r="767" spans="1:5" ht="13" x14ac:dyDescent="0.15">
      <c r="A767" s="1">
        <v>0</v>
      </c>
      <c r="B767" s="1">
        <v>0</v>
      </c>
      <c r="C767" s="1">
        <v>0</v>
      </c>
      <c r="D767" s="1">
        <v>0</v>
      </c>
      <c r="E767" s="1">
        <v>0</v>
      </c>
    </row>
    <row r="768" spans="1:5" ht="13" x14ac:dyDescent="0.15">
      <c r="A768" s="1">
        <v>0</v>
      </c>
      <c r="B768" s="1">
        <v>0</v>
      </c>
      <c r="C768" s="1">
        <v>0</v>
      </c>
      <c r="D768" s="1">
        <v>0</v>
      </c>
      <c r="E768" s="1">
        <v>0</v>
      </c>
    </row>
    <row r="769" spans="1:5" ht="13" x14ac:dyDescent="0.15">
      <c r="A769" s="1">
        <v>0</v>
      </c>
      <c r="B769" s="1">
        <v>0</v>
      </c>
      <c r="C769" s="1">
        <v>0</v>
      </c>
      <c r="D769" s="1">
        <v>0</v>
      </c>
      <c r="E769" s="1">
        <v>0</v>
      </c>
    </row>
    <row r="770" spans="1:5" ht="13" x14ac:dyDescent="0.15">
      <c r="A770" s="1">
        <v>0</v>
      </c>
      <c r="B770" s="1">
        <v>0</v>
      </c>
      <c r="C770" s="1">
        <v>0</v>
      </c>
      <c r="D770" s="1">
        <v>0</v>
      </c>
      <c r="E770" s="1">
        <v>0</v>
      </c>
    </row>
    <row r="771" spans="1:5" ht="13" x14ac:dyDescent="0.15">
      <c r="A771" s="1">
        <v>0</v>
      </c>
      <c r="B771" s="1">
        <v>0</v>
      </c>
      <c r="C771" s="1">
        <v>0</v>
      </c>
      <c r="D771" s="1">
        <v>0</v>
      </c>
      <c r="E771" s="1">
        <v>0</v>
      </c>
    </row>
    <row r="772" spans="1:5" ht="13" x14ac:dyDescent="0.15">
      <c r="A772" s="1">
        <v>0</v>
      </c>
      <c r="B772" s="1">
        <v>0</v>
      </c>
      <c r="C772" s="1">
        <v>0</v>
      </c>
      <c r="D772" s="1">
        <v>0</v>
      </c>
      <c r="E772" s="1">
        <v>0</v>
      </c>
    </row>
    <row r="773" spans="1:5" ht="13" x14ac:dyDescent="0.15">
      <c r="A773" s="1">
        <v>0</v>
      </c>
      <c r="B773" s="1">
        <v>0</v>
      </c>
      <c r="C773" s="1">
        <v>0</v>
      </c>
      <c r="D773" s="1">
        <v>0</v>
      </c>
      <c r="E773" s="1">
        <v>0</v>
      </c>
    </row>
    <row r="774" spans="1:5" ht="13" x14ac:dyDescent="0.15">
      <c r="A774" s="1">
        <v>0</v>
      </c>
      <c r="B774" s="1">
        <v>0</v>
      </c>
      <c r="C774" s="1">
        <v>0</v>
      </c>
      <c r="D774" s="1">
        <v>0</v>
      </c>
      <c r="E774" s="1">
        <v>0</v>
      </c>
    </row>
    <row r="775" spans="1:5" ht="13" x14ac:dyDescent="0.15">
      <c r="A775" s="1">
        <v>0</v>
      </c>
      <c r="B775" s="1">
        <v>0</v>
      </c>
      <c r="C775" s="1">
        <v>0</v>
      </c>
      <c r="D775" s="1">
        <v>0</v>
      </c>
      <c r="E775" s="1">
        <v>0</v>
      </c>
    </row>
    <row r="776" spans="1:5" ht="13" x14ac:dyDescent="0.15">
      <c r="A776" s="1">
        <v>0</v>
      </c>
      <c r="B776" s="1">
        <v>0</v>
      </c>
      <c r="C776" s="1">
        <v>0</v>
      </c>
      <c r="D776" s="1">
        <v>0</v>
      </c>
      <c r="E776" s="1">
        <v>0</v>
      </c>
    </row>
    <row r="777" spans="1:5" ht="13" x14ac:dyDescent="0.15">
      <c r="A777" s="1">
        <v>0</v>
      </c>
      <c r="B777" s="1">
        <v>0</v>
      </c>
      <c r="C777" s="1">
        <v>0</v>
      </c>
      <c r="D777" s="1">
        <v>0</v>
      </c>
      <c r="E777" s="1">
        <v>0</v>
      </c>
    </row>
    <row r="778" spans="1:5" ht="13" x14ac:dyDescent="0.15">
      <c r="A778" s="1">
        <v>0</v>
      </c>
      <c r="B778" s="1">
        <v>0</v>
      </c>
      <c r="C778" s="1">
        <v>0</v>
      </c>
      <c r="D778" s="1">
        <v>0</v>
      </c>
      <c r="E778" s="1">
        <v>0</v>
      </c>
    </row>
    <row r="779" spans="1:5" ht="13" x14ac:dyDescent="0.15">
      <c r="A779" s="1">
        <v>0</v>
      </c>
      <c r="B779" s="1">
        <v>0</v>
      </c>
      <c r="C779" s="1">
        <v>0</v>
      </c>
      <c r="D779" s="1">
        <v>0</v>
      </c>
      <c r="E779" s="1">
        <v>0</v>
      </c>
    </row>
    <row r="780" spans="1:5" ht="13" x14ac:dyDescent="0.15">
      <c r="A780" s="1">
        <v>0</v>
      </c>
      <c r="B780" s="1">
        <v>0</v>
      </c>
      <c r="C780" s="1">
        <v>0</v>
      </c>
      <c r="D780" s="1">
        <v>0</v>
      </c>
      <c r="E780" s="1">
        <v>0</v>
      </c>
    </row>
    <row r="781" spans="1:5" ht="13" x14ac:dyDescent="0.15">
      <c r="A781" s="1">
        <v>0</v>
      </c>
      <c r="B781" s="1">
        <v>0</v>
      </c>
      <c r="C781" s="1">
        <v>0</v>
      </c>
      <c r="D781" s="1">
        <v>0</v>
      </c>
      <c r="E781" s="1">
        <v>0</v>
      </c>
    </row>
    <row r="782" spans="1:5" ht="13" x14ac:dyDescent="0.15">
      <c r="A782" s="1">
        <v>0</v>
      </c>
      <c r="B782" s="1">
        <v>0</v>
      </c>
      <c r="C782" s="1">
        <v>0</v>
      </c>
      <c r="D782" s="1">
        <v>0</v>
      </c>
      <c r="E782" s="1">
        <v>0</v>
      </c>
    </row>
    <row r="783" spans="1:5" ht="13" x14ac:dyDescent="0.15">
      <c r="A783" s="1">
        <v>0</v>
      </c>
      <c r="B783" s="1">
        <v>0</v>
      </c>
      <c r="C783" s="1">
        <v>0</v>
      </c>
      <c r="D783" s="1">
        <v>0</v>
      </c>
      <c r="E783" s="1">
        <v>0</v>
      </c>
    </row>
    <row r="784" spans="1:5" ht="13" x14ac:dyDescent="0.15">
      <c r="A784" s="1">
        <v>0</v>
      </c>
      <c r="B784" s="1">
        <v>0</v>
      </c>
      <c r="C784" s="1">
        <v>0</v>
      </c>
      <c r="D784" s="1">
        <v>0</v>
      </c>
      <c r="E784" s="1">
        <v>0</v>
      </c>
    </row>
    <row r="785" spans="1:5" ht="13" x14ac:dyDescent="0.15">
      <c r="A785" s="1">
        <v>0</v>
      </c>
      <c r="B785" s="1">
        <v>0</v>
      </c>
      <c r="C785" s="1">
        <v>0</v>
      </c>
      <c r="D785" s="1">
        <v>0</v>
      </c>
      <c r="E785" s="1">
        <v>0</v>
      </c>
    </row>
    <row r="786" spans="1:5" ht="13" x14ac:dyDescent="0.15">
      <c r="A786" s="1">
        <v>0</v>
      </c>
      <c r="B786" s="1">
        <v>0</v>
      </c>
      <c r="C786" s="1">
        <v>0</v>
      </c>
      <c r="D786" s="1">
        <v>0</v>
      </c>
      <c r="E786" s="1">
        <v>0</v>
      </c>
    </row>
    <row r="787" spans="1:5" ht="13" x14ac:dyDescent="0.15">
      <c r="A787" s="1">
        <v>0</v>
      </c>
      <c r="B787" s="1">
        <v>0</v>
      </c>
      <c r="C787" s="1">
        <v>0</v>
      </c>
      <c r="D787" s="1">
        <v>0</v>
      </c>
      <c r="E787" s="1">
        <v>0</v>
      </c>
    </row>
    <row r="788" spans="1:5" ht="13" x14ac:dyDescent="0.15">
      <c r="A788" s="1">
        <v>0</v>
      </c>
      <c r="B788" s="1">
        <v>0</v>
      </c>
      <c r="C788" s="1">
        <v>0</v>
      </c>
      <c r="D788" s="1">
        <v>0</v>
      </c>
      <c r="E788" s="1">
        <v>0</v>
      </c>
    </row>
    <row r="789" spans="1:5" ht="13" x14ac:dyDescent="0.15">
      <c r="A789" s="1">
        <v>0</v>
      </c>
      <c r="B789" s="1">
        <v>0</v>
      </c>
      <c r="C789" s="1">
        <v>0</v>
      </c>
      <c r="D789" s="1">
        <v>0</v>
      </c>
      <c r="E789" s="1">
        <v>0</v>
      </c>
    </row>
    <row r="790" spans="1:5" ht="13" x14ac:dyDescent="0.15">
      <c r="A790" s="1">
        <v>0</v>
      </c>
      <c r="B790" s="1">
        <v>0</v>
      </c>
      <c r="C790" s="1">
        <v>0</v>
      </c>
      <c r="D790" s="1">
        <v>0</v>
      </c>
      <c r="E790" s="1">
        <v>0</v>
      </c>
    </row>
    <row r="791" spans="1:5" ht="13" x14ac:dyDescent="0.15">
      <c r="A791" s="1">
        <v>0</v>
      </c>
      <c r="B791" s="1">
        <v>0</v>
      </c>
      <c r="C791" s="1">
        <v>0</v>
      </c>
      <c r="D791" s="1">
        <v>0</v>
      </c>
      <c r="E791" s="1">
        <v>0</v>
      </c>
    </row>
    <row r="792" spans="1:5" ht="13" x14ac:dyDescent="0.15">
      <c r="A792" s="1">
        <v>0</v>
      </c>
      <c r="B792" s="1">
        <v>0</v>
      </c>
      <c r="C792" s="1">
        <v>0</v>
      </c>
      <c r="D792" s="1">
        <v>0</v>
      </c>
      <c r="E792" s="1">
        <v>0</v>
      </c>
    </row>
    <row r="793" spans="1:5" ht="13" x14ac:dyDescent="0.15">
      <c r="A793" s="1">
        <v>0</v>
      </c>
      <c r="B793" s="1">
        <v>0</v>
      </c>
      <c r="C793" s="1">
        <v>0</v>
      </c>
      <c r="D793" s="1">
        <v>0</v>
      </c>
      <c r="E793" s="1">
        <v>0</v>
      </c>
    </row>
    <row r="794" spans="1:5" ht="13" x14ac:dyDescent="0.15">
      <c r="A794" s="1">
        <v>0</v>
      </c>
      <c r="B794" s="1">
        <v>0</v>
      </c>
      <c r="C794" s="1">
        <v>0</v>
      </c>
      <c r="D794" s="1">
        <v>0</v>
      </c>
      <c r="E794" s="1">
        <v>0</v>
      </c>
    </row>
    <row r="795" spans="1:5" ht="13" x14ac:dyDescent="0.15">
      <c r="A795" s="1">
        <v>0</v>
      </c>
      <c r="B795" s="1">
        <v>0</v>
      </c>
      <c r="C795" s="1">
        <v>0</v>
      </c>
      <c r="D795" s="1">
        <v>0</v>
      </c>
      <c r="E795" s="1">
        <v>0</v>
      </c>
    </row>
    <row r="796" spans="1:5" ht="13" x14ac:dyDescent="0.15">
      <c r="A796" s="1">
        <v>0</v>
      </c>
      <c r="B796" s="1">
        <v>0</v>
      </c>
      <c r="C796" s="1">
        <v>0</v>
      </c>
      <c r="D796" s="1">
        <v>0</v>
      </c>
      <c r="E796" s="1">
        <v>0</v>
      </c>
    </row>
    <row r="797" spans="1:5" ht="13" x14ac:dyDescent="0.15">
      <c r="A797" s="1">
        <v>0</v>
      </c>
      <c r="B797" s="1">
        <v>0</v>
      </c>
      <c r="C797" s="1">
        <v>0</v>
      </c>
      <c r="D797" s="1">
        <v>0</v>
      </c>
      <c r="E797" s="1">
        <v>0</v>
      </c>
    </row>
    <row r="798" spans="1:5" ht="13" x14ac:dyDescent="0.15">
      <c r="A798" s="1">
        <v>0</v>
      </c>
      <c r="B798" s="1">
        <v>0</v>
      </c>
      <c r="C798" s="1">
        <v>0</v>
      </c>
      <c r="D798" s="1">
        <v>0</v>
      </c>
      <c r="E798" s="1">
        <v>0</v>
      </c>
    </row>
    <row r="799" spans="1:5" ht="13" x14ac:dyDescent="0.15">
      <c r="A799" s="1">
        <v>0</v>
      </c>
      <c r="B799" s="1">
        <v>0</v>
      </c>
      <c r="C799" s="1">
        <v>0</v>
      </c>
      <c r="D799" s="1">
        <v>0</v>
      </c>
      <c r="E799" s="1">
        <v>0</v>
      </c>
    </row>
    <row r="800" spans="1:5" ht="13" x14ac:dyDescent="0.15">
      <c r="A800" s="1">
        <v>0</v>
      </c>
      <c r="B800" s="1">
        <v>0</v>
      </c>
      <c r="C800" s="1">
        <v>0</v>
      </c>
      <c r="D800" s="1">
        <v>0</v>
      </c>
      <c r="E800" s="1">
        <v>0</v>
      </c>
    </row>
    <row r="801" spans="1:5" ht="13" x14ac:dyDescent="0.15">
      <c r="A801" s="1">
        <v>0</v>
      </c>
      <c r="B801" s="1">
        <v>0</v>
      </c>
      <c r="C801" s="1">
        <v>0</v>
      </c>
      <c r="D801" s="1">
        <v>0</v>
      </c>
      <c r="E801" s="1">
        <v>0</v>
      </c>
    </row>
    <row r="802" spans="1:5" ht="13" x14ac:dyDescent="0.15">
      <c r="A802" s="1">
        <v>0</v>
      </c>
      <c r="B802" s="1">
        <v>0</v>
      </c>
      <c r="C802" s="1">
        <v>0</v>
      </c>
      <c r="D802" s="1">
        <v>0</v>
      </c>
      <c r="E802" s="1">
        <v>0</v>
      </c>
    </row>
    <row r="803" spans="1:5" ht="13" x14ac:dyDescent="0.15">
      <c r="A803" s="1">
        <v>0</v>
      </c>
      <c r="B803" s="1">
        <v>0</v>
      </c>
      <c r="C803" s="1">
        <v>0</v>
      </c>
      <c r="D803" s="1">
        <v>0</v>
      </c>
      <c r="E803" s="1">
        <v>0</v>
      </c>
    </row>
    <row r="804" spans="1:5" ht="13" x14ac:dyDescent="0.15">
      <c r="A804" s="1">
        <v>0</v>
      </c>
      <c r="B804" s="1">
        <v>0</v>
      </c>
      <c r="C804" s="1">
        <v>0</v>
      </c>
      <c r="D804" s="1">
        <v>0</v>
      </c>
      <c r="E804" s="1">
        <v>0</v>
      </c>
    </row>
    <row r="805" spans="1:5" ht="13" x14ac:dyDescent="0.15">
      <c r="A805" s="1">
        <v>0</v>
      </c>
      <c r="B805" s="1">
        <v>0</v>
      </c>
      <c r="C805" s="1">
        <v>0</v>
      </c>
      <c r="D805" s="1">
        <v>0</v>
      </c>
      <c r="E805" s="1">
        <v>0</v>
      </c>
    </row>
    <row r="806" spans="1:5" ht="13" x14ac:dyDescent="0.15">
      <c r="A806" s="1">
        <v>0</v>
      </c>
      <c r="B806" s="1">
        <v>0</v>
      </c>
      <c r="C806" s="1">
        <v>0</v>
      </c>
      <c r="D806" s="1">
        <v>0</v>
      </c>
      <c r="E806" s="1">
        <v>0</v>
      </c>
    </row>
    <row r="807" spans="1:5" ht="13" x14ac:dyDescent="0.15">
      <c r="A807" s="1">
        <v>0</v>
      </c>
      <c r="B807" s="1">
        <v>0</v>
      </c>
      <c r="C807" s="1">
        <v>0</v>
      </c>
      <c r="D807" s="1">
        <v>0</v>
      </c>
      <c r="E807" s="1">
        <v>0</v>
      </c>
    </row>
    <row r="808" spans="1:5" ht="13" x14ac:dyDescent="0.15">
      <c r="A808" s="1">
        <v>0</v>
      </c>
      <c r="B808" s="1">
        <v>0</v>
      </c>
      <c r="C808" s="1">
        <v>0</v>
      </c>
      <c r="D808" s="1">
        <v>0</v>
      </c>
      <c r="E808" s="1">
        <v>0</v>
      </c>
    </row>
    <row r="809" spans="1:5" ht="13" x14ac:dyDescent="0.15">
      <c r="A809" s="1">
        <v>0</v>
      </c>
      <c r="B809" s="1">
        <v>0</v>
      </c>
      <c r="C809" s="1">
        <v>0</v>
      </c>
      <c r="D809" s="1">
        <v>0</v>
      </c>
      <c r="E809" s="1">
        <v>0</v>
      </c>
    </row>
    <row r="810" spans="1:5" ht="13" x14ac:dyDescent="0.15">
      <c r="A810" s="1">
        <v>0</v>
      </c>
      <c r="B810" s="1">
        <v>0</v>
      </c>
      <c r="C810" s="1">
        <v>0</v>
      </c>
      <c r="D810" s="1">
        <v>0</v>
      </c>
      <c r="E810" s="1">
        <v>0</v>
      </c>
    </row>
    <row r="811" spans="1:5" ht="13" x14ac:dyDescent="0.15">
      <c r="A811" s="1">
        <v>0</v>
      </c>
      <c r="B811" s="1">
        <v>0</v>
      </c>
      <c r="C811" s="1">
        <v>0</v>
      </c>
      <c r="D811" s="1">
        <v>0</v>
      </c>
      <c r="E811" s="1">
        <v>0</v>
      </c>
    </row>
    <row r="812" spans="1:5" ht="13" x14ac:dyDescent="0.15">
      <c r="A812" s="1">
        <v>0</v>
      </c>
      <c r="B812" s="1">
        <v>0</v>
      </c>
      <c r="C812" s="1">
        <v>0</v>
      </c>
      <c r="D812" s="1">
        <v>0</v>
      </c>
      <c r="E812" s="1">
        <v>0</v>
      </c>
    </row>
    <row r="813" spans="1:5" ht="13" x14ac:dyDescent="0.15">
      <c r="A813" s="1">
        <v>0</v>
      </c>
      <c r="B813" s="1">
        <v>0</v>
      </c>
      <c r="C813" s="1">
        <v>0</v>
      </c>
      <c r="D813" s="1">
        <v>0</v>
      </c>
      <c r="E813" s="1">
        <v>0</v>
      </c>
    </row>
    <row r="814" spans="1:5" ht="13" x14ac:dyDescent="0.15">
      <c r="A814" s="1">
        <v>0</v>
      </c>
      <c r="B814" s="1">
        <v>0</v>
      </c>
      <c r="C814" s="1">
        <v>0</v>
      </c>
      <c r="D814" s="1">
        <v>0</v>
      </c>
      <c r="E814" s="1">
        <v>0</v>
      </c>
    </row>
    <row r="815" spans="1:5" ht="13" x14ac:dyDescent="0.15">
      <c r="A815" s="1">
        <v>0</v>
      </c>
      <c r="B815" s="1">
        <v>0</v>
      </c>
      <c r="C815" s="1">
        <v>0</v>
      </c>
      <c r="D815" s="1">
        <v>0</v>
      </c>
      <c r="E815" s="1">
        <v>0</v>
      </c>
    </row>
    <row r="816" spans="1:5" ht="13" x14ac:dyDescent="0.15">
      <c r="A816" s="1">
        <v>0</v>
      </c>
      <c r="B816" s="1">
        <v>0</v>
      </c>
      <c r="C816" s="1">
        <v>0</v>
      </c>
      <c r="D816" s="1">
        <v>0</v>
      </c>
      <c r="E816" s="1">
        <v>0</v>
      </c>
    </row>
    <row r="817" spans="1:5" ht="13" x14ac:dyDescent="0.15">
      <c r="A817" s="1">
        <v>0</v>
      </c>
      <c r="B817" s="1">
        <v>0</v>
      </c>
      <c r="C817" s="1">
        <v>0</v>
      </c>
      <c r="D817" s="1">
        <v>0</v>
      </c>
      <c r="E817" s="1">
        <v>0</v>
      </c>
    </row>
    <row r="818" spans="1:5" ht="13" x14ac:dyDescent="0.15">
      <c r="A818" s="1">
        <v>0</v>
      </c>
      <c r="B818" s="1">
        <v>0</v>
      </c>
      <c r="C818" s="1">
        <v>0</v>
      </c>
      <c r="D818" s="1">
        <v>0</v>
      </c>
      <c r="E818" s="1">
        <v>0</v>
      </c>
    </row>
    <row r="819" spans="1:5" ht="13" x14ac:dyDescent="0.15">
      <c r="A819" s="1">
        <v>0</v>
      </c>
      <c r="B819" s="1">
        <v>0</v>
      </c>
      <c r="C819" s="1">
        <v>0</v>
      </c>
      <c r="D819" s="1">
        <v>0</v>
      </c>
      <c r="E819" s="1">
        <v>0</v>
      </c>
    </row>
    <row r="820" spans="1:5" ht="13" x14ac:dyDescent="0.15">
      <c r="A820" s="1">
        <v>0</v>
      </c>
      <c r="B820" s="1">
        <v>0</v>
      </c>
      <c r="C820" s="1">
        <v>0</v>
      </c>
      <c r="D820" s="1">
        <v>0</v>
      </c>
      <c r="E820" s="1">
        <v>0</v>
      </c>
    </row>
    <row r="821" spans="1:5" ht="13" x14ac:dyDescent="0.15">
      <c r="A821" s="1">
        <v>0</v>
      </c>
      <c r="B821" s="1">
        <v>0</v>
      </c>
      <c r="C821" s="1">
        <v>0</v>
      </c>
      <c r="D821" s="1">
        <v>0</v>
      </c>
      <c r="E821" s="1">
        <v>0</v>
      </c>
    </row>
    <row r="822" spans="1:5" ht="13" x14ac:dyDescent="0.15">
      <c r="A822" s="1">
        <v>0</v>
      </c>
      <c r="B822" s="1">
        <v>0</v>
      </c>
      <c r="C822" s="1">
        <v>0</v>
      </c>
      <c r="D822" s="1">
        <v>0</v>
      </c>
      <c r="E822" s="1">
        <v>0</v>
      </c>
    </row>
    <row r="823" spans="1:5" ht="13" x14ac:dyDescent="0.15">
      <c r="A823" s="1">
        <v>0</v>
      </c>
      <c r="B823" s="1">
        <v>0</v>
      </c>
      <c r="C823" s="1">
        <v>0</v>
      </c>
      <c r="D823" s="1">
        <v>0</v>
      </c>
      <c r="E823" s="1">
        <v>0</v>
      </c>
    </row>
    <row r="824" spans="1:5" ht="13" x14ac:dyDescent="0.15">
      <c r="A824" s="1">
        <v>0</v>
      </c>
      <c r="B824" s="1">
        <v>0</v>
      </c>
      <c r="C824" s="1">
        <v>0</v>
      </c>
      <c r="D824" s="1">
        <v>0</v>
      </c>
      <c r="E824" s="1">
        <v>0</v>
      </c>
    </row>
    <row r="825" spans="1:5" ht="13" x14ac:dyDescent="0.15">
      <c r="A825" s="1">
        <v>0</v>
      </c>
      <c r="B825" s="1">
        <v>0</v>
      </c>
      <c r="C825" s="1">
        <v>0</v>
      </c>
      <c r="D825" s="1">
        <v>0</v>
      </c>
      <c r="E825" s="1">
        <v>0</v>
      </c>
    </row>
    <row r="826" spans="1:5" ht="13" x14ac:dyDescent="0.15">
      <c r="A826" s="1">
        <v>0</v>
      </c>
      <c r="B826" s="1">
        <v>0</v>
      </c>
      <c r="C826" s="1">
        <v>0</v>
      </c>
      <c r="D826" s="1">
        <v>0</v>
      </c>
      <c r="E826" s="1">
        <v>0</v>
      </c>
    </row>
    <row r="827" spans="1:5" ht="13" x14ac:dyDescent="0.15">
      <c r="A827" s="1">
        <v>0</v>
      </c>
      <c r="B827" s="1">
        <v>0</v>
      </c>
      <c r="C827" s="1">
        <v>0</v>
      </c>
      <c r="D827" s="1">
        <v>0</v>
      </c>
      <c r="E827" s="1">
        <v>0</v>
      </c>
    </row>
    <row r="828" spans="1:5" ht="13" x14ac:dyDescent="0.15">
      <c r="A828" s="1">
        <v>0</v>
      </c>
      <c r="B828" s="1">
        <v>0</v>
      </c>
      <c r="C828" s="1">
        <v>0</v>
      </c>
      <c r="D828" s="1">
        <v>0</v>
      </c>
      <c r="E828" s="1">
        <v>0</v>
      </c>
    </row>
    <row r="829" spans="1:5" ht="13" x14ac:dyDescent="0.15">
      <c r="A829" s="1">
        <v>0</v>
      </c>
      <c r="B829" s="1">
        <v>0</v>
      </c>
      <c r="C829" s="1">
        <v>0</v>
      </c>
      <c r="D829" s="1">
        <v>0</v>
      </c>
      <c r="E829" s="1">
        <v>0</v>
      </c>
    </row>
    <row r="830" spans="1:5" ht="13" x14ac:dyDescent="0.15">
      <c r="A830" s="1">
        <v>0</v>
      </c>
      <c r="B830" s="1">
        <v>0</v>
      </c>
      <c r="C830" s="1">
        <v>0</v>
      </c>
      <c r="D830" s="1">
        <v>0</v>
      </c>
      <c r="E830" s="1">
        <v>0</v>
      </c>
    </row>
    <row r="831" spans="1:5" ht="13" x14ac:dyDescent="0.15">
      <c r="A831" s="1">
        <v>0</v>
      </c>
      <c r="B831" s="1">
        <v>0</v>
      </c>
      <c r="C831" s="1">
        <v>0</v>
      </c>
      <c r="D831" s="1">
        <v>0</v>
      </c>
      <c r="E831" s="1">
        <v>0</v>
      </c>
    </row>
    <row r="832" spans="1:5" ht="13" x14ac:dyDescent="0.15">
      <c r="A832" s="1">
        <v>0</v>
      </c>
      <c r="B832" s="1">
        <v>0</v>
      </c>
      <c r="C832" s="1">
        <v>0</v>
      </c>
      <c r="D832" s="1">
        <v>0</v>
      </c>
      <c r="E832" s="1">
        <v>0</v>
      </c>
    </row>
    <row r="833" spans="1:5" ht="13" x14ac:dyDescent="0.15">
      <c r="A833" s="1">
        <v>0</v>
      </c>
      <c r="B833" s="1">
        <v>0</v>
      </c>
      <c r="C833" s="1">
        <v>0</v>
      </c>
      <c r="D833" s="1">
        <v>0</v>
      </c>
      <c r="E833" s="1">
        <v>0</v>
      </c>
    </row>
    <row r="834" spans="1:5" ht="13" x14ac:dyDescent="0.15">
      <c r="A834" s="1">
        <v>0</v>
      </c>
      <c r="B834" s="1">
        <v>0</v>
      </c>
      <c r="C834" s="1">
        <v>0</v>
      </c>
      <c r="D834" s="1">
        <v>0</v>
      </c>
      <c r="E834" s="1">
        <v>0</v>
      </c>
    </row>
    <row r="835" spans="1:5" ht="13" x14ac:dyDescent="0.15">
      <c r="A835" s="1">
        <v>0</v>
      </c>
      <c r="B835" s="1">
        <v>0</v>
      </c>
      <c r="C835" s="1">
        <v>0</v>
      </c>
      <c r="D835" s="1">
        <v>0</v>
      </c>
      <c r="E835" s="1">
        <v>0</v>
      </c>
    </row>
    <row r="836" spans="1:5" ht="13" x14ac:dyDescent="0.15">
      <c r="A836" s="1">
        <v>0</v>
      </c>
      <c r="B836" s="1">
        <v>0</v>
      </c>
      <c r="C836" s="1">
        <v>0</v>
      </c>
      <c r="D836" s="1">
        <v>0</v>
      </c>
      <c r="E836" s="1">
        <v>0</v>
      </c>
    </row>
    <row r="837" spans="1:5" ht="13" x14ac:dyDescent="0.15">
      <c r="A837" s="1">
        <v>0</v>
      </c>
      <c r="B837" s="1">
        <v>0</v>
      </c>
      <c r="C837" s="1">
        <v>0</v>
      </c>
      <c r="D837" s="1">
        <v>0</v>
      </c>
      <c r="E837" s="1">
        <v>0</v>
      </c>
    </row>
    <row r="838" spans="1:5" ht="13" x14ac:dyDescent="0.15">
      <c r="A838" s="1">
        <v>0</v>
      </c>
      <c r="B838" s="1">
        <v>0</v>
      </c>
      <c r="C838" s="1">
        <v>0</v>
      </c>
      <c r="D838" s="1">
        <v>0</v>
      </c>
      <c r="E838" s="1">
        <v>0</v>
      </c>
    </row>
    <row r="839" spans="1:5" ht="13" x14ac:dyDescent="0.15">
      <c r="A839" s="1">
        <v>0</v>
      </c>
      <c r="B839" s="1">
        <v>0</v>
      </c>
      <c r="C839" s="1">
        <v>0</v>
      </c>
      <c r="D839" s="1">
        <v>0</v>
      </c>
      <c r="E839" s="1">
        <v>0</v>
      </c>
    </row>
    <row r="840" spans="1:5" ht="13" x14ac:dyDescent="0.15">
      <c r="A840" s="1">
        <v>0</v>
      </c>
      <c r="B840" s="1">
        <v>0</v>
      </c>
      <c r="C840" s="1">
        <v>0</v>
      </c>
      <c r="D840" s="1">
        <v>0</v>
      </c>
      <c r="E840" s="1">
        <v>0</v>
      </c>
    </row>
    <row r="841" spans="1:5" ht="13" x14ac:dyDescent="0.15">
      <c r="A841" s="1">
        <v>0</v>
      </c>
      <c r="B841" s="1">
        <v>0</v>
      </c>
      <c r="C841" s="1">
        <v>0</v>
      </c>
      <c r="D841" s="1">
        <v>0</v>
      </c>
      <c r="E841" s="1">
        <v>0</v>
      </c>
    </row>
    <row r="842" spans="1:5" ht="13" x14ac:dyDescent="0.15">
      <c r="A842" s="1">
        <v>0</v>
      </c>
      <c r="B842" s="1">
        <v>0</v>
      </c>
      <c r="C842" s="1">
        <v>0</v>
      </c>
      <c r="D842" s="1">
        <v>0</v>
      </c>
      <c r="E842" s="1">
        <v>0</v>
      </c>
    </row>
    <row r="843" spans="1:5" ht="13" x14ac:dyDescent="0.15">
      <c r="A843" s="1">
        <v>0</v>
      </c>
      <c r="B843" s="1">
        <v>0</v>
      </c>
      <c r="C843" s="1">
        <v>0</v>
      </c>
      <c r="D843" s="1">
        <v>0</v>
      </c>
      <c r="E843" s="1">
        <v>0</v>
      </c>
    </row>
    <row r="844" spans="1:5" ht="13" x14ac:dyDescent="0.15">
      <c r="A844" s="1">
        <v>0</v>
      </c>
      <c r="B844" s="1">
        <v>0</v>
      </c>
      <c r="C844" s="1">
        <v>0</v>
      </c>
      <c r="D844" s="1">
        <v>0</v>
      </c>
      <c r="E844" s="1">
        <v>0</v>
      </c>
    </row>
    <row r="845" spans="1:5" ht="13" x14ac:dyDescent="0.15">
      <c r="A845" s="1">
        <v>0</v>
      </c>
      <c r="B845" s="1">
        <v>0</v>
      </c>
      <c r="C845" s="1">
        <v>0</v>
      </c>
      <c r="D845" s="1">
        <v>0</v>
      </c>
      <c r="E845" s="1">
        <v>0</v>
      </c>
    </row>
    <row r="846" spans="1:5" ht="13" x14ac:dyDescent="0.15">
      <c r="A846" s="1">
        <v>0</v>
      </c>
      <c r="B846" s="1">
        <v>0</v>
      </c>
      <c r="C846" s="1">
        <v>0</v>
      </c>
      <c r="D846" s="1">
        <v>0</v>
      </c>
      <c r="E846" s="1">
        <v>0</v>
      </c>
    </row>
    <row r="847" spans="1:5" ht="13" x14ac:dyDescent="0.15">
      <c r="A847" s="1">
        <v>0</v>
      </c>
      <c r="B847" s="1">
        <v>0</v>
      </c>
      <c r="C847" s="1">
        <v>0</v>
      </c>
      <c r="D847" s="1">
        <v>0</v>
      </c>
      <c r="E847" s="1">
        <v>0</v>
      </c>
    </row>
    <row r="848" spans="1:5" ht="13" x14ac:dyDescent="0.15">
      <c r="A848" s="1">
        <v>0</v>
      </c>
      <c r="B848" s="1">
        <v>0</v>
      </c>
      <c r="C848" s="1">
        <v>0</v>
      </c>
      <c r="D848" s="1">
        <v>0</v>
      </c>
      <c r="E848" s="1">
        <v>0</v>
      </c>
    </row>
    <row r="849" spans="1:5" ht="13" x14ac:dyDescent="0.15">
      <c r="A849" s="1">
        <v>0</v>
      </c>
      <c r="B849" s="1">
        <v>0</v>
      </c>
      <c r="C849" s="1">
        <v>0</v>
      </c>
      <c r="D849" s="1">
        <v>0</v>
      </c>
      <c r="E849" s="1">
        <v>0</v>
      </c>
    </row>
    <row r="850" spans="1:5" ht="13" x14ac:dyDescent="0.15">
      <c r="A850" s="1">
        <v>0</v>
      </c>
      <c r="B850" s="1">
        <v>0</v>
      </c>
      <c r="C850" s="1">
        <v>0</v>
      </c>
      <c r="D850" s="1">
        <v>0</v>
      </c>
      <c r="E850" s="1">
        <v>0</v>
      </c>
    </row>
    <row r="851" spans="1:5" ht="13" x14ac:dyDescent="0.15">
      <c r="A851" s="1">
        <v>0</v>
      </c>
      <c r="B851" s="1">
        <v>0</v>
      </c>
      <c r="C851" s="1">
        <v>0</v>
      </c>
      <c r="D851" s="1">
        <v>0</v>
      </c>
      <c r="E851" s="1">
        <v>0</v>
      </c>
    </row>
    <row r="852" spans="1:5" ht="13" x14ac:dyDescent="0.15">
      <c r="A852" s="1">
        <v>0</v>
      </c>
      <c r="B852" s="1">
        <v>0</v>
      </c>
      <c r="C852" s="1">
        <v>0</v>
      </c>
      <c r="D852" s="1">
        <v>0</v>
      </c>
      <c r="E852" s="1">
        <v>0</v>
      </c>
    </row>
    <row r="853" spans="1:5" ht="13" x14ac:dyDescent="0.15">
      <c r="A853" s="1">
        <v>0</v>
      </c>
      <c r="B853" s="1">
        <v>0</v>
      </c>
      <c r="C853" s="1">
        <v>0</v>
      </c>
      <c r="D853" s="1">
        <v>0</v>
      </c>
      <c r="E853" s="1">
        <v>0</v>
      </c>
    </row>
    <row r="854" spans="1:5" ht="13" x14ac:dyDescent="0.15">
      <c r="A854" s="1">
        <v>0</v>
      </c>
      <c r="B854" s="1">
        <v>0</v>
      </c>
      <c r="C854" s="1">
        <v>0</v>
      </c>
      <c r="D854" s="1">
        <v>0</v>
      </c>
      <c r="E854" s="1">
        <v>0</v>
      </c>
    </row>
    <row r="855" spans="1:5" ht="13" x14ac:dyDescent="0.15">
      <c r="A855" s="1">
        <v>0</v>
      </c>
      <c r="B855" s="1">
        <v>0</v>
      </c>
      <c r="C855" s="1">
        <v>0</v>
      </c>
      <c r="D855" s="1">
        <v>0</v>
      </c>
      <c r="E855" s="1">
        <v>0</v>
      </c>
    </row>
    <row r="856" spans="1:5" ht="13" x14ac:dyDescent="0.15">
      <c r="A856" s="1">
        <v>0</v>
      </c>
      <c r="B856" s="1">
        <v>0</v>
      </c>
      <c r="C856" s="1">
        <v>0</v>
      </c>
      <c r="D856" s="1">
        <v>0</v>
      </c>
      <c r="E856" s="1">
        <v>0</v>
      </c>
    </row>
    <row r="857" spans="1:5" ht="13" x14ac:dyDescent="0.15">
      <c r="A857" s="1">
        <v>0</v>
      </c>
      <c r="B857" s="1">
        <v>0</v>
      </c>
      <c r="C857" s="1">
        <v>0</v>
      </c>
      <c r="D857" s="1">
        <v>0</v>
      </c>
      <c r="E857" s="1">
        <v>0</v>
      </c>
    </row>
    <row r="858" spans="1:5" ht="13" x14ac:dyDescent="0.15">
      <c r="A858" s="1">
        <v>0</v>
      </c>
      <c r="B858" s="1">
        <v>0</v>
      </c>
      <c r="C858" s="1">
        <v>0</v>
      </c>
      <c r="D858" s="1">
        <v>0</v>
      </c>
      <c r="E858" s="1">
        <v>0</v>
      </c>
    </row>
    <row r="859" spans="1:5" ht="13" x14ac:dyDescent="0.15">
      <c r="A859" s="1">
        <v>0</v>
      </c>
      <c r="B859" s="1">
        <v>0</v>
      </c>
      <c r="C859" s="1">
        <v>0</v>
      </c>
      <c r="D859" s="1">
        <v>0</v>
      </c>
      <c r="E859" s="1">
        <v>0</v>
      </c>
    </row>
    <row r="860" spans="1:5" ht="13" x14ac:dyDescent="0.15">
      <c r="A860" s="1">
        <v>0</v>
      </c>
      <c r="B860" s="1">
        <v>0</v>
      </c>
      <c r="C860" s="1">
        <v>0</v>
      </c>
      <c r="D860" s="1">
        <v>0</v>
      </c>
      <c r="E860" s="1">
        <v>0</v>
      </c>
    </row>
    <row r="861" spans="1:5" ht="13" x14ac:dyDescent="0.15">
      <c r="A861" s="1">
        <v>0</v>
      </c>
      <c r="B861" s="1">
        <v>0</v>
      </c>
      <c r="C861" s="1">
        <v>0</v>
      </c>
      <c r="D861" s="1">
        <v>0</v>
      </c>
      <c r="E861" s="1">
        <v>0</v>
      </c>
    </row>
    <row r="862" spans="1:5" ht="13" x14ac:dyDescent="0.15">
      <c r="A862" s="1">
        <v>0</v>
      </c>
      <c r="B862" s="1">
        <v>0</v>
      </c>
      <c r="C862" s="1">
        <v>0</v>
      </c>
      <c r="D862" s="1">
        <v>0</v>
      </c>
      <c r="E862" s="1">
        <v>0</v>
      </c>
    </row>
    <row r="863" spans="1:5" ht="13" x14ac:dyDescent="0.15">
      <c r="A863" s="1">
        <v>0</v>
      </c>
      <c r="B863" s="1">
        <v>0</v>
      </c>
      <c r="C863" s="1">
        <v>0</v>
      </c>
      <c r="D863" s="1">
        <v>0</v>
      </c>
      <c r="E863" s="1">
        <v>0</v>
      </c>
    </row>
    <row r="864" spans="1:5" ht="13" x14ac:dyDescent="0.15">
      <c r="A864" s="1">
        <v>0</v>
      </c>
      <c r="B864" s="1">
        <v>0</v>
      </c>
      <c r="C864" s="1">
        <v>0</v>
      </c>
      <c r="D864" s="1">
        <v>0</v>
      </c>
      <c r="E864" s="1">
        <v>0</v>
      </c>
    </row>
    <row r="865" spans="1:5" ht="13" x14ac:dyDescent="0.15">
      <c r="A865" s="1">
        <v>0</v>
      </c>
      <c r="B865" s="1">
        <v>0</v>
      </c>
      <c r="C865" s="1">
        <v>0</v>
      </c>
      <c r="D865" s="1">
        <v>0</v>
      </c>
      <c r="E865" s="1">
        <v>0</v>
      </c>
    </row>
    <row r="866" spans="1:5" ht="13" x14ac:dyDescent="0.15">
      <c r="A866" s="1">
        <v>0</v>
      </c>
      <c r="B866" s="1">
        <v>0</v>
      </c>
      <c r="C866" s="1">
        <v>0</v>
      </c>
      <c r="D866" s="1">
        <v>0</v>
      </c>
      <c r="E866" s="1">
        <v>0</v>
      </c>
    </row>
    <row r="867" spans="1:5" ht="13" x14ac:dyDescent="0.15">
      <c r="A867" s="1">
        <v>0</v>
      </c>
      <c r="B867" s="1">
        <v>0</v>
      </c>
      <c r="C867" s="1">
        <v>0</v>
      </c>
      <c r="D867" s="1">
        <v>0</v>
      </c>
      <c r="E867" s="1">
        <v>0</v>
      </c>
    </row>
    <row r="868" spans="1:5" ht="13" x14ac:dyDescent="0.15">
      <c r="A868" s="1">
        <v>0</v>
      </c>
      <c r="B868" s="1">
        <v>0</v>
      </c>
      <c r="C868" s="1">
        <v>0</v>
      </c>
      <c r="D868" s="1">
        <v>0</v>
      </c>
      <c r="E868" s="1">
        <v>0</v>
      </c>
    </row>
    <row r="869" spans="1:5" ht="13" x14ac:dyDescent="0.15">
      <c r="A869" s="1">
        <v>0</v>
      </c>
      <c r="B869" s="1">
        <v>0</v>
      </c>
      <c r="C869" s="1">
        <v>0</v>
      </c>
      <c r="D869" s="1">
        <v>0</v>
      </c>
      <c r="E869" s="1">
        <v>0</v>
      </c>
    </row>
    <row r="870" spans="1:5" ht="13" x14ac:dyDescent="0.15">
      <c r="A870" s="1">
        <v>0</v>
      </c>
      <c r="B870" s="1">
        <v>0</v>
      </c>
      <c r="C870" s="1">
        <v>0</v>
      </c>
      <c r="D870" s="1">
        <v>0</v>
      </c>
      <c r="E870" s="1">
        <v>0</v>
      </c>
    </row>
    <row r="871" spans="1:5" ht="13" x14ac:dyDescent="0.15">
      <c r="A871" s="1">
        <v>0</v>
      </c>
      <c r="B871" s="1">
        <v>0</v>
      </c>
      <c r="C871" s="1">
        <v>0</v>
      </c>
      <c r="D871" s="1">
        <v>0</v>
      </c>
      <c r="E871" s="1">
        <v>0</v>
      </c>
    </row>
    <row r="872" spans="1:5" ht="13" x14ac:dyDescent="0.15">
      <c r="A872" s="1">
        <v>0</v>
      </c>
      <c r="B872" s="1">
        <v>0</v>
      </c>
      <c r="C872" s="1">
        <v>0</v>
      </c>
      <c r="D872" s="1">
        <v>0</v>
      </c>
      <c r="E872" s="1">
        <v>0</v>
      </c>
    </row>
    <row r="873" spans="1:5" ht="13" x14ac:dyDescent="0.15">
      <c r="A873" s="1">
        <v>0</v>
      </c>
      <c r="B873" s="1">
        <v>0</v>
      </c>
      <c r="C873" s="1">
        <v>0</v>
      </c>
      <c r="D873" s="1">
        <v>0</v>
      </c>
      <c r="E873" s="1">
        <v>0</v>
      </c>
    </row>
    <row r="874" spans="1:5" ht="13" x14ac:dyDescent="0.15">
      <c r="A874" s="1">
        <v>0</v>
      </c>
      <c r="B874" s="1">
        <v>0</v>
      </c>
      <c r="C874" s="1">
        <v>0</v>
      </c>
      <c r="D874" s="1">
        <v>0</v>
      </c>
      <c r="E874" s="1">
        <v>0</v>
      </c>
    </row>
    <row r="875" spans="1:5" ht="13" x14ac:dyDescent="0.15">
      <c r="A875" s="1">
        <v>0</v>
      </c>
      <c r="B875" s="1">
        <v>0</v>
      </c>
      <c r="C875" s="1">
        <v>0</v>
      </c>
      <c r="D875" s="1">
        <v>0</v>
      </c>
      <c r="E875" s="1">
        <v>0</v>
      </c>
    </row>
    <row r="876" spans="1:5" ht="13" x14ac:dyDescent="0.15">
      <c r="A876" s="1">
        <v>0</v>
      </c>
      <c r="B876" s="1">
        <v>0</v>
      </c>
      <c r="C876" s="1">
        <v>0</v>
      </c>
      <c r="D876" s="1">
        <v>0</v>
      </c>
      <c r="E876" s="1">
        <v>0</v>
      </c>
    </row>
    <row r="877" spans="1:5" ht="13" x14ac:dyDescent="0.15">
      <c r="A877" s="1">
        <v>0</v>
      </c>
      <c r="B877" s="1">
        <v>0</v>
      </c>
      <c r="C877" s="1">
        <v>0</v>
      </c>
      <c r="D877" s="1">
        <v>0</v>
      </c>
      <c r="E877" s="1">
        <v>0</v>
      </c>
    </row>
    <row r="878" spans="1:5" ht="13" x14ac:dyDescent="0.15">
      <c r="A878" s="1">
        <v>0</v>
      </c>
      <c r="B878" s="1">
        <v>0</v>
      </c>
      <c r="C878" s="1">
        <v>0</v>
      </c>
      <c r="D878" s="1">
        <v>0</v>
      </c>
      <c r="E878" s="1">
        <v>0</v>
      </c>
    </row>
    <row r="879" spans="1:5" ht="13" x14ac:dyDescent="0.15">
      <c r="A879" s="1">
        <v>0</v>
      </c>
      <c r="B879" s="1">
        <v>0</v>
      </c>
      <c r="C879" s="1">
        <v>0</v>
      </c>
      <c r="D879" s="1">
        <v>0</v>
      </c>
      <c r="E879" s="1">
        <v>0</v>
      </c>
    </row>
    <row r="880" spans="1:5" ht="13" x14ac:dyDescent="0.15">
      <c r="A880" s="1">
        <v>0</v>
      </c>
      <c r="B880" s="1">
        <v>0</v>
      </c>
      <c r="C880" s="1">
        <v>0</v>
      </c>
      <c r="D880" s="1">
        <v>0</v>
      </c>
      <c r="E880" s="1">
        <v>0</v>
      </c>
    </row>
    <row r="881" spans="1:5" ht="13" x14ac:dyDescent="0.15">
      <c r="A881" s="1">
        <v>0</v>
      </c>
      <c r="B881" s="1">
        <v>0</v>
      </c>
      <c r="C881" s="1">
        <v>0</v>
      </c>
      <c r="D881" s="1">
        <v>0</v>
      </c>
      <c r="E881" s="1">
        <v>0</v>
      </c>
    </row>
    <row r="882" spans="1:5" ht="13" x14ac:dyDescent="0.15">
      <c r="A882" s="1">
        <v>0</v>
      </c>
      <c r="B882" s="1">
        <v>0</v>
      </c>
      <c r="C882" s="1">
        <v>0</v>
      </c>
      <c r="D882" s="1">
        <v>0</v>
      </c>
      <c r="E882" s="1">
        <v>0</v>
      </c>
    </row>
    <row r="883" spans="1:5" ht="13" x14ac:dyDescent="0.15">
      <c r="A883" s="1">
        <v>0</v>
      </c>
      <c r="B883" s="1">
        <v>0</v>
      </c>
      <c r="C883" s="1">
        <v>0</v>
      </c>
      <c r="D883" s="1">
        <v>0</v>
      </c>
      <c r="E883" s="1">
        <v>0</v>
      </c>
    </row>
    <row r="884" spans="1:5" ht="13" x14ac:dyDescent="0.15">
      <c r="A884" s="1">
        <v>0</v>
      </c>
      <c r="B884" s="1">
        <v>0</v>
      </c>
      <c r="C884" s="1">
        <v>0</v>
      </c>
      <c r="D884" s="1">
        <v>0</v>
      </c>
      <c r="E884" s="1">
        <v>0</v>
      </c>
    </row>
    <row r="885" spans="1:5" ht="13" x14ac:dyDescent="0.15">
      <c r="A885" s="1">
        <v>0</v>
      </c>
      <c r="B885" s="1">
        <v>0</v>
      </c>
      <c r="C885" s="1">
        <v>0</v>
      </c>
      <c r="D885" s="1">
        <v>0</v>
      </c>
      <c r="E885" s="1">
        <v>0</v>
      </c>
    </row>
    <row r="886" spans="1:5" ht="13" x14ac:dyDescent="0.15">
      <c r="A886" s="1">
        <v>0</v>
      </c>
      <c r="B886" s="1">
        <v>0</v>
      </c>
      <c r="C886" s="1">
        <v>0</v>
      </c>
      <c r="D886" s="1">
        <v>0</v>
      </c>
      <c r="E886" s="1">
        <v>0</v>
      </c>
    </row>
    <row r="887" spans="1:5" ht="13" x14ac:dyDescent="0.15">
      <c r="A887" s="1">
        <v>0</v>
      </c>
      <c r="B887" s="1">
        <v>0</v>
      </c>
      <c r="C887" s="1">
        <v>0</v>
      </c>
      <c r="D887" s="1">
        <v>0</v>
      </c>
      <c r="E887" s="1">
        <v>0</v>
      </c>
    </row>
    <row r="888" spans="1:5" ht="13" x14ac:dyDescent="0.15">
      <c r="A888" s="1">
        <v>0</v>
      </c>
      <c r="B888" s="1">
        <v>0</v>
      </c>
      <c r="C888" s="1">
        <v>0</v>
      </c>
      <c r="D888" s="1">
        <v>0</v>
      </c>
      <c r="E888" s="1">
        <v>0</v>
      </c>
    </row>
    <row r="889" spans="1:5" ht="13" x14ac:dyDescent="0.15">
      <c r="A889" s="1">
        <v>0</v>
      </c>
      <c r="B889" s="1">
        <v>0</v>
      </c>
      <c r="C889" s="1">
        <v>0</v>
      </c>
      <c r="D889" s="1">
        <v>0</v>
      </c>
      <c r="E889" s="1">
        <v>0</v>
      </c>
    </row>
    <row r="890" spans="1:5" ht="13" x14ac:dyDescent="0.15">
      <c r="A890" s="1">
        <v>0</v>
      </c>
      <c r="B890" s="1">
        <v>0</v>
      </c>
      <c r="C890" s="1">
        <v>0</v>
      </c>
      <c r="D890" s="1">
        <v>0</v>
      </c>
      <c r="E890" s="1">
        <v>0</v>
      </c>
    </row>
    <row r="891" spans="1:5" ht="13" x14ac:dyDescent="0.15">
      <c r="A891" s="1">
        <v>0</v>
      </c>
      <c r="B891" s="1">
        <v>0</v>
      </c>
      <c r="C891" s="1">
        <v>0</v>
      </c>
      <c r="D891" s="1">
        <v>0</v>
      </c>
      <c r="E891" s="1">
        <v>0</v>
      </c>
    </row>
    <row r="892" spans="1:5" ht="13" x14ac:dyDescent="0.15">
      <c r="A892" s="1">
        <v>0</v>
      </c>
      <c r="B892" s="1">
        <v>0</v>
      </c>
      <c r="C892" s="1">
        <v>0</v>
      </c>
      <c r="D892" s="1">
        <v>0</v>
      </c>
      <c r="E892" s="1">
        <v>0</v>
      </c>
    </row>
    <row r="893" spans="1:5" ht="13" x14ac:dyDescent="0.15">
      <c r="A893" s="1">
        <v>0</v>
      </c>
      <c r="B893" s="1">
        <v>0</v>
      </c>
      <c r="C893" s="1">
        <v>0</v>
      </c>
      <c r="D893" s="1">
        <v>0</v>
      </c>
      <c r="E893" s="1">
        <v>0</v>
      </c>
    </row>
    <row r="894" spans="1:5" ht="13" x14ac:dyDescent="0.15">
      <c r="A894" s="1">
        <v>0</v>
      </c>
      <c r="B894" s="1">
        <v>0</v>
      </c>
      <c r="C894" s="1">
        <v>0</v>
      </c>
      <c r="D894" s="1">
        <v>0</v>
      </c>
      <c r="E894" s="1">
        <v>0</v>
      </c>
    </row>
    <row r="895" spans="1:5" ht="13" x14ac:dyDescent="0.15">
      <c r="A895" s="1">
        <v>0</v>
      </c>
      <c r="B895" s="1">
        <v>0</v>
      </c>
      <c r="C895" s="1">
        <v>0</v>
      </c>
      <c r="D895" s="1">
        <v>0</v>
      </c>
      <c r="E895" s="1">
        <v>0</v>
      </c>
    </row>
    <row r="896" spans="1:5" ht="13" x14ac:dyDescent="0.15">
      <c r="A896" s="1">
        <v>0</v>
      </c>
      <c r="B896" s="1">
        <v>0</v>
      </c>
      <c r="C896" s="1">
        <v>0</v>
      </c>
      <c r="D896" s="1">
        <v>0</v>
      </c>
      <c r="E896" s="1">
        <v>0</v>
      </c>
    </row>
    <row r="897" spans="1:5" ht="13" x14ac:dyDescent="0.15">
      <c r="A897" s="1">
        <v>0</v>
      </c>
      <c r="B897" s="1">
        <v>0</v>
      </c>
      <c r="C897" s="1">
        <v>0</v>
      </c>
      <c r="D897" s="1">
        <v>0</v>
      </c>
      <c r="E897" s="1">
        <v>0</v>
      </c>
    </row>
    <row r="898" spans="1:5" ht="13" x14ac:dyDescent="0.15">
      <c r="A898" s="1">
        <v>0</v>
      </c>
      <c r="B898" s="1">
        <v>0</v>
      </c>
      <c r="C898" s="1">
        <v>0</v>
      </c>
      <c r="D898" s="1">
        <v>0</v>
      </c>
      <c r="E898" s="1">
        <v>0</v>
      </c>
    </row>
    <row r="899" spans="1:5" ht="13" x14ac:dyDescent="0.15">
      <c r="A899" s="1">
        <v>0</v>
      </c>
      <c r="B899" s="1">
        <v>0</v>
      </c>
      <c r="C899" s="1">
        <v>0</v>
      </c>
      <c r="D899" s="1">
        <v>0</v>
      </c>
      <c r="E899" s="1">
        <v>0</v>
      </c>
    </row>
    <row r="900" spans="1:5" ht="13" x14ac:dyDescent="0.15">
      <c r="A900" s="1">
        <v>0</v>
      </c>
      <c r="B900" s="1">
        <v>0</v>
      </c>
      <c r="C900" s="1">
        <v>0</v>
      </c>
      <c r="D900" s="1">
        <v>0</v>
      </c>
      <c r="E900" s="1">
        <v>0</v>
      </c>
    </row>
    <row r="901" spans="1:5" ht="13" x14ac:dyDescent="0.15">
      <c r="A901" s="1">
        <v>0</v>
      </c>
      <c r="B901" s="1">
        <v>0</v>
      </c>
      <c r="C901" s="1">
        <v>0</v>
      </c>
      <c r="D901" s="1">
        <v>0</v>
      </c>
      <c r="E901" s="1">
        <v>0</v>
      </c>
    </row>
    <row r="902" spans="1:5" ht="13" x14ac:dyDescent="0.15">
      <c r="A902" s="1">
        <v>0</v>
      </c>
      <c r="B902" s="1">
        <v>0</v>
      </c>
      <c r="C902" s="1">
        <v>0</v>
      </c>
      <c r="D902" s="1">
        <v>0</v>
      </c>
      <c r="E902" s="1">
        <v>0</v>
      </c>
    </row>
    <row r="903" spans="1:5" ht="13" x14ac:dyDescent="0.15">
      <c r="A903" s="1">
        <v>0</v>
      </c>
      <c r="B903" s="1">
        <v>0</v>
      </c>
      <c r="C903" s="1">
        <v>0</v>
      </c>
      <c r="D903" s="1">
        <v>0</v>
      </c>
      <c r="E903" s="1">
        <v>0</v>
      </c>
    </row>
    <row r="904" spans="1:5" ht="13" x14ac:dyDescent="0.15">
      <c r="A904" s="1">
        <v>0</v>
      </c>
      <c r="B904" s="1">
        <v>0</v>
      </c>
      <c r="C904" s="1">
        <v>0</v>
      </c>
      <c r="D904" s="1">
        <v>0</v>
      </c>
      <c r="E904" s="1">
        <v>0</v>
      </c>
    </row>
    <row r="905" spans="1:5" ht="13" x14ac:dyDescent="0.15">
      <c r="A905" s="1">
        <v>0</v>
      </c>
      <c r="B905" s="1">
        <v>0</v>
      </c>
      <c r="C905" s="1">
        <v>0</v>
      </c>
      <c r="D905" s="1">
        <v>0</v>
      </c>
      <c r="E905" s="1">
        <v>0</v>
      </c>
    </row>
    <row r="906" spans="1:5" ht="13" x14ac:dyDescent="0.15">
      <c r="A906" s="1">
        <v>0</v>
      </c>
      <c r="B906" s="1">
        <v>0</v>
      </c>
      <c r="C906" s="1">
        <v>0</v>
      </c>
      <c r="D906" s="1">
        <v>0</v>
      </c>
      <c r="E906" s="1">
        <v>0</v>
      </c>
    </row>
    <row r="907" spans="1:5" ht="13" x14ac:dyDescent="0.15">
      <c r="A907" s="1">
        <v>0</v>
      </c>
      <c r="B907" s="1">
        <v>0</v>
      </c>
      <c r="C907" s="1">
        <v>0</v>
      </c>
      <c r="D907" s="1">
        <v>0</v>
      </c>
      <c r="E907" s="1">
        <v>0</v>
      </c>
    </row>
    <row r="908" spans="1:5" ht="13" x14ac:dyDescent="0.15">
      <c r="A908" s="1">
        <v>0</v>
      </c>
      <c r="B908" s="1">
        <v>0</v>
      </c>
      <c r="C908" s="1">
        <v>0</v>
      </c>
      <c r="D908" s="1">
        <v>0</v>
      </c>
      <c r="E908" s="1">
        <v>0</v>
      </c>
    </row>
    <row r="909" spans="1:5" ht="13" x14ac:dyDescent="0.15">
      <c r="A909" s="1">
        <v>0</v>
      </c>
      <c r="B909" s="1">
        <v>0</v>
      </c>
      <c r="C909" s="1">
        <v>0</v>
      </c>
      <c r="D909" s="1">
        <v>0</v>
      </c>
      <c r="E909" s="1">
        <v>0</v>
      </c>
    </row>
    <row r="910" spans="1:5" ht="13" x14ac:dyDescent="0.15">
      <c r="A910" s="1">
        <v>0</v>
      </c>
      <c r="B910" s="1">
        <v>0</v>
      </c>
      <c r="C910" s="1">
        <v>0</v>
      </c>
      <c r="D910" s="1">
        <v>0</v>
      </c>
      <c r="E910" s="1">
        <v>0</v>
      </c>
    </row>
    <row r="911" spans="1:5" ht="13" x14ac:dyDescent="0.15">
      <c r="A911" s="1">
        <v>0</v>
      </c>
      <c r="B911" s="1">
        <v>0</v>
      </c>
      <c r="C911" s="1">
        <v>0</v>
      </c>
      <c r="D911" s="1">
        <v>0</v>
      </c>
      <c r="E911" s="1">
        <v>0</v>
      </c>
    </row>
    <row r="912" spans="1:5" ht="13" x14ac:dyDescent="0.15">
      <c r="A912" s="1">
        <v>0</v>
      </c>
      <c r="B912" s="1">
        <v>0</v>
      </c>
      <c r="C912" s="1">
        <v>0</v>
      </c>
      <c r="D912" s="1">
        <v>0</v>
      </c>
      <c r="E912" s="1">
        <v>0</v>
      </c>
    </row>
    <row r="913" spans="1:5" ht="13" x14ac:dyDescent="0.15">
      <c r="A913" s="1">
        <v>0</v>
      </c>
      <c r="B913" s="1">
        <v>0</v>
      </c>
      <c r="C913" s="1">
        <v>0</v>
      </c>
      <c r="D913" s="1">
        <v>0</v>
      </c>
      <c r="E913" s="1">
        <v>0</v>
      </c>
    </row>
    <row r="914" spans="1:5" ht="13" x14ac:dyDescent="0.15">
      <c r="A914" s="1">
        <v>0</v>
      </c>
      <c r="B914" s="1">
        <v>0</v>
      </c>
      <c r="C914" s="1">
        <v>0</v>
      </c>
      <c r="D914" s="1">
        <v>0</v>
      </c>
      <c r="E914" s="1">
        <v>0</v>
      </c>
    </row>
    <row r="915" spans="1:5" ht="13" x14ac:dyDescent="0.15">
      <c r="A915" s="1">
        <v>0</v>
      </c>
      <c r="B915" s="1">
        <v>0</v>
      </c>
      <c r="C915" s="1">
        <v>0</v>
      </c>
      <c r="D915" s="1">
        <v>0</v>
      </c>
      <c r="E915" s="1">
        <v>0</v>
      </c>
    </row>
    <row r="916" spans="1:5" ht="13" x14ac:dyDescent="0.15">
      <c r="A916" s="1">
        <v>0</v>
      </c>
      <c r="B916" s="1">
        <v>0</v>
      </c>
      <c r="C916" s="1">
        <v>0</v>
      </c>
      <c r="D916" s="1">
        <v>0</v>
      </c>
      <c r="E916" s="1">
        <v>0</v>
      </c>
    </row>
    <row r="917" spans="1:5" ht="13" x14ac:dyDescent="0.15">
      <c r="A917" s="1">
        <v>0</v>
      </c>
      <c r="B917" s="1">
        <v>0</v>
      </c>
      <c r="C917" s="1">
        <v>0</v>
      </c>
      <c r="D917" s="1">
        <v>0</v>
      </c>
      <c r="E917" s="1">
        <v>0</v>
      </c>
    </row>
    <row r="918" spans="1:5" ht="13" x14ac:dyDescent="0.15">
      <c r="A918" s="1">
        <v>0</v>
      </c>
      <c r="B918" s="1">
        <v>0</v>
      </c>
      <c r="C918" s="1">
        <v>0</v>
      </c>
      <c r="D918" s="1">
        <v>0</v>
      </c>
      <c r="E918" s="1">
        <v>0</v>
      </c>
    </row>
    <row r="919" spans="1:5" ht="13" x14ac:dyDescent="0.15">
      <c r="A919" s="1">
        <v>0</v>
      </c>
      <c r="B919" s="1">
        <v>0</v>
      </c>
      <c r="C919" s="1">
        <v>0</v>
      </c>
      <c r="D919" s="1">
        <v>0</v>
      </c>
      <c r="E919" s="1">
        <v>0</v>
      </c>
    </row>
    <row r="920" spans="1:5" ht="13" x14ac:dyDescent="0.15">
      <c r="A920" s="1">
        <v>0</v>
      </c>
      <c r="B920" s="1">
        <v>0</v>
      </c>
      <c r="C920" s="1">
        <v>0</v>
      </c>
      <c r="D920" s="1">
        <v>0</v>
      </c>
      <c r="E920" s="1">
        <v>0</v>
      </c>
    </row>
    <row r="921" spans="1:5" ht="13" x14ac:dyDescent="0.15">
      <c r="A921" s="1">
        <v>0</v>
      </c>
      <c r="B921" s="1">
        <v>0</v>
      </c>
      <c r="C921" s="1">
        <v>0</v>
      </c>
      <c r="D921" s="1">
        <v>0</v>
      </c>
      <c r="E921" s="1">
        <v>0</v>
      </c>
    </row>
    <row r="922" spans="1:5" ht="13" x14ac:dyDescent="0.15">
      <c r="A922" s="1">
        <v>0</v>
      </c>
      <c r="B922" s="1">
        <v>0</v>
      </c>
      <c r="C922" s="1">
        <v>0</v>
      </c>
      <c r="D922" s="1">
        <v>0</v>
      </c>
      <c r="E922" s="1">
        <v>0</v>
      </c>
    </row>
    <row r="923" spans="1:5" ht="13" x14ac:dyDescent="0.15">
      <c r="A923" s="1">
        <v>0</v>
      </c>
      <c r="B923" s="1">
        <v>0</v>
      </c>
      <c r="C923" s="1">
        <v>0</v>
      </c>
      <c r="D923" s="1">
        <v>0</v>
      </c>
      <c r="E923" s="1">
        <v>0</v>
      </c>
    </row>
    <row r="924" spans="1:5" ht="13" x14ac:dyDescent="0.15">
      <c r="A924" s="1">
        <v>0</v>
      </c>
      <c r="B924" s="1">
        <v>0</v>
      </c>
      <c r="C924" s="1">
        <v>0</v>
      </c>
      <c r="D924" s="1">
        <v>0</v>
      </c>
      <c r="E924" s="1">
        <v>0</v>
      </c>
    </row>
    <row r="925" spans="1:5" ht="13" x14ac:dyDescent="0.15">
      <c r="A925" s="1">
        <v>0</v>
      </c>
      <c r="B925" s="1">
        <v>0</v>
      </c>
      <c r="C925" s="1">
        <v>0</v>
      </c>
      <c r="D925" s="1">
        <v>0</v>
      </c>
      <c r="E925" s="1">
        <v>0</v>
      </c>
    </row>
    <row r="926" spans="1:5" ht="13" x14ac:dyDescent="0.15">
      <c r="A926" s="1">
        <v>0</v>
      </c>
      <c r="B926" s="1">
        <v>0</v>
      </c>
      <c r="C926" s="1">
        <v>0</v>
      </c>
      <c r="D926" s="1">
        <v>0</v>
      </c>
      <c r="E926" s="1">
        <v>0</v>
      </c>
    </row>
    <row r="927" spans="1:5" ht="13" x14ac:dyDescent="0.15">
      <c r="A927" s="1">
        <v>0</v>
      </c>
      <c r="B927" s="1">
        <v>0</v>
      </c>
      <c r="C927" s="1">
        <v>0</v>
      </c>
      <c r="D927" s="1">
        <v>0</v>
      </c>
      <c r="E927" s="1">
        <v>0</v>
      </c>
    </row>
    <row r="928" spans="1:5" ht="13" x14ac:dyDescent="0.15">
      <c r="A928" s="1">
        <v>0</v>
      </c>
      <c r="B928" s="1">
        <v>0</v>
      </c>
      <c r="C928" s="1">
        <v>0</v>
      </c>
      <c r="D928" s="1">
        <v>0</v>
      </c>
      <c r="E928" s="1">
        <v>0</v>
      </c>
    </row>
    <row r="929" spans="1:5" ht="13" x14ac:dyDescent="0.15">
      <c r="A929" s="1">
        <v>0</v>
      </c>
      <c r="B929" s="1">
        <v>0</v>
      </c>
      <c r="C929" s="1">
        <v>0</v>
      </c>
      <c r="D929" s="1">
        <v>0</v>
      </c>
      <c r="E929" s="1">
        <v>0</v>
      </c>
    </row>
    <row r="930" spans="1:5" ht="13" x14ac:dyDescent="0.15">
      <c r="A930" s="1">
        <v>0</v>
      </c>
      <c r="B930" s="1">
        <v>0</v>
      </c>
      <c r="C930" s="1">
        <v>0</v>
      </c>
      <c r="D930" s="1">
        <v>0</v>
      </c>
      <c r="E930" s="1">
        <v>0</v>
      </c>
    </row>
    <row r="931" spans="1:5" ht="13" x14ac:dyDescent="0.15">
      <c r="A931" s="1">
        <v>0</v>
      </c>
      <c r="B931" s="1">
        <v>0</v>
      </c>
      <c r="C931" s="1">
        <v>0</v>
      </c>
      <c r="D931" s="1">
        <v>0</v>
      </c>
      <c r="E931" s="1">
        <v>0</v>
      </c>
    </row>
    <row r="932" spans="1:5" ht="13" x14ac:dyDescent="0.15">
      <c r="A932" s="1">
        <v>0</v>
      </c>
      <c r="B932" s="1">
        <v>0</v>
      </c>
      <c r="C932" s="1">
        <v>0</v>
      </c>
      <c r="D932" s="1">
        <v>0</v>
      </c>
      <c r="E932" s="1">
        <v>0</v>
      </c>
    </row>
    <row r="933" spans="1:5" ht="13" x14ac:dyDescent="0.15">
      <c r="A933" s="1">
        <v>0</v>
      </c>
      <c r="B933" s="1">
        <v>0</v>
      </c>
      <c r="C933" s="1">
        <v>0</v>
      </c>
      <c r="D933" s="1">
        <v>0</v>
      </c>
      <c r="E933" s="1">
        <v>0</v>
      </c>
    </row>
    <row r="934" spans="1:5" ht="13" x14ac:dyDescent="0.15">
      <c r="A934" s="1">
        <v>0</v>
      </c>
      <c r="B934" s="1">
        <v>0</v>
      </c>
      <c r="C934" s="1">
        <v>0</v>
      </c>
      <c r="D934" s="1">
        <v>0</v>
      </c>
      <c r="E934" s="1">
        <v>0</v>
      </c>
    </row>
    <row r="935" spans="1:5" ht="13" x14ac:dyDescent="0.15">
      <c r="A935" s="1">
        <v>0</v>
      </c>
      <c r="B935" s="1">
        <v>0</v>
      </c>
      <c r="C935" s="1">
        <v>0</v>
      </c>
      <c r="D935" s="1">
        <v>0</v>
      </c>
      <c r="E935" s="1">
        <v>0</v>
      </c>
    </row>
    <row r="936" spans="1:5" ht="13" x14ac:dyDescent="0.15">
      <c r="A936" s="1">
        <v>0</v>
      </c>
      <c r="B936" s="1">
        <v>0</v>
      </c>
      <c r="C936" s="1">
        <v>0</v>
      </c>
      <c r="D936" s="1">
        <v>0</v>
      </c>
      <c r="E936" s="1">
        <v>0</v>
      </c>
    </row>
    <row r="937" spans="1:5" ht="13" x14ac:dyDescent="0.15">
      <c r="A937" s="1">
        <v>0</v>
      </c>
      <c r="B937" s="1">
        <v>0</v>
      </c>
      <c r="C937" s="1">
        <v>0</v>
      </c>
      <c r="D937" s="1">
        <v>0</v>
      </c>
      <c r="E937" s="1">
        <v>0</v>
      </c>
    </row>
    <row r="938" spans="1:5" ht="13" x14ac:dyDescent="0.15">
      <c r="A938" s="1">
        <v>0</v>
      </c>
      <c r="B938" s="1">
        <v>0</v>
      </c>
      <c r="C938" s="1">
        <v>0</v>
      </c>
      <c r="D938" s="1">
        <v>0</v>
      </c>
      <c r="E938" s="1">
        <v>0</v>
      </c>
    </row>
    <row r="939" spans="1:5" ht="13" x14ac:dyDescent="0.15">
      <c r="A939" s="1">
        <v>0</v>
      </c>
      <c r="B939" s="1">
        <v>0</v>
      </c>
      <c r="C939" s="1">
        <v>0</v>
      </c>
      <c r="D939" s="1">
        <v>0</v>
      </c>
      <c r="E939" s="1">
        <v>0</v>
      </c>
    </row>
    <row r="940" spans="1:5" ht="13" x14ac:dyDescent="0.15">
      <c r="A940" s="1">
        <v>0</v>
      </c>
      <c r="B940" s="1">
        <v>0</v>
      </c>
      <c r="C940" s="1">
        <v>0</v>
      </c>
      <c r="D940" s="1">
        <v>0</v>
      </c>
      <c r="E940" s="1">
        <v>0</v>
      </c>
    </row>
    <row r="941" spans="1:5" ht="13" x14ac:dyDescent="0.15">
      <c r="A941" s="1">
        <v>0</v>
      </c>
      <c r="B941" s="1">
        <v>0</v>
      </c>
      <c r="C941" s="1">
        <v>0</v>
      </c>
      <c r="D941" s="1">
        <v>0</v>
      </c>
      <c r="E941" s="1">
        <v>0</v>
      </c>
    </row>
    <row r="942" spans="1:5" ht="13" x14ac:dyDescent="0.15">
      <c r="A942" s="1">
        <v>0</v>
      </c>
      <c r="B942" s="1">
        <v>0</v>
      </c>
      <c r="C942" s="1">
        <v>0</v>
      </c>
      <c r="D942" s="1">
        <v>0</v>
      </c>
      <c r="E942" s="1">
        <v>0</v>
      </c>
    </row>
    <row r="943" spans="1:5" ht="13" x14ac:dyDescent="0.15">
      <c r="A943" s="1">
        <v>0</v>
      </c>
      <c r="B943" s="1">
        <v>0</v>
      </c>
      <c r="C943" s="1">
        <v>0</v>
      </c>
      <c r="D943" s="1">
        <v>0</v>
      </c>
      <c r="E943" s="1">
        <v>0</v>
      </c>
    </row>
    <row r="944" spans="1:5" ht="13" x14ac:dyDescent="0.15">
      <c r="A944" s="1">
        <v>0</v>
      </c>
      <c r="B944" s="1">
        <v>0</v>
      </c>
      <c r="C944" s="1">
        <v>0</v>
      </c>
      <c r="D944" s="1">
        <v>0</v>
      </c>
      <c r="E944" s="1">
        <v>0</v>
      </c>
    </row>
    <row r="945" spans="1:5" ht="13" x14ac:dyDescent="0.15">
      <c r="A945" s="1">
        <v>0</v>
      </c>
      <c r="B945" s="1">
        <v>0</v>
      </c>
      <c r="C945" s="1">
        <v>0</v>
      </c>
      <c r="D945" s="1">
        <v>0</v>
      </c>
      <c r="E945" s="1">
        <v>0</v>
      </c>
    </row>
    <row r="946" spans="1:5" ht="13" x14ac:dyDescent="0.15">
      <c r="A946" s="1">
        <v>0</v>
      </c>
      <c r="B946" s="1">
        <v>0</v>
      </c>
      <c r="C946" s="1">
        <v>0</v>
      </c>
      <c r="D946" s="1">
        <v>0</v>
      </c>
      <c r="E946" s="1">
        <v>0</v>
      </c>
    </row>
    <row r="947" spans="1:5" ht="13" x14ac:dyDescent="0.15">
      <c r="A947" s="1">
        <v>0</v>
      </c>
      <c r="B947" s="1">
        <v>0</v>
      </c>
      <c r="C947" s="1">
        <v>0</v>
      </c>
      <c r="D947" s="1">
        <v>0</v>
      </c>
      <c r="E947" s="1">
        <v>0</v>
      </c>
    </row>
    <row r="948" spans="1:5" ht="13" x14ac:dyDescent="0.15">
      <c r="A948" s="1">
        <v>0</v>
      </c>
      <c r="B948" s="1">
        <v>0</v>
      </c>
      <c r="C948" s="1">
        <v>0</v>
      </c>
      <c r="D948" s="1">
        <v>0</v>
      </c>
      <c r="E948" s="1">
        <v>0</v>
      </c>
    </row>
    <row r="949" spans="1:5" ht="13" x14ac:dyDescent="0.15">
      <c r="A949" s="1">
        <v>0</v>
      </c>
      <c r="B949" s="1">
        <v>0</v>
      </c>
      <c r="C949" s="1">
        <v>0</v>
      </c>
      <c r="D949" s="1">
        <v>0</v>
      </c>
      <c r="E949" s="1">
        <v>0</v>
      </c>
    </row>
    <row r="950" spans="1:5" ht="13" x14ac:dyDescent="0.15">
      <c r="A950" s="1">
        <v>0</v>
      </c>
      <c r="B950" s="1">
        <v>0</v>
      </c>
      <c r="C950" s="1">
        <v>0</v>
      </c>
      <c r="D950" s="1">
        <v>0</v>
      </c>
      <c r="E950" s="1">
        <v>0</v>
      </c>
    </row>
    <row r="951" spans="1:5" ht="13" x14ac:dyDescent="0.15">
      <c r="A951" s="1">
        <v>0</v>
      </c>
      <c r="B951" s="1">
        <v>0</v>
      </c>
      <c r="C951" s="1">
        <v>0</v>
      </c>
      <c r="D951" s="1">
        <v>0</v>
      </c>
      <c r="E951" s="1">
        <v>0</v>
      </c>
    </row>
    <row r="952" spans="1:5" ht="13" x14ac:dyDescent="0.15">
      <c r="A952" s="1">
        <v>0</v>
      </c>
      <c r="B952" s="1">
        <v>0</v>
      </c>
      <c r="C952" s="1">
        <v>0</v>
      </c>
      <c r="D952" s="1">
        <v>0</v>
      </c>
      <c r="E952" s="1">
        <v>0</v>
      </c>
    </row>
    <row r="953" spans="1:5" ht="13" x14ac:dyDescent="0.15">
      <c r="A953" s="1">
        <v>0</v>
      </c>
      <c r="B953" s="1">
        <v>0</v>
      </c>
      <c r="C953" s="1">
        <v>0</v>
      </c>
      <c r="D953" s="1">
        <v>0</v>
      </c>
      <c r="E953" s="1">
        <v>0</v>
      </c>
    </row>
    <row r="954" spans="1:5" ht="13" x14ac:dyDescent="0.15">
      <c r="A954" s="1">
        <v>0</v>
      </c>
      <c r="B954" s="1">
        <v>0</v>
      </c>
      <c r="C954" s="1">
        <v>0</v>
      </c>
      <c r="D954" s="1">
        <v>0</v>
      </c>
      <c r="E954" s="1">
        <v>0</v>
      </c>
    </row>
    <row r="955" spans="1:5" ht="13" x14ac:dyDescent="0.15">
      <c r="A955" s="1">
        <v>0</v>
      </c>
      <c r="B955" s="1">
        <v>0</v>
      </c>
      <c r="C955" s="1">
        <v>0</v>
      </c>
      <c r="D955" s="1">
        <v>0</v>
      </c>
      <c r="E955" s="1">
        <v>0</v>
      </c>
    </row>
    <row r="956" spans="1:5" ht="13" x14ac:dyDescent="0.15">
      <c r="A956" s="1">
        <v>0</v>
      </c>
      <c r="B956" s="1">
        <v>0</v>
      </c>
      <c r="C956" s="1">
        <v>0</v>
      </c>
      <c r="D956" s="1">
        <v>0</v>
      </c>
      <c r="E956" s="1">
        <v>0</v>
      </c>
    </row>
    <row r="957" spans="1:5" ht="13" x14ac:dyDescent="0.15">
      <c r="A957" s="1">
        <v>0</v>
      </c>
      <c r="B957" s="1">
        <v>0</v>
      </c>
      <c r="C957" s="1">
        <v>0</v>
      </c>
      <c r="D957" s="1">
        <v>0</v>
      </c>
      <c r="E957" s="1">
        <v>0</v>
      </c>
    </row>
    <row r="958" spans="1:5" ht="13" x14ac:dyDescent="0.15">
      <c r="A958" s="1">
        <v>0</v>
      </c>
      <c r="B958" s="1">
        <v>0</v>
      </c>
      <c r="C958" s="1">
        <v>0</v>
      </c>
      <c r="D958" s="1">
        <v>0</v>
      </c>
      <c r="E958" s="1">
        <v>0</v>
      </c>
    </row>
    <row r="959" spans="1:5" ht="13" x14ac:dyDescent="0.15">
      <c r="A959" s="1">
        <v>0</v>
      </c>
      <c r="B959" s="1">
        <v>0</v>
      </c>
      <c r="C959" s="1">
        <v>0</v>
      </c>
      <c r="D959" s="1">
        <v>0</v>
      </c>
      <c r="E959" s="1">
        <v>0</v>
      </c>
    </row>
    <row r="960" spans="1:5" ht="13" x14ac:dyDescent="0.15">
      <c r="A960" s="1">
        <v>0</v>
      </c>
      <c r="B960" s="1">
        <v>0</v>
      </c>
      <c r="C960" s="1">
        <v>0</v>
      </c>
      <c r="D960" s="1">
        <v>0</v>
      </c>
      <c r="E960" s="1">
        <v>0</v>
      </c>
    </row>
    <row r="961" spans="1:5" ht="13" x14ac:dyDescent="0.15">
      <c r="A961" s="1">
        <v>0</v>
      </c>
      <c r="B961" s="1">
        <v>0</v>
      </c>
      <c r="C961" s="1">
        <v>0</v>
      </c>
      <c r="D961" s="1">
        <v>0</v>
      </c>
      <c r="E961" s="1">
        <v>0</v>
      </c>
    </row>
    <row r="962" spans="1:5" ht="13" x14ac:dyDescent="0.15">
      <c r="A962" s="1">
        <v>0</v>
      </c>
      <c r="B962" s="1">
        <v>0</v>
      </c>
      <c r="C962" s="1">
        <v>0</v>
      </c>
      <c r="D962" s="1">
        <v>0</v>
      </c>
      <c r="E962" s="1">
        <v>0</v>
      </c>
    </row>
    <row r="963" spans="1:5" ht="13" x14ac:dyDescent="0.15">
      <c r="A963" s="1">
        <v>0</v>
      </c>
      <c r="B963" s="1">
        <v>0</v>
      </c>
      <c r="C963" s="1">
        <v>0</v>
      </c>
      <c r="D963" s="1">
        <v>0</v>
      </c>
      <c r="E963" s="1">
        <v>0</v>
      </c>
    </row>
    <row r="964" spans="1:5" ht="13" x14ac:dyDescent="0.15">
      <c r="A964" s="1">
        <v>0</v>
      </c>
      <c r="B964" s="1">
        <v>0</v>
      </c>
      <c r="C964" s="1">
        <v>0</v>
      </c>
      <c r="D964" s="1">
        <v>0</v>
      </c>
      <c r="E964" s="1">
        <v>0</v>
      </c>
    </row>
    <row r="965" spans="1:5" ht="13" x14ac:dyDescent="0.15">
      <c r="A965" s="1">
        <v>0</v>
      </c>
      <c r="B965" s="1">
        <v>0</v>
      </c>
      <c r="C965" s="1">
        <v>0</v>
      </c>
      <c r="D965" s="1">
        <v>0</v>
      </c>
      <c r="E965" s="1">
        <v>0</v>
      </c>
    </row>
    <row r="966" spans="1:5" ht="13" x14ac:dyDescent="0.15">
      <c r="A966" s="1">
        <v>0</v>
      </c>
      <c r="B966" s="1">
        <v>0</v>
      </c>
      <c r="C966" s="1">
        <v>0</v>
      </c>
      <c r="D966" s="1">
        <v>0</v>
      </c>
      <c r="E966" s="1">
        <v>0</v>
      </c>
    </row>
    <row r="967" spans="1:5" ht="13" x14ac:dyDescent="0.15">
      <c r="A967" s="1">
        <v>0</v>
      </c>
      <c r="B967" s="1">
        <v>0</v>
      </c>
      <c r="C967" s="1">
        <v>0</v>
      </c>
      <c r="D967" s="1">
        <v>0</v>
      </c>
      <c r="E967" s="1">
        <v>0</v>
      </c>
    </row>
    <row r="968" spans="1:5" ht="13" x14ac:dyDescent="0.15">
      <c r="A968" s="1">
        <v>0</v>
      </c>
      <c r="B968" s="1">
        <v>0</v>
      </c>
      <c r="C968" s="1">
        <v>0</v>
      </c>
      <c r="D968" s="1">
        <v>0</v>
      </c>
      <c r="E968" s="1">
        <v>0</v>
      </c>
    </row>
    <row r="969" spans="1:5" ht="13" x14ac:dyDescent="0.15">
      <c r="A969" s="1">
        <v>0</v>
      </c>
      <c r="B969" s="1">
        <v>0</v>
      </c>
      <c r="C969" s="1">
        <v>0</v>
      </c>
      <c r="D969" s="1">
        <v>0</v>
      </c>
      <c r="E969" s="1">
        <v>0</v>
      </c>
    </row>
    <row r="970" spans="1:5" ht="13" x14ac:dyDescent="0.15">
      <c r="A970" s="1">
        <v>0</v>
      </c>
      <c r="B970" s="1">
        <v>0</v>
      </c>
      <c r="C970" s="1">
        <v>0</v>
      </c>
      <c r="D970" s="1">
        <v>0</v>
      </c>
      <c r="E970" s="1">
        <v>0</v>
      </c>
    </row>
    <row r="971" spans="1:5" ht="13" x14ac:dyDescent="0.15">
      <c r="A971" s="1">
        <v>0</v>
      </c>
      <c r="B971" s="1">
        <v>0</v>
      </c>
      <c r="C971" s="1">
        <v>0</v>
      </c>
      <c r="D971" s="1">
        <v>0</v>
      </c>
      <c r="E971" s="1">
        <v>0</v>
      </c>
    </row>
    <row r="972" spans="1:5" ht="13" x14ac:dyDescent="0.15">
      <c r="A972" s="1">
        <v>0</v>
      </c>
      <c r="B972" s="1">
        <v>0</v>
      </c>
      <c r="C972" s="1">
        <v>0</v>
      </c>
      <c r="D972" s="1">
        <v>0</v>
      </c>
      <c r="E972" s="1">
        <v>0</v>
      </c>
    </row>
    <row r="973" spans="1:5" ht="13" x14ac:dyDescent="0.15">
      <c r="A973" s="1">
        <v>0</v>
      </c>
      <c r="B973" s="1">
        <v>0</v>
      </c>
      <c r="C973" s="1">
        <v>0</v>
      </c>
      <c r="D973" s="1">
        <v>0</v>
      </c>
      <c r="E973" s="1">
        <v>0</v>
      </c>
    </row>
    <row r="974" spans="1:5" ht="13" x14ac:dyDescent="0.15">
      <c r="A974" s="1">
        <v>0</v>
      </c>
      <c r="B974" s="1">
        <v>0</v>
      </c>
      <c r="C974" s="1">
        <v>0</v>
      </c>
      <c r="D974" s="1">
        <v>0</v>
      </c>
      <c r="E974" s="1">
        <v>0</v>
      </c>
    </row>
    <row r="975" spans="1:5" ht="13" x14ac:dyDescent="0.15">
      <c r="A975" s="1">
        <v>0</v>
      </c>
      <c r="B975" s="1">
        <v>0</v>
      </c>
      <c r="C975" s="1">
        <v>0</v>
      </c>
      <c r="D975" s="1">
        <v>0</v>
      </c>
      <c r="E975" s="1">
        <v>0</v>
      </c>
    </row>
    <row r="976" spans="1:5" ht="13" x14ac:dyDescent="0.15">
      <c r="A976" s="1">
        <v>0</v>
      </c>
      <c r="B976" s="1">
        <v>0</v>
      </c>
      <c r="C976" s="1">
        <v>0</v>
      </c>
      <c r="D976" s="1">
        <v>0</v>
      </c>
      <c r="E976" s="1">
        <v>0</v>
      </c>
    </row>
    <row r="977" spans="1:5" ht="13" x14ac:dyDescent="0.15">
      <c r="A977" s="1">
        <v>0</v>
      </c>
      <c r="B977" s="1">
        <v>0</v>
      </c>
      <c r="C977" s="1">
        <v>0</v>
      </c>
      <c r="D977" s="1">
        <v>0</v>
      </c>
      <c r="E977" s="1">
        <v>0</v>
      </c>
    </row>
    <row r="978" spans="1:5" ht="13" x14ac:dyDescent="0.15">
      <c r="A978" s="1">
        <v>0</v>
      </c>
      <c r="B978" s="1">
        <v>0</v>
      </c>
      <c r="C978" s="1">
        <v>0</v>
      </c>
      <c r="D978" s="1">
        <v>0</v>
      </c>
      <c r="E978" s="1">
        <v>0</v>
      </c>
    </row>
    <row r="979" spans="1:5" ht="13" x14ac:dyDescent="0.15">
      <c r="A979" s="1">
        <v>0</v>
      </c>
      <c r="B979" s="1">
        <v>0</v>
      </c>
      <c r="C979" s="1">
        <v>0</v>
      </c>
      <c r="D979" s="1">
        <v>0</v>
      </c>
      <c r="E979" s="1">
        <v>0</v>
      </c>
    </row>
    <row r="980" spans="1:5" ht="13" x14ac:dyDescent="0.15">
      <c r="A980" s="1">
        <v>0</v>
      </c>
      <c r="B980" s="1">
        <v>0</v>
      </c>
      <c r="C980" s="1">
        <v>0</v>
      </c>
      <c r="D980" s="1">
        <v>0</v>
      </c>
      <c r="E980" s="1">
        <v>0</v>
      </c>
    </row>
    <row r="981" spans="1:5" ht="13" x14ac:dyDescent="0.15">
      <c r="A981" s="1">
        <v>0</v>
      </c>
      <c r="B981" s="1">
        <v>0</v>
      </c>
      <c r="C981" s="1">
        <v>0</v>
      </c>
      <c r="D981" s="1">
        <v>0</v>
      </c>
      <c r="E981" s="1">
        <v>0</v>
      </c>
    </row>
    <row r="982" spans="1:5" ht="13" x14ac:dyDescent="0.15">
      <c r="A982" s="1">
        <v>0</v>
      </c>
      <c r="B982" s="1">
        <v>0</v>
      </c>
      <c r="C982" s="1">
        <v>0</v>
      </c>
      <c r="D982" s="1">
        <v>0</v>
      </c>
      <c r="E982" s="1">
        <v>0</v>
      </c>
    </row>
    <row r="983" spans="1:5" ht="13" x14ac:dyDescent="0.15">
      <c r="A983" s="1">
        <v>0</v>
      </c>
      <c r="B983" s="1">
        <v>0</v>
      </c>
      <c r="C983" s="1">
        <v>0</v>
      </c>
      <c r="D983" s="1">
        <v>0</v>
      </c>
      <c r="E983" s="1">
        <v>0</v>
      </c>
    </row>
    <row r="984" spans="1:5" ht="13" x14ac:dyDescent="0.15">
      <c r="A984" s="1">
        <v>0</v>
      </c>
      <c r="B984" s="1">
        <v>0</v>
      </c>
      <c r="C984" s="1">
        <v>0</v>
      </c>
      <c r="D984" s="1">
        <v>0</v>
      </c>
      <c r="E984" s="1">
        <v>0</v>
      </c>
    </row>
    <row r="985" spans="1:5" ht="13" x14ac:dyDescent="0.15">
      <c r="A985" s="1">
        <v>0</v>
      </c>
      <c r="B985" s="1">
        <v>0</v>
      </c>
      <c r="C985" s="1">
        <v>0</v>
      </c>
      <c r="D985" s="1">
        <v>0</v>
      </c>
      <c r="E985" s="1">
        <v>0</v>
      </c>
    </row>
    <row r="986" spans="1:5" ht="13" x14ac:dyDescent="0.15">
      <c r="A986" s="1">
        <v>0</v>
      </c>
      <c r="B986" s="1">
        <v>0</v>
      </c>
      <c r="C986" s="1">
        <v>0</v>
      </c>
      <c r="D986" s="1">
        <v>0</v>
      </c>
      <c r="E986" s="1">
        <v>0</v>
      </c>
    </row>
    <row r="987" spans="1:5" ht="13" x14ac:dyDescent="0.15">
      <c r="A987" s="1">
        <v>0</v>
      </c>
      <c r="B987" s="1">
        <v>0</v>
      </c>
      <c r="C987" s="1">
        <v>0</v>
      </c>
      <c r="D987" s="1">
        <v>0</v>
      </c>
      <c r="E987" s="1">
        <v>0</v>
      </c>
    </row>
    <row r="988" spans="1:5" ht="13" x14ac:dyDescent="0.15">
      <c r="A988" s="1">
        <v>0</v>
      </c>
      <c r="B988" s="1">
        <v>0</v>
      </c>
      <c r="C988" s="1">
        <v>0</v>
      </c>
      <c r="D988" s="1">
        <v>0</v>
      </c>
      <c r="E988" s="1">
        <v>0</v>
      </c>
    </row>
    <row r="989" spans="1:5" ht="13" x14ac:dyDescent="0.15">
      <c r="A989" s="1">
        <v>0</v>
      </c>
      <c r="B989" s="1">
        <v>0</v>
      </c>
      <c r="C989" s="1">
        <v>0</v>
      </c>
      <c r="D989" s="1">
        <v>0</v>
      </c>
      <c r="E989" s="1">
        <v>0</v>
      </c>
    </row>
    <row r="990" spans="1:5" ht="13" x14ac:dyDescent="0.15">
      <c r="A990" s="1">
        <v>0</v>
      </c>
      <c r="B990" s="1">
        <v>0</v>
      </c>
      <c r="C990" s="1">
        <v>0</v>
      </c>
      <c r="D990" s="1">
        <v>0</v>
      </c>
      <c r="E990" s="1">
        <v>0</v>
      </c>
    </row>
    <row r="991" spans="1:5" ht="13" x14ac:dyDescent="0.15">
      <c r="A991" s="1">
        <v>0</v>
      </c>
      <c r="B991" s="1">
        <v>0</v>
      </c>
      <c r="C991" s="1">
        <v>0</v>
      </c>
      <c r="D991" s="1">
        <v>0</v>
      </c>
      <c r="E991" s="1">
        <v>0</v>
      </c>
    </row>
    <row r="992" spans="1:5" ht="13" x14ac:dyDescent="0.15">
      <c r="A992" s="1">
        <v>0</v>
      </c>
      <c r="B992" s="1">
        <v>0</v>
      </c>
      <c r="C992" s="1">
        <v>0</v>
      </c>
      <c r="D992" s="1">
        <v>0</v>
      </c>
      <c r="E992" s="1">
        <v>0</v>
      </c>
    </row>
    <row r="993" spans="1:5" ht="13" x14ac:dyDescent="0.15">
      <c r="A993" s="1">
        <v>0</v>
      </c>
      <c r="B993" s="1">
        <v>0</v>
      </c>
      <c r="C993" s="1">
        <v>0</v>
      </c>
      <c r="D993" s="1">
        <v>0</v>
      </c>
      <c r="E993" s="1">
        <v>0</v>
      </c>
    </row>
    <row r="994" spans="1:5" ht="13" x14ac:dyDescent="0.15">
      <c r="A994" s="1">
        <v>0</v>
      </c>
      <c r="B994" s="1">
        <v>0</v>
      </c>
      <c r="C994" s="1">
        <v>0</v>
      </c>
      <c r="D994" s="1">
        <v>0</v>
      </c>
      <c r="E994" s="1">
        <v>0</v>
      </c>
    </row>
    <row r="995" spans="1:5" ht="13" x14ac:dyDescent="0.15">
      <c r="A995" s="1">
        <v>0</v>
      </c>
      <c r="B995" s="1">
        <v>0</v>
      </c>
      <c r="C995" s="1">
        <v>0</v>
      </c>
      <c r="D995" s="1">
        <v>0</v>
      </c>
      <c r="E995" s="1">
        <v>0</v>
      </c>
    </row>
    <row r="996" spans="1:5" ht="13" x14ac:dyDescent="0.15">
      <c r="A996" s="1">
        <v>0</v>
      </c>
      <c r="B996" s="1">
        <v>0</v>
      </c>
      <c r="C996" s="1">
        <v>0</v>
      </c>
      <c r="D996" s="1">
        <v>0</v>
      </c>
      <c r="E996" s="1">
        <v>0</v>
      </c>
    </row>
    <row r="997" spans="1:5" ht="13" x14ac:dyDescent="0.15">
      <c r="A997" s="1">
        <v>0</v>
      </c>
      <c r="B997" s="1">
        <v>0</v>
      </c>
      <c r="C997" s="1">
        <v>0</v>
      </c>
      <c r="D997" s="1">
        <v>0</v>
      </c>
      <c r="E997" s="1">
        <v>0</v>
      </c>
    </row>
    <row r="998" spans="1:5" ht="13" x14ac:dyDescent="0.15">
      <c r="A998" s="1">
        <v>0</v>
      </c>
      <c r="B998" s="1">
        <v>0</v>
      </c>
      <c r="C998" s="1">
        <v>0</v>
      </c>
      <c r="D998" s="1">
        <v>0</v>
      </c>
      <c r="E998" s="1">
        <v>0</v>
      </c>
    </row>
    <row r="999" spans="1:5" ht="13" x14ac:dyDescent="0.15">
      <c r="A999" s="1">
        <v>0</v>
      </c>
      <c r="B999" s="1">
        <v>0</v>
      </c>
      <c r="C999" s="1">
        <v>0</v>
      </c>
      <c r="D999" s="1">
        <v>0</v>
      </c>
      <c r="E999" s="1">
        <v>0</v>
      </c>
    </row>
    <row r="1000" spans="1:5" ht="13" x14ac:dyDescent="0.15">
      <c r="A1000" s="1">
        <v>0</v>
      </c>
      <c r="B1000" s="1">
        <v>0</v>
      </c>
      <c r="C1000" s="1">
        <v>0</v>
      </c>
      <c r="D1000" s="1">
        <v>0</v>
      </c>
      <c r="E1000" s="1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35"/>
  <sheetViews>
    <sheetView workbookViewId="0"/>
  </sheetViews>
  <sheetFormatPr baseColWidth="10" defaultColWidth="12.6640625" defaultRowHeight="15.75" customHeight="1" x14ac:dyDescent="0.15"/>
  <cols>
    <col min="2" max="2" width="20.5" customWidth="1"/>
  </cols>
  <sheetData>
    <row r="1" spans="1:4" ht="15.75" customHeight="1" x14ac:dyDescent="0.15">
      <c r="A1" s="1" t="s">
        <v>54</v>
      </c>
      <c r="B1" s="1" t="s">
        <v>55</v>
      </c>
      <c r="C1" s="1" t="s">
        <v>56</v>
      </c>
      <c r="D1" s="1" t="s">
        <v>57</v>
      </c>
    </row>
    <row r="2" spans="1:4" ht="15.75" customHeight="1" x14ac:dyDescent="0.15">
      <c r="A2" s="1">
        <f ca="1">IFERROR(__xludf.DUMMYFUNCTION("FILTER(dardel_experiment_results!A2:A1001+dardel_experiment_results!B2:B1001, dardel_experiment_results!L2:L1001=""ALL (including NEW) PRUNING"")
"),2)</f>
        <v>2</v>
      </c>
      <c r="B2" s="1">
        <f ca="1">IFERROR(__xludf.DUMMYFUNCTION("FILTER(ABS(LOG(dardel_experiment_results!G2:G1001,10)), dardel_experiment_results!L2:L1001=""ALL (including NEW) PRUNING"")
"),3.89696690193315)</f>
        <v>3.8969669019331499</v>
      </c>
      <c r="C2" s="1">
        <f ca="1">IFERROR(__xludf.DUMMYFUNCTION("FILTER(ABS(LOG(dardel_experiment_results!G2:G1001,10)), dardel_experiment_results!L2:L1001=""ONLY OLD PRUNING"")
"),3.93490225832231)</f>
        <v>3.9349022583223099</v>
      </c>
      <c r="D2" s="1">
        <f ca="1">IFERROR(__xludf.DUMMYFUNCTION("FILTER(ABS(LOG(dardel_experiment_results!G2:G1001,10)), dardel_experiment_results!L2:L1001=""NO PRUNING WHATSOEVER"")
"),4.76957670124029)</f>
        <v>4.7695767012402897</v>
      </c>
    </row>
    <row r="3" spans="1:4" ht="15.75" customHeight="1" x14ac:dyDescent="0.15">
      <c r="A3" s="1">
        <f ca="1">IFERROR(__xludf.DUMMYFUNCTION("""COMPUTED_VALUE"""),2)</f>
        <v>2</v>
      </c>
      <c r="B3" s="1">
        <f ca="1">IFERROR(__xludf.DUMMYFUNCTION("""COMPUTED_VALUE"""),3.81484666860446)</f>
        <v>3.81484666860446</v>
      </c>
      <c r="C3" s="1">
        <f ca="1">IFERROR(__xludf.DUMMYFUNCTION("""COMPUTED_VALUE"""),3.87453979707101)</f>
        <v>3.87453979707101</v>
      </c>
      <c r="D3" s="1">
        <f ca="1">IFERROR(__xludf.DUMMYFUNCTION("""COMPUTED_VALUE"""),4.76812730149808)</f>
        <v>4.7681273014980796</v>
      </c>
    </row>
    <row r="4" spans="1:4" ht="15.75" customHeight="1" x14ac:dyDescent="0.15">
      <c r="A4" s="1">
        <f ca="1">IFERROR(__xludf.DUMMYFUNCTION("""COMPUTED_VALUE"""),3)</f>
        <v>3</v>
      </c>
      <c r="B4" s="1">
        <f ca="1">IFERROR(__xludf.DUMMYFUNCTION("""COMPUTED_VALUE"""),5.2415315390156)</f>
        <v>5.2415315390156003</v>
      </c>
      <c r="C4" s="1">
        <f ca="1">IFERROR(__xludf.DUMMYFUNCTION("""COMPUTED_VALUE"""),5.64536134594061)</f>
        <v>5.6453613459406098</v>
      </c>
      <c r="D4" s="1">
        <f ca="1">IFERROR(__xludf.DUMMYFUNCTION("""COMPUTED_VALUE"""),6.39331156354219)</f>
        <v>6.3933115635421904</v>
      </c>
    </row>
    <row r="5" spans="1:4" ht="15.75" customHeight="1" x14ac:dyDescent="0.15">
      <c r="A5" s="1">
        <f ca="1">IFERROR(__xludf.DUMMYFUNCTION("""COMPUTED_VALUE"""),3)</f>
        <v>3</v>
      </c>
      <c r="B5" s="1">
        <f ca="1">IFERROR(__xludf.DUMMYFUNCTION("""COMPUTED_VALUE"""),5.51442554864198)</f>
        <v>5.51442554864198</v>
      </c>
      <c r="C5" s="1">
        <f ca="1">IFERROR(__xludf.DUMMYFUNCTION("""COMPUTED_VALUE"""),5.58863916061302)</f>
        <v>5.5886391606130204</v>
      </c>
      <c r="D5" s="1">
        <f ca="1">IFERROR(__xludf.DUMMYFUNCTION("""COMPUTED_VALUE"""),6.37734887687425)</f>
        <v>6.3773488768742501</v>
      </c>
    </row>
    <row r="6" spans="1:4" ht="15.75" customHeight="1" x14ac:dyDescent="0.15">
      <c r="A6" s="1">
        <f ca="1">IFERROR(__xludf.DUMMYFUNCTION("""COMPUTED_VALUE"""),3)</f>
        <v>3</v>
      </c>
      <c r="B6" s="1">
        <f ca="1">IFERROR(__xludf.DUMMYFUNCTION("""COMPUTED_VALUE"""),5.28257000347611)</f>
        <v>5.2825700034761098</v>
      </c>
      <c r="C6" s="1">
        <f ca="1">IFERROR(__xludf.DUMMYFUNCTION("""COMPUTED_VALUE"""),5.56084120628856)</f>
        <v>5.5608412062885604</v>
      </c>
      <c r="D6" s="1">
        <f ca="1">IFERROR(__xludf.DUMMYFUNCTION("""COMPUTED_VALUE"""),6.41727916590603)</f>
        <v>6.41727916590603</v>
      </c>
    </row>
    <row r="7" spans="1:4" ht="15.75" customHeight="1" x14ac:dyDescent="0.15">
      <c r="A7" s="1">
        <f ca="1">IFERROR(__xludf.DUMMYFUNCTION("""COMPUTED_VALUE"""),4)</f>
        <v>4</v>
      </c>
      <c r="B7" s="1">
        <f ca="1">IFERROR(__xludf.DUMMYFUNCTION("""COMPUTED_VALUE"""),6.47316686102694)</f>
        <v>6.4731668610269404</v>
      </c>
      <c r="C7" s="1">
        <f ca="1">IFERROR(__xludf.DUMMYFUNCTION("""COMPUTED_VALUE"""),6.58573531984224)</f>
        <v>6.5857353198422404</v>
      </c>
      <c r="D7" s="1">
        <f ca="1">IFERROR(__xludf.DUMMYFUNCTION("""COMPUTED_VALUE"""),7.45588134219309)</f>
        <v>7.4558813421930896</v>
      </c>
    </row>
    <row r="8" spans="1:4" ht="15.75" customHeight="1" x14ac:dyDescent="0.15">
      <c r="A8" s="1">
        <f ca="1">IFERROR(__xludf.DUMMYFUNCTION("""COMPUTED_VALUE"""),4)</f>
        <v>4</v>
      </c>
      <c r="B8" s="1">
        <f ca="1">IFERROR(__xludf.DUMMYFUNCTION("""COMPUTED_VALUE"""),6.37208366169784)</f>
        <v>6.3720836616978396</v>
      </c>
      <c r="C8" s="1">
        <f ca="1">IFERROR(__xludf.DUMMYFUNCTION("""COMPUTED_VALUE"""),6.77637664914066)</f>
        <v>6.7763766491406603</v>
      </c>
      <c r="D8" s="1">
        <f ca="1">IFERROR(__xludf.DUMMYFUNCTION("""COMPUTED_VALUE"""),7.48261248558313)</f>
        <v>7.4826124855831297</v>
      </c>
    </row>
    <row r="9" spans="1:4" ht="15.75" customHeight="1" x14ac:dyDescent="0.15">
      <c r="A9" s="1">
        <f ca="1">IFERROR(__xludf.DUMMYFUNCTION("""COMPUTED_VALUE"""),4)</f>
        <v>4</v>
      </c>
      <c r="B9" s="1">
        <f ca="1">IFERROR(__xludf.DUMMYFUNCTION("""COMPUTED_VALUE"""),6.58827013777556)</f>
        <v>6.5882701377755604</v>
      </c>
      <c r="C9" s="1">
        <f ca="1">IFERROR(__xludf.DUMMYFUNCTION("""COMPUTED_VALUE"""),6.6716828622899)</f>
        <v>6.6716828622898996</v>
      </c>
      <c r="D9" s="1">
        <f ca="1">IFERROR(__xludf.DUMMYFUNCTION("""COMPUTED_VALUE"""),7.43231989592651)</f>
        <v>7.4323198959265104</v>
      </c>
    </row>
    <row r="10" spans="1:4" ht="15.75" customHeight="1" x14ac:dyDescent="0.15">
      <c r="A10" s="1">
        <f ca="1">IFERROR(__xludf.DUMMYFUNCTION("""COMPUTED_VALUE"""),4)</f>
        <v>4</v>
      </c>
      <c r="B10" s="1">
        <f ca="1">IFERROR(__xludf.DUMMYFUNCTION("""COMPUTED_VALUE"""),6.35582473419806)</f>
        <v>6.3558247341980598</v>
      </c>
      <c r="C10" s="1">
        <f ca="1">IFERROR(__xludf.DUMMYFUNCTION("""COMPUTED_VALUE"""),6.64303565233061)</f>
        <v>6.6430356523306102</v>
      </c>
      <c r="D10" s="1">
        <f ca="1">IFERROR(__xludf.DUMMYFUNCTION("""COMPUTED_VALUE"""),7.45654644045465)</f>
        <v>7.45654644045465</v>
      </c>
    </row>
    <row r="11" spans="1:4" ht="15.75" customHeight="1" x14ac:dyDescent="0.15">
      <c r="A11" s="1">
        <f ca="1">IFERROR(__xludf.DUMMYFUNCTION("""COMPUTED_VALUE"""),5)</f>
        <v>5</v>
      </c>
      <c r="B11" s="1">
        <f ca="1">IFERROR(__xludf.DUMMYFUNCTION("""COMPUTED_VALUE"""),7.24046962032813)</f>
        <v>7.2404696203281302</v>
      </c>
      <c r="C11" s="1">
        <f ca="1">IFERROR(__xludf.DUMMYFUNCTION("""COMPUTED_VALUE"""),7.35793760895219)</f>
        <v>7.3579376089521897</v>
      </c>
      <c r="D11" s="1">
        <f ca="1">IFERROR(__xludf.DUMMYFUNCTION("""COMPUTED_VALUE"""),8.24392463753145)</f>
        <v>8.2439246375314497</v>
      </c>
    </row>
    <row r="12" spans="1:4" ht="15.75" customHeight="1" x14ac:dyDescent="0.15">
      <c r="A12" s="1">
        <f ca="1">IFERROR(__xludf.DUMMYFUNCTION("""COMPUTED_VALUE"""),5)</f>
        <v>5</v>
      </c>
      <c r="B12" s="1">
        <f ca="1">IFERROR(__xludf.DUMMYFUNCTION("""COMPUTED_VALUE"""),7.04736047143758)</f>
        <v>7.0473604714375799</v>
      </c>
      <c r="C12" s="1">
        <f ca="1">IFERROR(__xludf.DUMMYFUNCTION("""COMPUTED_VALUE"""),7.44633396727187)</f>
        <v>7.4463339672718698</v>
      </c>
      <c r="D12" s="1">
        <f ca="1">IFERROR(__xludf.DUMMYFUNCTION("""COMPUTED_VALUE"""),8.301128640966)</f>
        <v>8.3011286409660006</v>
      </c>
    </row>
    <row r="13" spans="1:4" ht="15.75" customHeight="1" x14ac:dyDescent="0.15">
      <c r="A13" s="1">
        <f ca="1">IFERROR(__xludf.DUMMYFUNCTION("""COMPUTED_VALUE"""),5)</f>
        <v>5</v>
      </c>
      <c r="B13" s="1">
        <f ca="1">IFERROR(__xludf.DUMMYFUNCTION("""COMPUTED_VALUE"""),7.29639206916079)</f>
        <v>7.29639206916079</v>
      </c>
      <c r="C13" s="1">
        <f ca="1">IFERROR(__xludf.DUMMYFUNCTION("""COMPUTED_VALUE"""),7.48141474962838)</f>
        <v>7.4814147496283798</v>
      </c>
      <c r="D13" s="1">
        <f ca="1">IFERROR(__xludf.DUMMYFUNCTION("""COMPUTED_VALUE"""),8.23616930811176)</f>
        <v>8.2361693081117604</v>
      </c>
    </row>
    <row r="14" spans="1:4" ht="15.75" customHeight="1" x14ac:dyDescent="0.15">
      <c r="A14" s="1">
        <f ca="1">IFERROR(__xludf.DUMMYFUNCTION("""COMPUTED_VALUE"""),5)</f>
        <v>5</v>
      </c>
      <c r="B14" s="1">
        <f ca="1">IFERROR(__xludf.DUMMYFUNCTION("""COMPUTED_VALUE"""),7.14062951537334)</f>
        <v>7.1406295153733401</v>
      </c>
      <c r="C14" s="1">
        <f ca="1">IFERROR(__xludf.DUMMYFUNCTION("""COMPUTED_VALUE"""),7.4889232180311)</f>
        <v>7.4889232180310996</v>
      </c>
      <c r="D14" s="1">
        <f ca="1">IFERROR(__xludf.DUMMYFUNCTION("""COMPUTED_VALUE"""),8.25978245265457)</f>
        <v>8.2597824526545693</v>
      </c>
    </row>
    <row r="15" spans="1:4" ht="15.75" customHeight="1" x14ac:dyDescent="0.15">
      <c r="A15" s="1">
        <f ca="1">IFERROR(__xludf.DUMMYFUNCTION("""COMPUTED_VALUE"""),5)</f>
        <v>5</v>
      </c>
      <c r="B15" s="1">
        <f ca="1">IFERROR(__xludf.DUMMYFUNCTION("""COMPUTED_VALUE"""),7.18438061456275)</f>
        <v>7.18438061456275</v>
      </c>
      <c r="C15" s="1">
        <f ca="1">IFERROR(__xludf.DUMMYFUNCTION("""COMPUTED_VALUE"""),7.38433099084313)</f>
        <v>7.3843309908431296</v>
      </c>
      <c r="D15" s="1">
        <f ca="1">IFERROR(__xludf.DUMMYFUNCTION("""COMPUTED_VALUE"""),8.28135012296432)</f>
        <v>8.2813501229643194</v>
      </c>
    </row>
    <row r="16" spans="1:4" ht="15.75" customHeight="1" x14ac:dyDescent="0.15">
      <c r="A16" s="1">
        <f ca="1">IFERROR(__xludf.DUMMYFUNCTION("""COMPUTED_VALUE"""),5)</f>
        <v>5</v>
      </c>
      <c r="B16" s="1">
        <f ca="1">IFERROR(__xludf.DUMMYFUNCTION("""COMPUTED_VALUE"""),6.78819836047384)</f>
        <v>6.7881983604738396</v>
      </c>
      <c r="C16" s="1">
        <f ca="1">IFERROR(__xludf.DUMMYFUNCTION("""COMPUTED_VALUE"""),7.37154332992814)</f>
        <v>7.3715433299281399</v>
      </c>
      <c r="D16" s="1">
        <f ca="1">IFERROR(__xludf.DUMMYFUNCTION("""COMPUTED_VALUE"""),8.24453364748661)</f>
        <v>8.2445336474866107</v>
      </c>
    </row>
    <row r="17" spans="1:4" ht="15.75" customHeight="1" x14ac:dyDescent="0.15">
      <c r="A17" s="1">
        <f ca="1">IFERROR(__xludf.DUMMYFUNCTION("""COMPUTED_VALUE"""),6)</f>
        <v>6</v>
      </c>
      <c r="B17" s="1">
        <f ca="1">IFERROR(__xludf.DUMMYFUNCTION("""COMPUTED_VALUE"""),7.84911105355326)</f>
        <v>7.8491110535532602</v>
      </c>
      <c r="C17" s="1">
        <f ca="1">IFERROR(__xludf.DUMMYFUNCTION("""COMPUTED_VALUE"""),8.02120946227424)</f>
        <v>8.0212094622742391</v>
      </c>
      <c r="D17" s="1">
        <f ca="1">IFERROR(__xludf.DUMMYFUNCTION("""COMPUTED_VALUE"""),8.89097595124526)</f>
        <v>8.8909759512452595</v>
      </c>
    </row>
    <row r="18" spans="1:4" ht="15.75" customHeight="1" x14ac:dyDescent="0.15">
      <c r="A18" s="1">
        <f ca="1">IFERROR(__xludf.DUMMYFUNCTION("""COMPUTED_VALUE"""),2)</f>
        <v>2</v>
      </c>
      <c r="B18" s="1">
        <f ca="1">IFERROR(__xludf.DUMMYFUNCTION("""COMPUTED_VALUE"""),3.45545396877862)</f>
        <v>3.4554539687786199</v>
      </c>
      <c r="C18" s="1">
        <f ca="1">IFERROR(__xludf.DUMMYFUNCTION("""COMPUTED_VALUE"""),3.81338080673385)</f>
        <v>3.8133808067338499</v>
      </c>
      <c r="D18" s="1">
        <f ca="1">IFERROR(__xludf.DUMMYFUNCTION("""COMPUTED_VALUE"""),4.68771619362368)</f>
        <v>4.6877161936236798</v>
      </c>
    </row>
    <row r="19" spans="1:4" ht="15.75" customHeight="1" x14ac:dyDescent="0.15">
      <c r="A19" s="1">
        <f ca="1">IFERROR(__xludf.DUMMYFUNCTION("""COMPUTED_VALUE"""),2)</f>
        <v>2</v>
      </c>
      <c r="B19" s="1">
        <f ca="1">IFERROR(__xludf.DUMMYFUNCTION("""COMPUTED_VALUE"""),3.74186039406526)</f>
        <v>3.7418603940652599</v>
      </c>
      <c r="C19" s="1">
        <f ca="1">IFERROR(__xludf.DUMMYFUNCTION("""COMPUTED_VALUE"""),3.8483738838446)</f>
        <v>3.8483738838446002</v>
      </c>
      <c r="D19" s="1">
        <f ca="1">IFERROR(__xludf.DUMMYFUNCTION("""COMPUTED_VALUE"""),4.6621153561528)</f>
        <v>4.6621153561527997</v>
      </c>
    </row>
    <row r="20" spans="1:4" ht="15.75" customHeight="1" x14ac:dyDescent="0.15">
      <c r="A20" s="1">
        <f ca="1">IFERROR(__xludf.DUMMYFUNCTION("""COMPUTED_VALUE"""),2)</f>
        <v>2</v>
      </c>
      <c r="B20" s="1">
        <f ca="1">IFERROR(__xludf.DUMMYFUNCTION("""COMPUTED_VALUE"""),3.81710240425692)</f>
        <v>3.8171024042569202</v>
      </c>
      <c r="C20" s="1">
        <f ca="1">IFERROR(__xludf.DUMMYFUNCTION("""COMPUTED_VALUE"""),3.94963392379926)</f>
        <v>3.9496339237992601</v>
      </c>
      <c r="D20" s="1">
        <f ca="1">IFERROR(__xludf.DUMMYFUNCTION("""COMPUTED_VALUE"""),4.78898102834316)</f>
        <v>4.7889810283431604</v>
      </c>
    </row>
    <row r="21" spans="1:4" ht="15.75" customHeight="1" x14ac:dyDescent="0.15">
      <c r="A21" s="1">
        <f ca="1">IFERROR(__xludf.DUMMYFUNCTION("""COMPUTED_VALUE"""),2)</f>
        <v>2</v>
      </c>
      <c r="B21" s="1">
        <f ca="1">IFERROR(__xludf.DUMMYFUNCTION("""COMPUTED_VALUE"""),3.82529626443096)</f>
        <v>3.82529626443096</v>
      </c>
      <c r="C21" s="1">
        <f ca="1">IFERROR(__xludf.DUMMYFUNCTION("""COMPUTED_VALUE"""),3.88671627411647)</f>
        <v>3.8867162741164698</v>
      </c>
      <c r="D21" s="1">
        <f ca="1">IFERROR(__xludf.DUMMYFUNCTION("""COMPUTED_VALUE"""),4.74292927240602)</f>
        <v>4.7429292724060197</v>
      </c>
    </row>
    <row r="22" spans="1:4" ht="15.75" customHeight="1" x14ac:dyDescent="0.15">
      <c r="A22" s="1">
        <f ca="1">IFERROR(__xludf.DUMMYFUNCTION("""COMPUTED_VALUE"""),2)</f>
        <v>2</v>
      </c>
      <c r="B22" s="1">
        <f ca="1">IFERROR(__xludf.DUMMYFUNCTION("""COMPUTED_VALUE"""),3.33122478102073)</f>
        <v>3.3312247810207301</v>
      </c>
      <c r="C22" s="1">
        <f ca="1">IFERROR(__xludf.DUMMYFUNCTION("""COMPUTED_VALUE"""),3.3336487565147)</f>
        <v>3.3336487565146999</v>
      </c>
      <c r="D22" s="1">
        <f ca="1">IFERROR(__xludf.DUMMYFUNCTION("""COMPUTED_VALUE"""),4.53542071805617)</f>
        <v>4.5354207180561703</v>
      </c>
    </row>
    <row r="23" spans="1:4" ht="15.75" customHeight="1" x14ac:dyDescent="0.15">
      <c r="A23" s="1">
        <f ca="1">IFERROR(__xludf.DUMMYFUNCTION("""COMPUTED_VALUE"""),2)</f>
        <v>2</v>
      </c>
      <c r="B23" s="1">
        <f ca="1">IFERROR(__xludf.DUMMYFUNCTION("""COMPUTED_VALUE"""),3.57726195358581)</f>
        <v>3.5772619535858099</v>
      </c>
      <c r="C23" s="1">
        <f ca="1">IFERROR(__xludf.DUMMYFUNCTION("""COMPUTED_VALUE"""),3.62613497863538)</f>
        <v>3.6261349786353798</v>
      </c>
      <c r="D23" s="1">
        <f ca="1">IFERROR(__xludf.DUMMYFUNCTION("""COMPUTED_VALUE"""),4.8029446737224)</f>
        <v>4.8029446737223997</v>
      </c>
    </row>
    <row r="24" spans="1:4" ht="15.75" customHeight="1" x14ac:dyDescent="0.15">
      <c r="A24" s="1">
        <f ca="1">IFERROR(__xludf.DUMMYFUNCTION("""COMPUTED_VALUE"""),2)</f>
        <v>2</v>
      </c>
      <c r="B24" s="1">
        <f ca="1">IFERROR(__xludf.DUMMYFUNCTION("""COMPUTED_VALUE"""),3.59139855128124)</f>
        <v>3.5913985512812401</v>
      </c>
      <c r="C24" s="1">
        <f ca="1">IFERROR(__xludf.DUMMYFUNCTION("""COMPUTED_VALUE"""),3.70440792738684)</f>
        <v>3.70440792738684</v>
      </c>
      <c r="D24" s="1">
        <f ca="1">IFERROR(__xludf.DUMMYFUNCTION("""COMPUTED_VALUE"""),4.69304948405958)</f>
        <v>4.6930494840595802</v>
      </c>
    </row>
    <row r="25" spans="1:4" ht="15.75" customHeight="1" x14ac:dyDescent="0.15">
      <c r="A25" s="1">
        <f ca="1">IFERROR(__xludf.DUMMYFUNCTION("""COMPUTED_VALUE"""),2)</f>
        <v>2</v>
      </c>
      <c r="B25" s="1">
        <f ca="1">IFERROR(__xludf.DUMMYFUNCTION("""COMPUTED_VALUE"""),3.77018902273599)</f>
        <v>3.7701890227359902</v>
      </c>
      <c r="C25" s="1">
        <f ca="1">IFERROR(__xludf.DUMMYFUNCTION("""COMPUTED_VALUE"""),3.90698115322885)</f>
        <v>3.9069811532288501</v>
      </c>
      <c r="D25" s="1">
        <f ca="1">IFERROR(__xludf.DUMMYFUNCTION("""COMPUTED_VALUE"""),4.74725639744214)</f>
        <v>4.7472563974421398</v>
      </c>
    </row>
    <row r="26" spans="1:4" ht="15.75" customHeight="1" x14ac:dyDescent="0.15">
      <c r="A26" s="1">
        <f ca="1">IFERROR(__xludf.DUMMYFUNCTION("""COMPUTED_VALUE"""),2)</f>
        <v>2</v>
      </c>
      <c r="B26" s="1">
        <f ca="1">IFERROR(__xludf.DUMMYFUNCTION("""COMPUTED_VALUE"""),3.81848982220421)</f>
        <v>3.8184898222042101</v>
      </c>
      <c r="C26" s="1">
        <f ca="1">IFERROR(__xludf.DUMMYFUNCTION("""COMPUTED_VALUE"""),3.90074935806107)</f>
        <v>3.9007493580610699</v>
      </c>
      <c r="D26" s="1">
        <f ca="1">IFERROR(__xludf.DUMMYFUNCTION("""COMPUTED_VALUE"""),4.75077058944326)</f>
        <v>4.7507705894432597</v>
      </c>
    </row>
    <row r="27" spans="1:4" ht="15.75" customHeight="1" x14ac:dyDescent="0.15">
      <c r="A27" s="1">
        <f ca="1">IFERROR(__xludf.DUMMYFUNCTION("""COMPUTED_VALUE"""),2)</f>
        <v>2</v>
      </c>
      <c r="B27" s="1">
        <f ca="1">IFERROR(__xludf.DUMMYFUNCTION("""COMPUTED_VALUE"""),3.68367729881869)</f>
        <v>3.6836772988186901</v>
      </c>
      <c r="C27" s="1">
        <f ca="1">IFERROR(__xludf.DUMMYFUNCTION("""COMPUTED_VALUE"""),3.73949323078161)</f>
        <v>3.7394932307816098</v>
      </c>
      <c r="D27" s="1">
        <f ca="1">IFERROR(__xludf.DUMMYFUNCTION("""COMPUTED_VALUE"""),4.78719826004392)</f>
        <v>4.7871982600439198</v>
      </c>
    </row>
    <row r="28" spans="1:4" ht="15.75" customHeight="1" x14ac:dyDescent="0.15">
      <c r="A28" s="1">
        <f ca="1">IFERROR(__xludf.DUMMYFUNCTION("""COMPUTED_VALUE"""),2)</f>
        <v>2</v>
      </c>
      <c r="B28" s="1">
        <f ca="1">IFERROR(__xludf.DUMMYFUNCTION("""COMPUTED_VALUE"""),3.50650503240487)</f>
        <v>3.5065050324048701</v>
      </c>
      <c r="C28" s="1">
        <f ca="1">IFERROR(__xludf.DUMMYFUNCTION("""COMPUTED_VALUE"""),3.67163559660212)</f>
        <v>3.6716355966021199</v>
      </c>
      <c r="D28" s="1">
        <f ca="1">IFERROR(__xludf.DUMMYFUNCTION("""COMPUTED_VALUE"""),4.74661863254814)</f>
        <v>4.7466186325481399</v>
      </c>
    </row>
    <row r="29" spans="1:4" ht="15.75" customHeight="1" x14ac:dyDescent="0.15">
      <c r="A29" s="1">
        <f ca="1">IFERROR(__xludf.DUMMYFUNCTION("""COMPUTED_VALUE"""),2)</f>
        <v>2</v>
      </c>
      <c r="B29" s="1">
        <f ca="1">IFERROR(__xludf.DUMMYFUNCTION("""COMPUTED_VALUE"""),3.52762990087133)</f>
        <v>3.5276299008713301</v>
      </c>
      <c r="C29" s="1">
        <f ca="1">IFERROR(__xludf.DUMMYFUNCTION("""COMPUTED_VALUE"""),3.7008767083769)</f>
        <v>3.7008767083768999</v>
      </c>
      <c r="D29" s="1">
        <f ca="1">IFERROR(__xludf.DUMMYFUNCTION("""COMPUTED_VALUE"""),4.75359837765208)</f>
        <v>4.7535983776520796</v>
      </c>
    </row>
    <row r="30" spans="1:4" ht="15.75" customHeight="1" x14ac:dyDescent="0.15">
      <c r="A30" s="1">
        <f ca="1">IFERROR(__xludf.DUMMYFUNCTION("""COMPUTED_VALUE"""),2)</f>
        <v>2</v>
      </c>
      <c r="B30" s="1">
        <f ca="1">IFERROR(__xludf.DUMMYFUNCTION("""COMPUTED_VALUE"""),3.53630587235103)</f>
        <v>3.5363058723510301</v>
      </c>
      <c r="C30" s="1">
        <f ca="1">IFERROR(__xludf.DUMMYFUNCTION("""COMPUTED_VALUE"""),3.56253076886226)</f>
        <v>3.5625307688622598</v>
      </c>
      <c r="D30" s="1">
        <f ca="1">IFERROR(__xludf.DUMMYFUNCTION("""COMPUTED_VALUE"""),4.80792720421455)</f>
        <v>4.8079272042145504</v>
      </c>
    </row>
    <row r="31" spans="1:4" ht="15.75" customHeight="1" x14ac:dyDescent="0.15">
      <c r="A31" s="1">
        <f ca="1">IFERROR(__xludf.DUMMYFUNCTION("""COMPUTED_VALUE"""),2)</f>
        <v>2</v>
      </c>
      <c r="B31" s="1">
        <f ca="1">IFERROR(__xludf.DUMMYFUNCTION("""COMPUTED_VALUE"""),3.52283531366053)</f>
        <v>3.5228353136605302</v>
      </c>
      <c r="C31" s="1">
        <f ca="1">IFERROR(__xludf.DUMMYFUNCTION("""COMPUTED_VALUE"""),3.91871166538232)</f>
        <v>3.91871166538232</v>
      </c>
      <c r="D31" s="1">
        <f ca="1">IFERROR(__xludf.DUMMYFUNCTION("""COMPUTED_VALUE"""),4.76107042562558)</f>
        <v>4.7610704256255802</v>
      </c>
    </row>
    <row r="32" spans="1:4" ht="15.75" customHeight="1" x14ac:dyDescent="0.15">
      <c r="A32" s="1">
        <f ca="1">IFERROR(__xludf.DUMMYFUNCTION("""COMPUTED_VALUE"""),2)</f>
        <v>2</v>
      </c>
      <c r="B32" s="1">
        <f ca="1">IFERROR(__xludf.DUMMYFUNCTION("""COMPUTED_VALUE"""),3.47334096418593)</f>
        <v>3.4733409641859301</v>
      </c>
      <c r="C32" s="1">
        <f ca="1">IFERROR(__xludf.DUMMYFUNCTION("""COMPUTED_VALUE"""),3.74241088058049)</f>
        <v>3.7424108805804899</v>
      </c>
      <c r="D32" s="1">
        <f ca="1">IFERROR(__xludf.DUMMYFUNCTION("""COMPUTED_VALUE"""),4.78135319690533)</f>
        <v>4.7813531969053296</v>
      </c>
    </row>
    <row r="33" spans="1:4" ht="15.75" customHeight="1" x14ac:dyDescent="0.15">
      <c r="A33" s="1">
        <f ca="1">IFERROR(__xludf.DUMMYFUNCTION("""COMPUTED_VALUE"""),2)</f>
        <v>2</v>
      </c>
      <c r="B33" s="1">
        <f ca="1">IFERROR(__xludf.DUMMYFUNCTION("""COMPUTED_VALUE"""),3.55654370848351)</f>
        <v>3.5565437084835101</v>
      </c>
      <c r="C33" s="1">
        <f ca="1">IFERROR(__xludf.DUMMYFUNCTION("""COMPUTED_VALUE"""),3.6431564656197)</f>
        <v>3.6431564656197</v>
      </c>
      <c r="D33" s="1">
        <f ca="1">IFERROR(__xludf.DUMMYFUNCTION("""COMPUTED_VALUE"""),4.63804974826438)</f>
        <v>4.6380497482643799</v>
      </c>
    </row>
    <row r="34" spans="1:4" ht="15.75" customHeight="1" x14ac:dyDescent="0.15">
      <c r="A34" s="1">
        <f ca="1">IFERROR(__xludf.DUMMYFUNCTION("""COMPUTED_VALUE"""),2)</f>
        <v>2</v>
      </c>
      <c r="B34" s="1">
        <f ca="1">IFERROR(__xludf.DUMMYFUNCTION("""COMPUTED_VALUE"""),3.48967729166369)</f>
        <v>3.48967729166369</v>
      </c>
      <c r="C34" s="1">
        <f ca="1">IFERROR(__xludf.DUMMYFUNCTION("""COMPUTED_VALUE"""),3.6236627073562)</f>
        <v>3.6236627073562002</v>
      </c>
      <c r="D34" s="1">
        <f ca="1">IFERROR(__xludf.DUMMYFUNCTION("""COMPUTED_VALUE"""),4.72806144811563)</f>
        <v>4.7280614481156302</v>
      </c>
    </row>
    <row r="35" spans="1:4" ht="15.75" customHeight="1" x14ac:dyDescent="0.15">
      <c r="A35" s="1">
        <f ca="1">IFERROR(__xludf.DUMMYFUNCTION("""COMPUTED_VALUE"""),2)</f>
        <v>2</v>
      </c>
      <c r="B35" s="1">
        <f ca="1">IFERROR(__xludf.DUMMYFUNCTION("""COMPUTED_VALUE"""),3.5762261374496)</f>
        <v>3.5762261374495998</v>
      </c>
      <c r="C35" s="1">
        <f ca="1">IFERROR(__xludf.DUMMYFUNCTION("""COMPUTED_VALUE"""),3.64933485871214)</f>
        <v>3.6493348587121401</v>
      </c>
      <c r="D35" s="1">
        <f ca="1">IFERROR(__xludf.DUMMYFUNCTION("""COMPUTED_VALUE"""),4.68020856119211)</f>
        <v>4.68020856119211</v>
      </c>
    </row>
    <row r="36" spans="1:4" ht="15.75" customHeight="1" x14ac:dyDescent="0.15">
      <c r="A36" s="1">
        <f ca="1">IFERROR(__xludf.DUMMYFUNCTION("""COMPUTED_VALUE"""),3)</f>
        <v>3</v>
      </c>
      <c r="B36" s="1">
        <f ca="1">IFERROR(__xludf.DUMMYFUNCTION("""COMPUTED_VALUE"""),5.10659541549558)</f>
        <v>5.1065954154955797</v>
      </c>
      <c r="C36" s="1">
        <f ca="1">IFERROR(__xludf.DUMMYFUNCTION("""COMPUTED_VALUE"""),5.45716100546927)</f>
        <v>5.4571610054692696</v>
      </c>
      <c r="D36" s="1">
        <f ca="1">IFERROR(__xludf.DUMMYFUNCTION("""COMPUTED_VALUE"""),6.33283762534636)</f>
        <v>6.3328376253463601</v>
      </c>
    </row>
    <row r="37" spans="1:4" ht="15.75" customHeight="1" x14ac:dyDescent="0.15">
      <c r="A37" s="1">
        <f ca="1">IFERROR(__xludf.DUMMYFUNCTION("""COMPUTED_VALUE"""),3)</f>
        <v>3</v>
      </c>
      <c r="B37" s="1">
        <f ca="1">IFERROR(__xludf.DUMMYFUNCTION("""COMPUTED_VALUE"""),4.69156770043805)</f>
        <v>4.6915677004380498</v>
      </c>
      <c r="C37" s="1">
        <f ca="1">IFERROR(__xludf.DUMMYFUNCTION("""COMPUTED_VALUE"""),5.09129404275846)</f>
        <v>5.0912940427584603</v>
      </c>
      <c r="D37" s="1">
        <f ca="1">IFERROR(__xludf.DUMMYFUNCTION("""COMPUTED_VALUE"""),6.25355606722012)</f>
        <v>6.2535560672201198</v>
      </c>
    </row>
    <row r="38" spans="1:4" ht="15.75" customHeight="1" x14ac:dyDescent="0.15">
      <c r="A38" s="1">
        <f ca="1">IFERROR(__xludf.DUMMYFUNCTION("""COMPUTED_VALUE"""),3)</f>
        <v>3</v>
      </c>
      <c r="B38" s="1">
        <f ca="1">IFERROR(__xludf.DUMMYFUNCTION("""COMPUTED_VALUE"""),5.35052324278754)</f>
        <v>5.3505232427875402</v>
      </c>
      <c r="C38" s="1">
        <f ca="1">IFERROR(__xludf.DUMMYFUNCTION("""COMPUTED_VALUE"""),5.63684681826179)</f>
        <v>5.6368468182617901</v>
      </c>
      <c r="D38" s="1">
        <f ca="1">IFERROR(__xludf.DUMMYFUNCTION("""COMPUTED_VALUE"""),6.38375003743435)</f>
        <v>6.3837500374343499</v>
      </c>
    </row>
    <row r="39" spans="1:4" ht="15.75" customHeight="1" x14ac:dyDescent="0.15">
      <c r="A39" s="1">
        <f ca="1">IFERROR(__xludf.DUMMYFUNCTION("""COMPUTED_VALUE"""),3)</f>
        <v>3</v>
      </c>
      <c r="B39" s="1">
        <f ca="1">IFERROR(__xludf.DUMMYFUNCTION("""COMPUTED_VALUE"""),5.21221424741994)</f>
        <v>5.21221424741994</v>
      </c>
      <c r="C39" s="1">
        <f ca="1">IFERROR(__xludf.DUMMYFUNCTION("""COMPUTED_VALUE"""),5.36410615511735)</f>
        <v>5.3641061551173497</v>
      </c>
      <c r="D39" s="1">
        <f ca="1">IFERROR(__xludf.DUMMYFUNCTION("""COMPUTED_VALUE"""),6.35465653405201)</f>
        <v>6.35465653405201</v>
      </c>
    </row>
    <row r="40" spans="1:4" ht="15.75" customHeight="1" x14ac:dyDescent="0.15">
      <c r="A40" s="1">
        <f ca="1">IFERROR(__xludf.DUMMYFUNCTION("""COMPUTED_VALUE"""),3)</f>
        <v>3</v>
      </c>
      <c r="B40" s="1">
        <f ca="1">IFERROR(__xludf.DUMMYFUNCTION("""COMPUTED_VALUE"""),4.93979870856182)</f>
        <v>4.9397987085618196</v>
      </c>
      <c r="C40" s="1">
        <f ca="1">IFERROR(__xludf.DUMMYFUNCTION("""COMPUTED_VALUE"""),5.09365628090447)</f>
        <v>5.0936562809044696</v>
      </c>
      <c r="D40" s="1">
        <f ca="1">IFERROR(__xludf.DUMMYFUNCTION("""COMPUTED_VALUE"""),6.22147161830738)</f>
        <v>6.2214716183073797</v>
      </c>
    </row>
    <row r="41" spans="1:4" ht="15.75" customHeight="1" x14ac:dyDescent="0.15">
      <c r="A41" s="1">
        <f ca="1">IFERROR(__xludf.DUMMYFUNCTION("""COMPUTED_VALUE"""),3)</f>
        <v>3</v>
      </c>
      <c r="B41" s="1">
        <f ca="1">IFERROR(__xludf.DUMMYFUNCTION("""COMPUTED_VALUE"""),5.22599637085341)</f>
        <v>5.2259963708534096</v>
      </c>
      <c r="C41" s="1">
        <f ca="1">IFERROR(__xludf.DUMMYFUNCTION("""COMPUTED_VALUE"""),5.28182165760489)</f>
        <v>5.2818216576048904</v>
      </c>
      <c r="D41" s="1">
        <f ca="1">IFERROR(__xludf.DUMMYFUNCTION("""COMPUTED_VALUE"""),6.28848889356085)</f>
        <v>6.2884888935608503</v>
      </c>
    </row>
    <row r="42" spans="1:4" ht="15.75" customHeight="1" x14ac:dyDescent="0.15">
      <c r="A42" s="1">
        <f ca="1">IFERROR(__xludf.DUMMYFUNCTION("""COMPUTED_VALUE"""),3)</f>
        <v>3</v>
      </c>
      <c r="B42" s="1">
        <f ca="1">IFERROR(__xludf.DUMMYFUNCTION("""COMPUTED_VALUE"""),4.92902021369386)</f>
        <v>4.9290202136938603</v>
      </c>
      <c r="C42" s="1">
        <f ca="1">IFERROR(__xludf.DUMMYFUNCTION("""COMPUTED_VALUE"""),5.42399090994449)</f>
        <v>5.4239909099444903</v>
      </c>
      <c r="D42" s="1">
        <f ca="1">IFERROR(__xludf.DUMMYFUNCTION("""COMPUTED_VALUE"""),6.35978446396533)</f>
        <v>6.3597844639653296</v>
      </c>
    </row>
    <row r="43" spans="1:4" ht="15.75" customHeight="1" x14ac:dyDescent="0.15">
      <c r="A43" s="1">
        <f ca="1">IFERROR(__xludf.DUMMYFUNCTION("""COMPUTED_VALUE"""),3)</f>
        <v>3</v>
      </c>
      <c r="B43" s="1">
        <f ca="1">IFERROR(__xludf.DUMMYFUNCTION("""COMPUTED_VALUE"""),5.09593262001094)</f>
        <v>5.0959326200109398</v>
      </c>
      <c r="C43" s="1">
        <f ca="1">IFERROR(__xludf.DUMMYFUNCTION("""COMPUTED_VALUE"""),5.48237900640864)</f>
        <v>5.4823790064086397</v>
      </c>
      <c r="D43" s="1">
        <f ca="1">IFERROR(__xludf.DUMMYFUNCTION("""COMPUTED_VALUE"""),6.36115191972574)</f>
        <v>6.3611519197257396</v>
      </c>
    </row>
    <row r="44" spans="1:4" ht="15.75" customHeight="1" x14ac:dyDescent="0.15">
      <c r="A44" s="1">
        <f ca="1">IFERROR(__xludf.DUMMYFUNCTION("""COMPUTED_VALUE"""),3)</f>
        <v>3</v>
      </c>
      <c r="B44" s="1">
        <f ca="1">IFERROR(__xludf.DUMMYFUNCTION("""COMPUTED_VALUE"""),5.32422481997823)</f>
        <v>5.3242248199782303</v>
      </c>
      <c r="C44" s="1">
        <f ca="1">IFERROR(__xludf.DUMMYFUNCTION("""COMPUTED_VALUE"""),5.46797639682797)</f>
        <v>5.4679763968279698</v>
      </c>
      <c r="D44" s="1">
        <f ca="1">IFERROR(__xludf.DUMMYFUNCTION("""COMPUTED_VALUE"""),6.38563951461981)</f>
        <v>6.3856395146198102</v>
      </c>
    </row>
    <row r="45" spans="1:4" ht="15.75" customHeight="1" x14ac:dyDescent="0.15">
      <c r="A45" s="1">
        <f ca="1">IFERROR(__xludf.DUMMYFUNCTION("""COMPUTED_VALUE"""),3)</f>
        <v>3</v>
      </c>
      <c r="B45" s="1">
        <f ca="1">IFERROR(__xludf.DUMMYFUNCTION("""COMPUTED_VALUE"""),5.24345972997095)</f>
        <v>5.24345972997095</v>
      </c>
      <c r="C45" s="1">
        <f ca="1">IFERROR(__xludf.DUMMYFUNCTION("""COMPUTED_VALUE"""),5.32139956629523)</f>
        <v>5.3213995662952298</v>
      </c>
      <c r="D45" s="1">
        <f ca="1">IFERROR(__xludf.DUMMYFUNCTION("""COMPUTED_VALUE"""),6.31320895535149)</f>
        <v>6.3132089553514898</v>
      </c>
    </row>
    <row r="46" spans="1:4" ht="15.75" customHeight="1" x14ac:dyDescent="0.15">
      <c r="A46" s="1">
        <f ca="1">IFERROR(__xludf.DUMMYFUNCTION("""COMPUTED_VALUE"""),3)</f>
        <v>3</v>
      </c>
      <c r="B46" s="1">
        <f ca="1">IFERROR(__xludf.DUMMYFUNCTION("""COMPUTED_VALUE"""),4.97299847001508)</f>
        <v>4.9729984700150798</v>
      </c>
      <c r="C46" s="1">
        <f ca="1">IFERROR(__xludf.DUMMYFUNCTION("""COMPUTED_VALUE"""),5.36006868705808)</f>
        <v>5.3600686870580798</v>
      </c>
      <c r="D46" s="1">
        <f ca="1">IFERROR(__xludf.DUMMYFUNCTION("""COMPUTED_VALUE"""),6.32198512620781)</f>
        <v>6.3219851262078102</v>
      </c>
    </row>
    <row r="47" spans="1:4" ht="15.75" customHeight="1" x14ac:dyDescent="0.15">
      <c r="A47" s="1">
        <f ca="1">IFERROR(__xludf.DUMMYFUNCTION("""COMPUTED_VALUE"""),3)</f>
        <v>3</v>
      </c>
      <c r="B47" s="1">
        <f ca="1">IFERROR(__xludf.DUMMYFUNCTION("""COMPUTED_VALUE"""),5.20757782195895)</f>
        <v>5.2075778219589504</v>
      </c>
      <c r="C47" s="1">
        <f ca="1">IFERROR(__xludf.DUMMYFUNCTION("""COMPUTED_VALUE"""),5.31118572901945)</f>
        <v>5.3111857290194502</v>
      </c>
      <c r="D47" s="1">
        <f ca="1">IFERROR(__xludf.DUMMYFUNCTION("""COMPUTED_VALUE"""),6.36537153343151)</f>
        <v>6.3653715334315102</v>
      </c>
    </row>
    <row r="48" spans="1:4" ht="15.75" customHeight="1" x14ac:dyDescent="0.15">
      <c r="A48" s="1">
        <f ca="1">IFERROR(__xludf.DUMMYFUNCTION("""COMPUTED_VALUE"""),3)</f>
        <v>3</v>
      </c>
      <c r="B48" s="1">
        <f ca="1">IFERROR(__xludf.DUMMYFUNCTION("""COMPUTED_VALUE"""),4.81360100167765)</f>
        <v>4.8136010016776503</v>
      </c>
      <c r="C48" s="1">
        <f ca="1">IFERROR(__xludf.DUMMYFUNCTION("""COMPUTED_VALUE"""),5.44046196926169)</f>
        <v>5.4404619692616896</v>
      </c>
      <c r="D48" s="1">
        <f ca="1">IFERROR(__xludf.DUMMYFUNCTION("""COMPUTED_VALUE"""),6.39463674190264)</f>
        <v>6.39463674190264</v>
      </c>
    </row>
    <row r="49" spans="1:4" ht="15.75" customHeight="1" x14ac:dyDescent="0.15">
      <c r="A49" s="1">
        <f ca="1">IFERROR(__xludf.DUMMYFUNCTION("""COMPUTED_VALUE"""),3)</f>
        <v>3</v>
      </c>
      <c r="B49" s="1">
        <f ca="1">IFERROR(__xludf.DUMMYFUNCTION("""COMPUTED_VALUE"""),5.13788241366067)</f>
        <v>5.1378824136606696</v>
      </c>
      <c r="C49" s="1">
        <f ca="1">IFERROR(__xludf.DUMMYFUNCTION("""COMPUTED_VALUE"""),5.34900345656872)</f>
        <v>5.3490034565687203</v>
      </c>
      <c r="D49" s="1">
        <f ca="1">IFERROR(__xludf.DUMMYFUNCTION("""COMPUTED_VALUE"""),6.37472763864874)</f>
        <v>6.3747276386487401</v>
      </c>
    </row>
    <row r="50" spans="1:4" ht="15.75" customHeight="1" x14ac:dyDescent="0.15">
      <c r="A50" s="1">
        <f ca="1">IFERROR(__xludf.DUMMYFUNCTION("""COMPUTED_VALUE"""),3)</f>
        <v>3</v>
      </c>
      <c r="B50" s="1">
        <f ca="1">IFERROR(__xludf.DUMMYFUNCTION("""COMPUTED_VALUE"""),5.07042947905661)</f>
        <v>5.0704294790566102</v>
      </c>
      <c r="C50" s="1">
        <f ca="1">IFERROR(__xludf.DUMMYFUNCTION("""COMPUTED_VALUE"""),5.37774688008466)</f>
        <v>5.3777468800846604</v>
      </c>
      <c r="D50" s="1">
        <f ca="1">IFERROR(__xludf.DUMMYFUNCTION("""COMPUTED_VALUE"""),6.33134184649654)</f>
        <v>6.3313418464965396</v>
      </c>
    </row>
    <row r="51" spans="1:4" ht="15.75" customHeight="1" x14ac:dyDescent="0.15">
      <c r="A51" s="1">
        <f ca="1">IFERROR(__xludf.DUMMYFUNCTION("""COMPUTED_VALUE"""),3)</f>
        <v>3</v>
      </c>
      <c r="B51" s="1">
        <f ca="1">IFERROR(__xludf.DUMMYFUNCTION("""COMPUTED_VALUE"""),5.14207959224067)</f>
        <v>5.1420795922406697</v>
      </c>
      <c r="C51" s="1">
        <f ca="1">IFERROR(__xludf.DUMMYFUNCTION("""COMPUTED_VALUE"""),5.37983106768954)</f>
        <v>5.3798310676895396</v>
      </c>
      <c r="D51" s="1">
        <f ca="1">IFERROR(__xludf.DUMMYFUNCTION("""COMPUTED_VALUE"""),6.3245285543721)</f>
        <v>6.3245285543721002</v>
      </c>
    </row>
    <row r="52" spans="1:4" ht="15.75" customHeight="1" x14ac:dyDescent="0.15">
      <c r="A52" s="1">
        <f ca="1">IFERROR(__xludf.DUMMYFUNCTION("""COMPUTED_VALUE"""),3)</f>
        <v>3</v>
      </c>
      <c r="B52" s="1">
        <f ca="1">IFERROR(__xludf.DUMMYFUNCTION("""COMPUTED_VALUE"""),5.16919521170187)</f>
        <v>5.1691952117018696</v>
      </c>
      <c r="C52" s="1">
        <f ca="1">IFERROR(__xludf.DUMMYFUNCTION("""COMPUTED_VALUE"""),5.3366678251215)</f>
        <v>5.3366678251215003</v>
      </c>
      <c r="D52" s="1">
        <f ca="1">IFERROR(__xludf.DUMMYFUNCTION("""COMPUTED_VALUE"""),6.33527551889613)</f>
        <v>6.3352755188961298</v>
      </c>
    </row>
    <row r="53" spans="1:4" ht="15.75" customHeight="1" x14ac:dyDescent="0.15">
      <c r="A53" s="1">
        <f ca="1">IFERROR(__xludf.DUMMYFUNCTION("""COMPUTED_VALUE"""),4)</f>
        <v>4</v>
      </c>
      <c r="B53" s="1">
        <f ca="1">IFERROR(__xludf.DUMMYFUNCTION("""COMPUTED_VALUE"""),6.30243180491835)</f>
        <v>6.3024318049183501</v>
      </c>
      <c r="C53" s="1">
        <f ca="1">IFERROR(__xludf.DUMMYFUNCTION("""COMPUTED_VALUE"""),6.56587437119289)</f>
        <v>6.5658743711928897</v>
      </c>
      <c r="D53" s="1">
        <f ca="1">IFERROR(__xludf.DUMMYFUNCTION("""COMPUTED_VALUE"""),7.39261390188435)</f>
        <v>7.3926139018843502</v>
      </c>
    </row>
    <row r="54" spans="1:4" ht="15.75" customHeight="1" x14ac:dyDescent="0.15">
      <c r="A54" s="1">
        <f ca="1">IFERROR(__xludf.DUMMYFUNCTION("""COMPUTED_VALUE"""),4)</f>
        <v>4</v>
      </c>
      <c r="B54" s="1">
        <f ca="1">IFERROR(__xludf.DUMMYFUNCTION("""COMPUTED_VALUE"""),5.91349595961712)</f>
        <v>5.9134959596171202</v>
      </c>
      <c r="C54" s="1">
        <f ca="1">IFERROR(__xludf.DUMMYFUNCTION("""COMPUTED_VALUE"""),6.19908210269331)</f>
        <v>6.1990821026933096</v>
      </c>
      <c r="D54" s="1">
        <f ca="1">IFERROR(__xludf.DUMMYFUNCTION("""COMPUTED_VALUE"""),7.34770130033794)</f>
        <v>7.3477013003379401</v>
      </c>
    </row>
    <row r="55" spans="1:4" ht="15.75" customHeight="1" x14ac:dyDescent="0.15">
      <c r="A55" s="1">
        <f ca="1">IFERROR(__xludf.DUMMYFUNCTION("""COMPUTED_VALUE"""),4)</f>
        <v>4</v>
      </c>
      <c r="B55" s="1">
        <f ca="1">IFERROR(__xludf.DUMMYFUNCTION("""COMPUTED_VALUE"""),6.32837124369923)</f>
        <v>6.3283712436992303</v>
      </c>
      <c r="C55" s="1">
        <f ca="1">IFERROR(__xludf.DUMMYFUNCTION("""COMPUTED_VALUE"""),6.76181406541438)</f>
        <v>6.7618140654143799</v>
      </c>
      <c r="D55" s="1">
        <f ca="1">IFERROR(__xludf.DUMMYFUNCTION("""COMPUTED_VALUE"""),7.45666175378155)</f>
        <v>7.4566617537815496</v>
      </c>
    </row>
    <row r="56" spans="1:4" ht="15.75" customHeight="1" x14ac:dyDescent="0.15">
      <c r="A56" s="1">
        <f ca="1">IFERROR(__xludf.DUMMYFUNCTION("""COMPUTED_VALUE"""),4)</f>
        <v>4</v>
      </c>
      <c r="B56" s="1">
        <f ca="1">IFERROR(__xludf.DUMMYFUNCTION("""COMPUTED_VALUE"""),5.82981947271215)</f>
        <v>5.82981947271215</v>
      </c>
      <c r="C56" s="1">
        <f ca="1">IFERROR(__xludf.DUMMYFUNCTION("""COMPUTED_VALUE"""),6.42823363339039)</f>
        <v>6.4282336333903896</v>
      </c>
      <c r="D56" s="1">
        <f ca="1">IFERROR(__xludf.DUMMYFUNCTION("""COMPUTED_VALUE"""),7.39412648618354)</f>
        <v>7.3941264861835396</v>
      </c>
    </row>
    <row r="57" spans="1:4" ht="15.75" customHeight="1" x14ac:dyDescent="0.15">
      <c r="A57" s="1">
        <f ca="1">IFERROR(__xludf.DUMMYFUNCTION("""COMPUTED_VALUE"""),4)</f>
        <v>4</v>
      </c>
      <c r="B57" s="1">
        <f ca="1">IFERROR(__xludf.DUMMYFUNCTION("""COMPUTED_VALUE"""),6.28299372079876)</f>
        <v>6.2829937207987596</v>
      </c>
      <c r="C57" s="1">
        <f ca="1">IFERROR(__xludf.DUMMYFUNCTION("""COMPUTED_VALUE"""),6.40455903255202)</f>
        <v>6.4045590325520196</v>
      </c>
      <c r="D57" s="1">
        <f ca="1">IFERROR(__xludf.DUMMYFUNCTION("""COMPUTED_VALUE"""),7.41745247753094)</f>
        <v>7.4174524775309401</v>
      </c>
    </row>
    <row r="58" spans="1:4" ht="15.75" customHeight="1" x14ac:dyDescent="0.15">
      <c r="A58" s="1">
        <f ca="1">IFERROR(__xludf.DUMMYFUNCTION("""COMPUTED_VALUE"""),4)</f>
        <v>4</v>
      </c>
      <c r="B58" s="1">
        <f ca="1">IFERROR(__xludf.DUMMYFUNCTION("""COMPUTED_VALUE"""),6.14291730738516)</f>
        <v>6.1429173073851597</v>
      </c>
      <c r="C58" s="1">
        <f ca="1">IFERROR(__xludf.DUMMYFUNCTION("""COMPUTED_VALUE"""),6.50984448077495)</f>
        <v>6.5098444807749498</v>
      </c>
      <c r="D58" s="1">
        <f ca="1">IFERROR(__xludf.DUMMYFUNCTION("""COMPUTED_VALUE"""),7.4098971784834)</f>
        <v>7.4098971784833996</v>
      </c>
    </row>
    <row r="59" spans="1:4" ht="15.75" customHeight="1" x14ac:dyDescent="0.15">
      <c r="A59" s="1">
        <f ca="1">IFERROR(__xludf.DUMMYFUNCTION("""COMPUTED_VALUE"""),4)</f>
        <v>4</v>
      </c>
      <c r="B59" s="1">
        <f ca="1">IFERROR(__xludf.DUMMYFUNCTION("""COMPUTED_VALUE"""),6.28411002716975)</f>
        <v>6.2841100271697501</v>
      </c>
      <c r="C59" s="1">
        <f ca="1">IFERROR(__xludf.DUMMYFUNCTION("""COMPUTED_VALUE"""),6.62289943906079)</f>
        <v>6.6228994390607898</v>
      </c>
      <c r="D59" s="1">
        <f ca="1">IFERROR(__xludf.DUMMYFUNCTION("""COMPUTED_VALUE"""),7.46993734633338)</f>
        <v>7.4699373463333796</v>
      </c>
    </row>
    <row r="60" spans="1:4" ht="15.75" customHeight="1" x14ac:dyDescent="0.15">
      <c r="A60" s="1">
        <f ca="1">IFERROR(__xludf.DUMMYFUNCTION("""COMPUTED_VALUE"""),4)</f>
        <v>4</v>
      </c>
      <c r="B60" s="1">
        <f ca="1">IFERROR(__xludf.DUMMYFUNCTION("""COMPUTED_VALUE"""),6.16654910666213)</f>
        <v>6.1665491066621296</v>
      </c>
      <c r="C60" s="1">
        <f ca="1">IFERROR(__xludf.DUMMYFUNCTION("""COMPUTED_VALUE"""),6.52932831397816)</f>
        <v>6.5293283139781604</v>
      </c>
      <c r="D60" s="1">
        <f ca="1">IFERROR(__xludf.DUMMYFUNCTION("""COMPUTED_VALUE"""),7.46203934724164)</f>
        <v>7.4620393472416398</v>
      </c>
    </row>
    <row r="61" spans="1:4" ht="15.75" customHeight="1" x14ac:dyDescent="0.15">
      <c r="A61" s="1">
        <f ca="1">IFERROR(__xludf.DUMMYFUNCTION("""COMPUTED_VALUE"""),4)</f>
        <v>4</v>
      </c>
      <c r="B61" s="1">
        <f ca="1">IFERROR(__xludf.DUMMYFUNCTION("""COMPUTED_VALUE"""),5.79001197235784)</f>
        <v>5.7900119723578403</v>
      </c>
      <c r="C61" s="1">
        <f ca="1">IFERROR(__xludf.DUMMYFUNCTION("""COMPUTED_VALUE"""),6.55194963708034)</f>
        <v>6.5519496370803401</v>
      </c>
      <c r="D61" s="1">
        <f ca="1">IFERROR(__xludf.DUMMYFUNCTION("""COMPUTED_VALUE"""),7.44740335393352)</f>
        <v>7.4474033539335203</v>
      </c>
    </row>
    <row r="62" spans="1:4" ht="15.75" customHeight="1" x14ac:dyDescent="0.15">
      <c r="A62" s="1">
        <f ca="1">IFERROR(__xludf.DUMMYFUNCTION("""COMPUTED_VALUE"""),4)</f>
        <v>4</v>
      </c>
      <c r="B62" s="1">
        <f ca="1">IFERROR(__xludf.DUMMYFUNCTION("""COMPUTED_VALUE"""),6.13718472881927)</f>
        <v>6.1371847288192702</v>
      </c>
      <c r="C62" s="1">
        <f ca="1">IFERROR(__xludf.DUMMYFUNCTION("""COMPUTED_VALUE"""),6.40707888228328)</f>
        <v>6.4070788822832796</v>
      </c>
      <c r="D62" s="1">
        <f ca="1">IFERROR(__xludf.DUMMYFUNCTION("""COMPUTED_VALUE"""),7.40262784114369)</f>
        <v>7.4026278411436897</v>
      </c>
    </row>
    <row r="63" spans="1:4" ht="15.75" customHeight="1" x14ac:dyDescent="0.15">
      <c r="A63" s="1">
        <f ca="1">IFERROR(__xludf.DUMMYFUNCTION("""COMPUTED_VALUE"""),4)</f>
        <v>4</v>
      </c>
      <c r="B63" s="1">
        <f ca="1">IFERROR(__xludf.DUMMYFUNCTION("""COMPUTED_VALUE"""),6.17414822841023)</f>
        <v>6.17414822841023</v>
      </c>
      <c r="C63" s="1">
        <f ca="1">IFERROR(__xludf.DUMMYFUNCTION("""COMPUTED_VALUE"""),6.41881749647901)</f>
        <v>6.4188174964790097</v>
      </c>
      <c r="D63" s="1">
        <f ca="1">IFERROR(__xludf.DUMMYFUNCTION("""COMPUTED_VALUE"""),7.4086230781256)</f>
        <v>7.4086230781255997</v>
      </c>
    </row>
    <row r="64" spans="1:4" ht="15.75" customHeight="1" x14ac:dyDescent="0.15">
      <c r="A64" s="1">
        <f ca="1">IFERROR(__xludf.DUMMYFUNCTION("""COMPUTED_VALUE"""),4)</f>
        <v>4</v>
      </c>
      <c r="B64" s="1">
        <f ca="1">IFERROR(__xludf.DUMMYFUNCTION("""COMPUTED_VALUE"""),5.61047384485864)</f>
        <v>5.6104738448586398</v>
      </c>
      <c r="C64" s="1">
        <f ca="1">IFERROR(__xludf.DUMMYFUNCTION("""COMPUTED_VALUE"""),6.51072619652331)</f>
        <v>6.5107261965233096</v>
      </c>
      <c r="D64" s="1">
        <f ca="1">IFERROR(__xludf.DUMMYFUNCTION("""COMPUTED_VALUE"""),7.45145429578946)</f>
        <v>7.4514542957894596</v>
      </c>
    </row>
    <row r="65" spans="1:4" ht="13" x14ac:dyDescent="0.15">
      <c r="A65" s="1">
        <f ca="1">IFERROR(__xludf.DUMMYFUNCTION("""COMPUTED_VALUE"""),4)</f>
        <v>4</v>
      </c>
      <c r="B65" s="1">
        <f ca="1">IFERROR(__xludf.DUMMYFUNCTION("""COMPUTED_VALUE"""),6.22853509229476)</f>
        <v>6.2285350922947602</v>
      </c>
      <c r="C65" s="1">
        <f ca="1">IFERROR(__xludf.DUMMYFUNCTION("""COMPUTED_VALUE"""),6.49374181816104)</f>
        <v>6.4937418181610402</v>
      </c>
      <c r="D65" s="1">
        <f ca="1">IFERROR(__xludf.DUMMYFUNCTION("""COMPUTED_VALUE"""),7.47578912901376)</f>
        <v>7.4757891290137604</v>
      </c>
    </row>
    <row r="66" spans="1:4" ht="13" x14ac:dyDescent="0.15">
      <c r="A66" s="1">
        <f ca="1">IFERROR(__xludf.DUMMYFUNCTION("""COMPUTED_VALUE"""),4)</f>
        <v>4</v>
      </c>
      <c r="B66" s="1">
        <f ca="1">IFERROR(__xludf.DUMMYFUNCTION("""COMPUTED_VALUE"""),6.23939984337184)</f>
        <v>6.2393998433718396</v>
      </c>
      <c r="C66" s="1">
        <f ca="1">IFERROR(__xludf.DUMMYFUNCTION("""COMPUTED_VALUE"""),6.50900657501887)</f>
        <v>6.5090065750188701</v>
      </c>
      <c r="D66" s="1">
        <f ca="1">IFERROR(__xludf.DUMMYFUNCTION("""COMPUTED_VALUE"""),7.43344433503144)</f>
        <v>7.4334443350314396</v>
      </c>
    </row>
    <row r="67" spans="1:4" ht="13" x14ac:dyDescent="0.15">
      <c r="A67" s="1">
        <f ca="1">IFERROR(__xludf.DUMMYFUNCTION("""COMPUTED_VALUE"""),4)</f>
        <v>4</v>
      </c>
      <c r="B67" s="1">
        <f ca="1">IFERROR(__xludf.DUMMYFUNCTION("""COMPUTED_VALUE"""),6.27639699984439)</f>
        <v>6.2763969998443896</v>
      </c>
      <c r="C67" s="1">
        <f ca="1">IFERROR(__xludf.DUMMYFUNCTION("""COMPUTED_VALUE"""),6.528773025263)</f>
        <v>6.5287730252629999</v>
      </c>
      <c r="D67" s="1">
        <f ca="1">IFERROR(__xludf.DUMMYFUNCTION("""COMPUTED_VALUE"""),7.41566416166338)</f>
        <v>7.41566416166338</v>
      </c>
    </row>
    <row r="68" spans="1:4" ht="13" x14ac:dyDescent="0.15">
      <c r="A68" s="1">
        <f ca="1">IFERROR(__xludf.DUMMYFUNCTION("""COMPUTED_VALUE"""),4)</f>
        <v>4</v>
      </c>
      <c r="B68" s="1">
        <f ca="1">IFERROR(__xludf.DUMMYFUNCTION("""COMPUTED_VALUE"""),6.22253283238514)</f>
        <v>6.2225328323851397</v>
      </c>
      <c r="C68" s="1">
        <f ca="1">IFERROR(__xludf.DUMMYFUNCTION("""COMPUTED_VALUE"""),6.40503628313557)</f>
        <v>6.4050362831355701</v>
      </c>
      <c r="D68" s="1">
        <f ca="1">IFERROR(__xludf.DUMMYFUNCTION("""COMPUTED_VALUE"""),7.41557174410133)</f>
        <v>7.4155717441013298</v>
      </c>
    </row>
    <row r="69" spans="1:4" ht="13" x14ac:dyDescent="0.15">
      <c r="A69" s="1">
        <f ca="1">IFERROR(__xludf.DUMMYFUNCTION("""COMPUTED_VALUE"""),5)</f>
        <v>5</v>
      </c>
      <c r="B69" s="1">
        <f ca="1">IFERROR(__xludf.DUMMYFUNCTION("""COMPUTED_VALUE"""),6.99437338290444)</f>
        <v>6.9943733829044401</v>
      </c>
      <c r="C69" s="1">
        <f ca="1">IFERROR(__xludf.DUMMYFUNCTION("""COMPUTED_VALUE"""),7.41949959889393)</f>
        <v>7.4194995988939301</v>
      </c>
      <c r="D69" s="1">
        <f ca="1">IFERROR(__xludf.DUMMYFUNCTION("""COMPUTED_VALUE"""),8.19969250162465)</f>
        <v>8.19969250162465</v>
      </c>
    </row>
    <row r="70" spans="1:4" ht="13" x14ac:dyDescent="0.15">
      <c r="A70" s="1">
        <f ca="1">IFERROR(__xludf.DUMMYFUNCTION("""COMPUTED_VALUE"""),5)</f>
        <v>5</v>
      </c>
      <c r="B70" s="1">
        <f ca="1">IFERROR(__xludf.DUMMYFUNCTION("""COMPUTED_VALUE"""),6.87643118154848)</f>
        <v>6.8764311815484804</v>
      </c>
      <c r="C70" s="1">
        <f ca="1">IFERROR(__xludf.DUMMYFUNCTION("""COMPUTED_VALUE"""),7.09275726700417)</f>
        <v>7.0927572670041696</v>
      </c>
      <c r="D70" s="1">
        <f ca="1">IFERROR(__xludf.DUMMYFUNCTION("""COMPUTED_VALUE"""),8.16754296449288)</f>
        <v>8.1675429644928794</v>
      </c>
    </row>
    <row r="71" spans="1:4" ht="13" x14ac:dyDescent="0.15">
      <c r="A71" s="1">
        <f ca="1">IFERROR(__xludf.DUMMYFUNCTION("""COMPUTED_VALUE"""),5)</f>
        <v>5</v>
      </c>
      <c r="B71" s="1">
        <f ca="1">IFERROR(__xludf.DUMMYFUNCTION("""COMPUTED_VALUE"""),6.49196564350441)</f>
        <v>6.4919656435044102</v>
      </c>
      <c r="C71" s="1">
        <f ca="1">IFERROR(__xludf.DUMMYFUNCTION("""COMPUTED_VALUE"""),7.56515823024681)</f>
        <v>7.5651582302468103</v>
      </c>
      <c r="D71" s="1">
        <f ca="1">IFERROR(__xludf.DUMMYFUNCTION("""COMPUTED_VALUE"""),8.27845111924941)</f>
        <v>8.2784511192494108</v>
      </c>
    </row>
    <row r="72" spans="1:4" ht="13" x14ac:dyDescent="0.15">
      <c r="A72" s="1">
        <f ca="1">IFERROR(__xludf.DUMMYFUNCTION("""COMPUTED_VALUE"""),5)</f>
        <v>5</v>
      </c>
      <c r="B72" s="1">
        <f ca="1">IFERROR(__xludf.DUMMYFUNCTION("""COMPUTED_VALUE"""),6.47560422337728)</f>
        <v>6.4756042233772799</v>
      </c>
      <c r="C72" s="1">
        <f ca="1">IFERROR(__xludf.DUMMYFUNCTION("""COMPUTED_VALUE"""),7.17282827974316)</f>
        <v>7.1728282797431602</v>
      </c>
      <c r="D72" s="1">
        <f ca="1">IFERROR(__xludf.DUMMYFUNCTION("""COMPUTED_VALUE"""),8.19235802998313)</f>
        <v>8.1923580299831293</v>
      </c>
    </row>
    <row r="73" spans="1:4" ht="13" x14ac:dyDescent="0.15">
      <c r="A73" s="1">
        <f ca="1">IFERROR(__xludf.DUMMYFUNCTION("""COMPUTED_VALUE"""),5)</f>
        <v>5</v>
      </c>
      <c r="B73" s="1">
        <f ca="1">IFERROR(__xludf.DUMMYFUNCTION("""COMPUTED_VALUE"""),7.0934950186999)</f>
        <v>7.0934950186999002</v>
      </c>
      <c r="C73" s="1">
        <f ca="1">IFERROR(__xludf.DUMMYFUNCTION("""COMPUTED_VALUE"""),7.23741971528681)</f>
        <v>7.2374197152868103</v>
      </c>
      <c r="D73" s="1">
        <f ca="1">IFERROR(__xludf.DUMMYFUNCTION("""COMPUTED_VALUE"""),8.24264799873997)</f>
        <v>8.2426479987399706</v>
      </c>
    </row>
    <row r="74" spans="1:4" ht="13" x14ac:dyDescent="0.15">
      <c r="A74" s="1">
        <f ca="1">IFERROR(__xludf.DUMMYFUNCTION("""COMPUTED_VALUE"""),5)</f>
        <v>5</v>
      </c>
      <c r="B74" s="1">
        <f ca="1">IFERROR(__xludf.DUMMYFUNCTION("""COMPUTED_VALUE"""),7.03554059921485)</f>
        <v>7.0355405992148503</v>
      </c>
      <c r="C74" s="1">
        <f ca="1">IFERROR(__xludf.DUMMYFUNCTION("""COMPUTED_VALUE"""),7.36513216696469)</f>
        <v>7.3651321669646901</v>
      </c>
      <c r="D74" s="1">
        <f ca="1">IFERROR(__xludf.DUMMYFUNCTION("""COMPUTED_VALUE"""),8.22472403249358)</f>
        <v>8.2247240324935795</v>
      </c>
    </row>
    <row r="75" spans="1:4" ht="13" x14ac:dyDescent="0.15">
      <c r="A75" s="1">
        <f ca="1">IFERROR(__xludf.DUMMYFUNCTION("""COMPUTED_VALUE"""),5)</f>
        <v>5</v>
      </c>
      <c r="B75" s="1">
        <f ca="1">IFERROR(__xludf.DUMMYFUNCTION("""COMPUTED_VALUE"""),7.00624053567054)</f>
        <v>7.0062405356705399</v>
      </c>
      <c r="C75" s="1">
        <f ca="1">IFERROR(__xludf.DUMMYFUNCTION("""COMPUTED_VALUE"""),7.43408131049759)</f>
        <v>7.4340813104975902</v>
      </c>
      <c r="D75" s="1">
        <f ca="1">IFERROR(__xludf.DUMMYFUNCTION("""COMPUTED_VALUE"""),8.27450578763663)</f>
        <v>8.2745057876366293</v>
      </c>
    </row>
    <row r="76" spans="1:4" ht="13" x14ac:dyDescent="0.15">
      <c r="A76" s="1">
        <f ca="1">IFERROR(__xludf.DUMMYFUNCTION("""COMPUTED_VALUE"""),5)</f>
        <v>5</v>
      </c>
      <c r="B76" s="1">
        <f ca="1">IFERROR(__xludf.DUMMYFUNCTION("""COMPUTED_VALUE"""),6.99818577247534)</f>
        <v>6.99818577247534</v>
      </c>
      <c r="C76" s="1">
        <f ca="1">IFERROR(__xludf.DUMMYFUNCTION("""COMPUTED_VALUE"""),7.38794981183225)</f>
        <v>7.3879498118322502</v>
      </c>
      <c r="D76" s="1">
        <f ca="1">IFERROR(__xludf.DUMMYFUNCTION("""COMPUTED_VALUE"""),8.26690610076008)</f>
        <v>8.2669061007600799</v>
      </c>
    </row>
    <row r="77" spans="1:4" ht="13" x14ac:dyDescent="0.15">
      <c r="A77" s="1">
        <f ca="1">IFERROR(__xludf.DUMMYFUNCTION("""COMPUTED_VALUE"""),5)</f>
        <v>5</v>
      </c>
      <c r="B77" s="1">
        <f ca="1">IFERROR(__xludf.DUMMYFUNCTION("""COMPUTED_VALUE"""),6.3674461256185)</f>
        <v>6.3674461256184998</v>
      </c>
      <c r="C77" s="1">
        <f ca="1">IFERROR(__xludf.DUMMYFUNCTION("""COMPUTED_VALUE"""),7.31088157906956)</f>
        <v>7.3108815790695596</v>
      </c>
      <c r="D77" s="1">
        <f ca="1">IFERROR(__xludf.DUMMYFUNCTION("""COMPUTED_VALUE"""),8.2284026764741)</f>
        <v>8.2284026764741007</v>
      </c>
    </row>
    <row r="78" spans="1:4" ht="13" x14ac:dyDescent="0.15">
      <c r="A78" s="1">
        <f ca="1">IFERROR(__xludf.DUMMYFUNCTION("""COMPUTED_VALUE"""),5)</f>
        <v>5</v>
      </c>
      <c r="B78" s="1">
        <f ca="1">IFERROR(__xludf.DUMMYFUNCTION("""COMPUTED_VALUE"""),7.07627188329011)</f>
        <v>7.0762718832901097</v>
      </c>
      <c r="C78" s="1">
        <f ca="1">IFERROR(__xludf.DUMMYFUNCTION("""COMPUTED_VALUE"""),7.32179449180375)</f>
        <v>7.3217944918037503</v>
      </c>
      <c r="D78" s="1">
        <f ca="1">IFERROR(__xludf.DUMMYFUNCTION("""COMPUTED_VALUE"""),8.23905153009143)</f>
        <v>8.2390515300914302</v>
      </c>
    </row>
    <row r="79" spans="1:4" ht="13" x14ac:dyDescent="0.15">
      <c r="A79" s="1">
        <f ca="1">IFERROR(__xludf.DUMMYFUNCTION("""COMPUTED_VALUE"""),5)</f>
        <v>5</v>
      </c>
      <c r="B79" s="1">
        <f ca="1">IFERROR(__xludf.DUMMYFUNCTION("""COMPUTED_VALUE"""),6.88072380976004)</f>
        <v>6.8807238097600401</v>
      </c>
      <c r="C79" s="1">
        <f ca="1">IFERROR(__xludf.DUMMYFUNCTION("""COMPUTED_VALUE"""),7.23185630730215)</f>
        <v>7.2318563073021496</v>
      </c>
      <c r="D79" s="1">
        <f ca="1">IFERROR(__xludf.DUMMYFUNCTION("""COMPUTED_VALUE"""),8.18562748689445)</f>
        <v>8.1856274868944503</v>
      </c>
    </row>
    <row r="80" spans="1:4" ht="13" x14ac:dyDescent="0.15">
      <c r="A80" s="1">
        <f ca="1">IFERROR(__xludf.DUMMYFUNCTION("""COMPUTED_VALUE"""),5)</f>
        <v>5</v>
      </c>
      <c r="B80" s="1">
        <f ca="1">IFERROR(__xludf.DUMMYFUNCTION("""COMPUTED_VALUE"""),6.418992462742)</f>
        <v>6.4189924627419996</v>
      </c>
      <c r="C80" s="1">
        <f ca="1">IFERROR(__xludf.DUMMYFUNCTION("""COMPUTED_VALUE"""),7.32453904546391)</f>
        <v>7.3245390454639097</v>
      </c>
      <c r="D80" s="1">
        <f ca="1">IFERROR(__xludf.DUMMYFUNCTION("""COMPUTED_VALUE"""),8.25652577473192)</f>
        <v>8.2565257747319194</v>
      </c>
    </row>
    <row r="81" spans="1:4" ht="13" x14ac:dyDescent="0.15">
      <c r="A81" s="1">
        <f ca="1">IFERROR(__xludf.DUMMYFUNCTION("""COMPUTED_VALUE"""),5)</f>
        <v>5</v>
      </c>
      <c r="B81" s="1">
        <f ca="1">IFERROR(__xludf.DUMMYFUNCTION("""COMPUTED_VALUE"""),7.1678642898617)</f>
        <v>7.1678642898616998</v>
      </c>
      <c r="C81" s="1">
        <f ca="1">IFERROR(__xludf.DUMMYFUNCTION("""COMPUTED_VALUE"""),7.40132149888699)</f>
        <v>7.4013214988869898</v>
      </c>
      <c r="D81" s="1">
        <f ca="1">IFERROR(__xludf.DUMMYFUNCTION("""COMPUTED_VALUE"""),8.25100746386468)</f>
        <v>8.2510074638646795</v>
      </c>
    </row>
    <row r="82" spans="1:4" ht="13" x14ac:dyDescent="0.15">
      <c r="A82" s="1">
        <f ca="1">IFERROR(__xludf.DUMMYFUNCTION("""COMPUTED_VALUE"""),5)</f>
        <v>5</v>
      </c>
      <c r="B82" s="1">
        <f ca="1">IFERROR(__xludf.DUMMYFUNCTION("""COMPUTED_VALUE"""),7.0486471320104)</f>
        <v>7.0486471320103998</v>
      </c>
      <c r="C82" s="1">
        <f ca="1">IFERROR(__xludf.DUMMYFUNCTION("""COMPUTED_VALUE"""),7.19702133795179)</f>
        <v>7.1970213379517904</v>
      </c>
      <c r="D82" s="1">
        <f ca="1">IFERROR(__xludf.DUMMYFUNCTION("""COMPUTED_VALUE"""),8.19177676124946)</f>
        <v>8.1917767612494607</v>
      </c>
    </row>
    <row r="83" spans="1:4" ht="13" x14ac:dyDescent="0.15">
      <c r="A83" s="1">
        <f ca="1">IFERROR(__xludf.DUMMYFUNCTION("""COMPUTED_VALUE"""),6)</f>
        <v>6</v>
      </c>
      <c r="B83" s="1">
        <f ca="1">IFERROR(__xludf.DUMMYFUNCTION("""COMPUTED_VALUE"""),7.69992573743111)</f>
        <v>7.6999257374311103</v>
      </c>
      <c r="C83" s="1">
        <f ca="1">IFERROR(__xludf.DUMMYFUNCTION("""COMPUTED_VALUE"""),8.1258351544346)</f>
        <v>8.1258351544346006</v>
      </c>
      <c r="D83" s="1">
        <f ca="1">IFERROR(__xludf.DUMMYFUNCTION("""COMPUTED_VALUE"""),8.87306374853629)</f>
        <v>8.8730637485362909</v>
      </c>
    </row>
    <row r="84" spans="1:4" ht="13" x14ac:dyDescent="0.15">
      <c r="A84" s="1">
        <f ca="1">IFERROR(__xludf.DUMMYFUNCTION("""COMPUTED_VALUE"""),6)</f>
        <v>6</v>
      </c>
      <c r="B84" s="1">
        <f ca="1">IFERROR(__xludf.DUMMYFUNCTION("""COMPUTED_VALUE"""),7.581898436124)</f>
        <v>7.5818984361239998</v>
      </c>
      <c r="C84" s="1">
        <f ca="1">IFERROR(__xludf.DUMMYFUNCTION("""COMPUTED_VALUE"""),7.81890452576679)</f>
        <v>7.81890452576679</v>
      </c>
      <c r="D84" s="1">
        <f ca="1">IFERROR(__xludf.DUMMYFUNCTION("""COMPUTED_VALUE"""),8.83264453446807)</f>
        <v>8.83264453446807</v>
      </c>
    </row>
    <row r="85" spans="1:4" ht="13" x14ac:dyDescent="0.15">
      <c r="A85" s="1">
        <f ca="1">IFERROR(__xludf.DUMMYFUNCTION("""COMPUTED_VALUE"""),6)</f>
        <v>6</v>
      </c>
      <c r="B85" s="1">
        <f ca="1">IFERROR(__xludf.DUMMYFUNCTION("""COMPUTED_VALUE"""),7.03189661959487)</f>
        <v>7.0318966195948702</v>
      </c>
      <c r="C85" s="1">
        <f ca="1">IFERROR(__xludf.DUMMYFUNCTION("""COMPUTED_VALUE"""),8.19689772498943)</f>
        <v>8.1968977249894301</v>
      </c>
      <c r="D85" s="1">
        <f ca="1">IFERROR(__xludf.DUMMYFUNCTION("""COMPUTED_VALUE"""),8.91479607198506)</f>
        <v>8.9147960719850605</v>
      </c>
    </row>
    <row r="86" spans="1:4" ht="13" x14ac:dyDescent="0.15">
      <c r="A86" s="1">
        <f ca="1">IFERROR(__xludf.DUMMYFUNCTION("""COMPUTED_VALUE"""),6)</f>
        <v>6</v>
      </c>
      <c r="B86" s="1">
        <f ca="1">IFERROR(__xludf.DUMMYFUNCTION("""COMPUTED_VALUE"""),7.13138233616379)</f>
        <v>7.1313823361637896</v>
      </c>
      <c r="C86" s="1">
        <f ca="1">IFERROR(__xludf.DUMMYFUNCTION("""COMPUTED_VALUE"""),7.91680336499704)</f>
        <v>7.9168033649970404</v>
      </c>
      <c r="D86" s="1">
        <f ca="1">IFERROR(__xludf.DUMMYFUNCTION("""COMPUTED_VALUE"""),8.85517988219614)</f>
        <v>8.8551798821961398</v>
      </c>
    </row>
    <row r="87" spans="1:4" ht="13" x14ac:dyDescent="0.15">
      <c r="A87" s="1">
        <f ca="1">IFERROR(__xludf.DUMMYFUNCTION("""COMPUTED_VALUE"""),6)</f>
        <v>6</v>
      </c>
      <c r="B87" s="1">
        <f ca="1">IFERROR(__xludf.DUMMYFUNCTION("""COMPUTED_VALUE"""),7.71538639956476)</f>
        <v>7.7153863995647596</v>
      </c>
      <c r="C87" s="1">
        <f ca="1">IFERROR(__xludf.DUMMYFUNCTION("""COMPUTED_VALUE"""),7.95925318570011)</f>
        <v>7.9592531857001099</v>
      </c>
      <c r="D87" s="1">
        <f ca="1">IFERROR(__xludf.DUMMYFUNCTION("""COMPUTED_VALUE"""),8.89041008919839)</f>
        <v>8.8904100891983902</v>
      </c>
    </row>
    <row r="88" spans="1:4" ht="13" x14ac:dyDescent="0.15">
      <c r="A88" s="1">
        <f ca="1">IFERROR(__xludf.DUMMYFUNCTION("""COMPUTED_VALUE"""),6)</f>
        <v>6</v>
      </c>
      <c r="B88" s="1">
        <f ca="1">IFERROR(__xludf.DUMMYFUNCTION("""COMPUTED_VALUE"""),7.48710177719818)</f>
        <v>7.4871017771981796</v>
      </c>
      <c r="C88" s="1">
        <f ca="1">IFERROR(__xludf.DUMMYFUNCTION("""COMPUTED_VALUE"""),8.06292618879301)</f>
        <v>8.0629261887930106</v>
      </c>
      <c r="D88" s="1">
        <f ca="1">IFERROR(__xludf.DUMMYFUNCTION("""COMPUTED_VALUE"""),8.89259123002328)</f>
        <v>8.8925912300232799</v>
      </c>
    </row>
    <row r="89" spans="1:4" ht="13" x14ac:dyDescent="0.15">
      <c r="A89" s="1">
        <f ca="1">IFERROR(__xludf.DUMMYFUNCTION("""COMPUTED_VALUE"""),3)</f>
        <v>3</v>
      </c>
      <c r="B89" s="1">
        <f ca="1">IFERROR(__xludf.DUMMYFUNCTION("""COMPUTED_VALUE"""),5.42915451208144)</f>
        <v>5.42915451208144</v>
      </c>
      <c r="C89" s="1">
        <f ca="1">IFERROR(__xludf.DUMMYFUNCTION("""COMPUTED_VALUE"""),5.6137858143535)</f>
        <v>5.6137858143535002</v>
      </c>
      <c r="D89" s="1">
        <f ca="1">IFERROR(__xludf.DUMMYFUNCTION("""COMPUTED_VALUE"""),6.38694640608787)</f>
        <v>6.38694640608787</v>
      </c>
    </row>
    <row r="90" spans="1:4" ht="13" x14ac:dyDescent="0.15">
      <c r="A90" s="1">
        <f ca="1">IFERROR(__xludf.DUMMYFUNCTION("""COMPUTED_VALUE"""),3)</f>
        <v>3</v>
      </c>
      <c r="B90" s="1">
        <f ca="1">IFERROR(__xludf.DUMMYFUNCTION("""COMPUTED_VALUE"""),5.49372008224442)</f>
        <v>5.4937200822444199</v>
      </c>
      <c r="C90" s="1">
        <f ca="1">IFERROR(__xludf.DUMMYFUNCTION("""COMPUTED_VALUE"""),5.56192861829506)</f>
        <v>5.5619286182950596</v>
      </c>
      <c r="D90" s="1">
        <f ca="1">IFERROR(__xludf.DUMMYFUNCTION("""COMPUTED_VALUE"""),6.3658104037111)</f>
        <v>6.3658104037110999</v>
      </c>
    </row>
    <row r="91" spans="1:4" ht="13" x14ac:dyDescent="0.15">
      <c r="A91" s="1">
        <f ca="1">IFERROR(__xludf.DUMMYFUNCTION("""COMPUTED_VALUE"""),3)</f>
        <v>3</v>
      </c>
      <c r="B91" s="1">
        <f ca="1">IFERROR(__xludf.DUMMYFUNCTION("""COMPUTED_VALUE"""),5.20578610204493)</f>
        <v>5.2057861020449296</v>
      </c>
      <c r="C91" s="1">
        <f ca="1">IFERROR(__xludf.DUMMYFUNCTION("""COMPUTED_VALUE"""),5.39043873920748)</f>
        <v>5.3904387392074797</v>
      </c>
      <c r="D91" s="1">
        <f ca="1">IFERROR(__xludf.DUMMYFUNCTION("""COMPUTED_VALUE"""),6.3194666759965)</f>
        <v>6.3194666759964999</v>
      </c>
    </row>
    <row r="92" spans="1:4" ht="13" x14ac:dyDescent="0.15">
      <c r="A92" s="1">
        <f ca="1">IFERROR(__xludf.DUMMYFUNCTION("""COMPUTED_VALUE"""),4)</f>
        <v>4</v>
      </c>
      <c r="B92" s="1">
        <f ca="1">IFERROR(__xludf.DUMMYFUNCTION("""COMPUTED_VALUE"""),6.45775734077028)</f>
        <v>6.4577573407702804</v>
      </c>
      <c r="C92" s="1">
        <f ca="1">IFERROR(__xludf.DUMMYFUNCTION("""COMPUTED_VALUE"""),6.57488719986748)</f>
        <v>6.5748871998674803</v>
      </c>
      <c r="D92" s="1">
        <f ca="1">IFERROR(__xludf.DUMMYFUNCTION("""COMPUTED_VALUE"""),7.44829188875279)</f>
        <v>7.4482918887527898</v>
      </c>
    </row>
    <row r="93" spans="1:4" ht="13" x14ac:dyDescent="0.15">
      <c r="A93" s="1">
        <f ca="1">IFERROR(__xludf.DUMMYFUNCTION("""COMPUTED_VALUE"""),4)</f>
        <v>4</v>
      </c>
      <c r="B93" s="1">
        <f ca="1">IFERROR(__xludf.DUMMYFUNCTION("""COMPUTED_VALUE"""),6.33962810458923)</f>
        <v>6.33962810458923</v>
      </c>
      <c r="C93" s="1">
        <f ca="1">IFERROR(__xludf.DUMMYFUNCTION("""COMPUTED_VALUE"""),6.52274018323878)</f>
        <v>6.5227401832387804</v>
      </c>
      <c r="D93" s="1">
        <f ca="1">IFERROR(__xludf.DUMMYFUNCTION("""COMPUTED_VALUE"""),7.40753291509314)</f>
        <v>7.4075329150931397</v>
      </c>
    </row>
    <row r="94" spans="1:4" ht="13" x14ac:dyDescent="0.15">
      <c r="A94" s="1">
        <f ca="1">IFERROR(__xludf.DUMMYFUNCTION("""COMPUTED_VALUE"""),4)</f>
        <v>4</v>
      </c>
      <c r="B94" s="1">
        <f ca="1">IFERROR(__xludf.DUMMYFUNCTION("""COMPUTED_VALUE"""),6.53383520310865)</f>
        <v>6.5338352031086497</v>
      </c>
      <c r="C94" s="1">
        <f ca="1">IFERROR(__xludf.DUMMYFUNCTION("""COMPUTED_VALUE"""),6.75611677411875)</f>
        <v>6.75611677411875</v>
      </c>
      <c r="D94" s="1">
        <f ca="1">IFERROR(__xludf.DUMMYFUNCTION("""COMPUTED_VALUE"""),7.47983083104104)</f>
        <v>7.4798308310410402</v>
      </c>
    </row>
    <row r="95" spans="1:4" ht="13" x14ac:dyDescent="0.15">
      <c r="A95" s="1">
        <f ca="1">IFERROR(__xludf.DUMMYFUNCTION("""COMPUTED_VALUE"""),4)</f>
        <v>4</v>
      </c>
      <c r="B95" s="1">
        <f ca="1">IFERROR(__xludf.DUMMYFUNCTION("""COMPUTED_VALUE"""),6.5408930659837)</f>
        <v>6.5408930659836999</v>
      </c>
      <c r="C95" s="1">
        <f ca="1">IFERROR(__xludf.DUMMYFUNCTION("""COMPUTED_VALUE"""),6.63204324969536)</f>
        <v>6.6320432496953599</v>
      </c>
      <c r="D95" s="1">
        <f ca="1">IFERROR(__xludf.DUMMYFUNCTION("""COMPUTED_VALUE"""),7.42320570393664)</f>
        <v>7.4232057039366399</v>
      </c>
    </row>
    <row r="96" spans="1:4" ht="13" x14ac:dyDescent="0.15">
      <c r="A96" s="1">
        <f ca="1">IFERROR(__xludf.DUMMYFUNCTION("""COMPUTED_VALUE"""),4)</f>
        <v>4</v>
      </c>
      <c r="B96" s="1">
        <f ca="1">IFERROR(__xludf.DUMMYFUNCTION("""COMPUTED_VALUE"""),5.97479713717073)</f>
        <v>5.9747971371707296</v>
      </c>
      <c r="C96" s="1">
        <f ca="1">IFERROR(__xludf.DUMMYFUNCTION("""COMPUTED_VALUE"""),6.54626398404549)</f>
        <v>6.5462639840454901</v>
      </c>
      <c r="D96" s="1">
        <f ca="1">IFERROR(__xludf.DUMMYFUNCTION("""COMPUTED_VALUE"""),7.44407831965863)</f>
        <v>7.4440783196586304</v>
      </c>
    </row>
    <row r="97" spans="1:4" ht="13" x14ac:dyDescent="0.15">
      <c r="A97" s="1">
        <f ca="1">IFERROR(__xludf.DUMMYFUNCTION("""COMPUTED_VALUE"""),4)</f>
        <v>4</v>
      </c>
      <c r="B97" s="1">
        <f ca="1">IFERROR(__xludf.DUMMYFUNCTION("""COMPUTED_VALUE"""),6.35711653622732)</f>
        <v>6.3571165362273199</v>
      </c>
      <c r="C97" s="1">
        <f ca="1">IFERROR(__xludf.DUMMYFUNCTION("""COMPUTED_VALUE"""),6.54444869170653)</f>
        <v>6.5444486917065303</v>
      </c>
      <c r="D97" s="1">
        <f ca="1">IFERROR(__xludf.DUMMYFUNCTION("""COMPUTED_VALUE"""),7.42123002595046)</f>
        <v>7.42123002595046</v>
      </c>
    </row>
    <row r="98" spans="1:4" ht="13" x14ac:dyDescent="0.15">
      <c r="A98" s="1">
        <f ca="1">IFERROR(__xludf.DUMMYFUNCTION("""COMPUTED_VALUE"""),5)</f>
        <v>5</v>
      </c>
      <c r="B98" s="1">
        <f ca="1">IFERROR(__xludf.DUMMYFUNCTION("""COMPUTED_VALUE"""),7.23119195082876)</f>
        <v>7.2311919508287597</v>
      </c>
      <c r="C98" s="1">
        <f ca="1">IFERROR(__xludf.DUMMYFUNCTION("""COMPUTED_VALUE"""),7.36696577548636)</f>
        <v>7.36696577548636</v>
      </c>
      <c r="D98" s="1">
        <f ca="1">IFERROR(__xludf.DUMMYFUNCTION("""COMPUTED_VALUE"""),8.2571712650704)</f>
        <v>8.2571712650704008</v>
      </c>
    </row>
    <row r="99" spans="1:4" ht="13" x14ac:dyDescent="0.15">
      <c r="A99" s="1">
        <f ca="1">IFERROR(__xludf.DUMMYFUNCTION("""COMPUTED_VALUE"""),5)</f>
        <v>5</v>
      </c>
      <c r="B99" s="1">
        <f ca="1">IFERROR(__xludf.DUMMYFUNCTION("""COMPUTED_VALUE"""),7.21585402233144)</f>
        <v>7.21585402233144</v>
      </c>
      <c r="C99" s="1">
        <f ca="1">IFERROR(__xludf.DUMMYFUNCTION("""COMPUTED_VALUE"""),7.39037070497342)</f>
        <v>7.39037070497342</v>
      </c>
      <c r="D99" s="1">
        <f ca="1">IFERROR(__xludf.DUMMYFUNCTION("""COMPUTED_VALUE"""),8.24139157868194)</f>
        <v>8.2413915786819398</v>
      </c>
    </row>
    <row r="100" spans="1:4" ht="13" x14ac:dyDescent="0.15">
      <c r="A100" s="1">
        <f ca="1">IFERROR(__xludf.DUMMYFUNCTION("""COMPUTED_VALUE"""),5)</f>
        <v>5</v>
      </c>
      <c r="B100" s="1">
        <f ca="1">IFERROR(__xludf.DUMMYFUNCTION("""COMPUTED_VALUE"""),7.21597553662379)</f>
        <v>7.2159755366237901</v>
      </c>
      <c r="C100" s="1">
        <f ca="1">IFERROR(__xludf.DUMMYFUNCTION("""COMPUTED_VALUE"""),7.45430137769592)</f>
        <v>7.4543013776959199</v>
      </c>
      <c r="D100" s="1">
        <f ca="1">IFERROR(__xludf.DUMMYFUNCTION("""COMPUTED_VALUE"""),8.31313175906983)</f>
        <v>8.3131317590698295</v>
      </c>
    </row>
    <row r="101" spans="1:4" ht="13" x14ac:dyDescent="0.15">
      <c r="A101" s="1">
        <f ca="1">IFERROR(__xludf.DUMMYFUNCTION("""COMPUTED_VALUE"""),5)</f>
        <v>5</v>
      </c>
      <c r="B101" s="1">
        <f ca="1">IFERROR(__xludf.DUMMYFUNCTION("""COMPUTED_VALUE"""),7.26387977312231)</f>
        <v>7.2638797731223104</v>
      </c>
      <c r="C101" s="1">
        <f ca="1">IFERROR(__xludf.DUMMYFUNCTION("""COMPUTED_VALUE"""),7.46500377899813)</f>
        <v>7.4650037789981303</v>
      </c>
      <c r="D101" s="1">
        <f ca="1">IFERROR(__xludf.DUMMYFUNCTION("""COMPUTED_VALUE"""),8.24659882871568)</f>
        <v>8.2465988287156797</v>
      </c>
    </row>
    <row r="102" spans="1:4" ht="13" x14ac:dyDescent="0.15">
      <c r="A102" s="1">
        <f ca="1">IFERROR(__xludf.DUMMYFUNCTION("""COMPUTED_VALUE"""),5)</f>
        <v>5</v>
      </c>
      <c r="B102" s="1">
        <f ca="1">IFERROR(__xludf.DUMMYFUNCTION("""COMPUTED_VALUE"""),6.60859213544045)</f>
        <v>6.6085921354404498</v>
      </c>
      <c r="C102" s="1">
        <f ca="1">IFERROR(__xludf.DUMMYFUNCTION("""COMPUTED_VALUE"""),7.33817694112829)</f>
        <v>7.3381769411282898</v>
      </c>
      <c r="D102" s="1">
        <f ca="1">IFERROR(__xludf.DUMMYFUNCTION("""COMPUTED_VALUE"""),8.24426629671217)</f>
        <v>8.2442662967121692</v>
      </c>
    </row>
    <row r="103" spans="1:4" ht="13" x14ac:dyDescent="0.15">
      <c r="A103" s="1">
        <f ca="1">IFERROR(__xludf.DUMMYFUNCTION("""COMPUTED_VALUE"""),5)</f>
        <v>5</v>
      </c>
      <c r="B103" s="1">
        <f ca="1">IFERROR(__xludf.DUMMYFUNCTION("""COMPUTED_VALUE"""),7.07673508261642)</f>
        <v>7.0767350826164197</v>
      </c>
      <c r="C103" s="1">
        <f ca="1">IFERROR(__xludf.DUMMYFUNCTION("""COMPUTED_VALUE"""),7.33223663779195)</f>
        <v>7.3322366377919499</v>
      </c>
      <c r="D103" s="1">
        <f ca="1">IFERROR(__xludf.DUMMYFUNCTION("""COMPUTED_VALUE"""),8.2509312757434)</f>
        <v>8.2509312757433992</v>
      </c>
    </row>
    <row r="104" spans="1:4" ht="13" x14ac:dyDescent="0.15">
      <c r="A104" s="1">
        <f ca="1">IFERROR(__xludf.DUMMYFUNCTION("""COMPUTED_VALUE"""),5)</f>
        <v>5</v>
      </c>
      <c r="B104" s="1">
        <f ca="1">IFERROR(__xludf.DUMMYFUNCTION("""COMPUTED_VALUE"""),7.19542451785943)</f>
        <v>7.19542451785943</v>
      </c>
      <c r="C104" s="1">
        <f ca="1">IFERROR(__xludf.DUMMYFUNCTION("""COMPUTED_VALUE"""),7.39179854719426)</f>
        <v>7.3917985471942602</v>
      </c>
      <c r="D104" s="1">
        <f ca="1">IFERROR(__xludf.DUMMYFUNCTION("""COMPUTED_VALUE"""),8.29664745401461)</f>
        <v>8.2966474540146091</v>
      </c>
    </row>
    <row r="105" spans="1:4" ht="13" x14ac:dyDescent="0.15">
      <c r="A105" s="1">
        <f ca="1">IFERROR(__xludf.DUMMYFUNCTION("""COMPUTED_VALUE"""),5)</f>
        <v>5</v>
      </c>
      <c r="B105" s="1">
        <f ca="1">IFERROR(__xludf.DUMMYFUNCTION("""COMPUTED_VALUE"""),6.87659947084773)</f>
        <v>6.8765994708477303</v>
      </c>
      <c r="C105" s="1">
        <f ca="1">IFERROR(__xludf.DUMMYFUNCTION("""COMPUTED_VALUE"""),7.41524297783112)</f>
        <v>7.4152429778311202</v>
      </c>
      <c r="D105" s="1">
        <f ca="1">IFERROR(__xludf.DUMMYFUNCTION("""COMPUTED_VALUE"""),8.27002603312459)</f>
        <v>8.2700260331245907</v>
      </c>
    </row>
    <row r="106" spans="1:4" ht="13" x14ac:dyDescent="0.15">
      <c r="A106" s="1">
        <f ca="1">IFERROR(__xludf.DUMMYFUNCTION("""COMPUTED_VALUE"""),6)</f>
        <v>6</v>
      </c>
      <c r="B106" s="1">
        <f ca="1">IFERROR(__xludf.DUMMYFUNCTION("""COMPUTED_VALUE"""),7.84224100649129)</f>
        <v>7.8422410064912897</v>
      </c>
      <c r="C106" s="1">
        <f ca="1">IFERROR(__xludf.DUMMYFUNCTION("""COMPUTED_VALUE"""),8.0473659155651)</f>
        <v>8.0473659155651003</v>
      </c>
      <c r="D106" s="1">
        <f ca="1">IFERROR(__xludf.DUMMYFUNCTION("""COMPUTED_VALUE"""),8.92320776233795)</f>
        <v>8.9232077623379507</v>
      </c>
    </row>
    <row r="107" spans="1:4" ht="13" x14ac:dyDescent="0.15">
      <c r="A107" s="1">
        <f ca="1">IFERROR(__xludf.DUMMYFUNCTION("""COMPUTED_VALUE"""),3)</f>
        <v>3</v>
      </c>
      <c r="B107" s="1">
        <f ca="1">IFERROR(__xludf.DUMMYFUNCTION("""COMPUTED_VALUE"""),5.20285869891174)</f>
        <v>5.20285869891174</v>
      </c>
      <c r="C107" s="1">
        <f ca="1">IFERROR(__xludf.DUMMYFUNCTION("""COMPUTED_VALUE"""),5.46755187301547)</f>
        <v>5.46755187301547</v>
      </c>
      <c r="D107" s="1">
        <f ca="1">IFERROR(__xludf.DUMMYFUNCTION("""COMPUTED_VALUE"""),6.32607766577485)</f>
        <v>6.3260776657748501</v>
      </c>
    </row>
    <row r="108" spans="1:4" ht="13" x14ac:dyDescent="0.15">
      <c r="A108" s="1">
        <f ca="1">IFERROR(__xludf.DUMMYFUNCTION("""COMPUTED_VALUE"""),3)</f>
        <v>3</v>
      </c>
      <c r="B108" s="1">
        <f ca="1">IFERROR(__xludf.DUMMYFUNCTION("""COMPUTED_VALUE"""),5.12555608152626)</f>
        <v>5.12555608152626</v>
      </c>
      <c r="C108" s="1">
        <f ca="1">IFERROR(__xludf.DUMMYFUNCTION("""COMPUTED_VALUE"""),5.27320505312369)</f>
        <v>5.2732050531236903</v>
      </c>
      <c r="D108" s="1">
        <f ca="1">IFERROR(__xludf.DUMMYFUNCTION("""COMPUTED_VALUE"""),6.25234200984043)</f>
        <v>6.2523420098404303</v>
      </c>
    </row>
    <row r="109" spans="1:4" ht="13" x14ac:dyDescent="0.15">
      <c r="A109" s="1">
        <f ca="1">IFERROR(__xludf.DUMMYFUNCTION("""COMPUTED_VALUE"""),3)</f>
        <v>3</v>
      </c>
      <c r="B109" s="1">
        <f ca="1">IFERROR(__xludf.DUMMYFUNCTION("""COMPUTED_VALUE"""),5.25880723242305)</f>
        <v>5.2588072324230497</v>
      </c>
      <c r="C109" s="1">
        <f ca="1">IFERROR(__xludf.DUMMYFUNCTION("""COMPUTED_VALUE"""),5.59354302241819)</f>
        <v>5.5935430224181903</v>
      </c>
      <c r="D109" s="1">
        <f ca="1">IFERROR(__xludf.DUMMYFUNCTION("""COMPUTED_VALUE"""),6.37389981877133)</f>
        <v>6.3738998187713296</v>
      </c>
    </row>
    <row r="110" spans="1:4" ht="13" x14ac:dyDescent="0.15">
      <c r="A110" s="1">
        <f ca="1">IFERROR(__xludf.DUMMYFUNCTION("""COMPUTED_VALUE"""),3)</f>
        <v>3</v>
      </c>
      <c r="B110" s="1">
        <f ca="1">IFERROR(__xludf.DUMMYFUNCTION("""COMPUTED_VALUE"""),5.1859442505624)</f>
        <v>5.1859442505624003</v>
      </c>
      <c r="C110" s="1">
        <f ca="1">IFERROR(__xludf.DUMMYFUNCTION("""COMPUTED_VALUE"""),5.39414336242281)</f>
        <v>5.3941433624228097</v>
      </c>
      <c r="D110" s="1">
        <f ca="1">IFERROR(__xludf.DUMMYFUNCTION("""COMPUTED_VALUE"""),6.35126644591079)</f>
        <v>6.3512664459107899</v>
      </c>
    </row>
    <row r="111" spans="1:4" ht="13" x14ac:dyDescent="0.15">
      <c r="A111" s="1">
        <f ca="1">IFERROR(__xludf.DUMMYFUNCTION("""COMPUTED_VALUE"""),3)</f>
        <v>3</v>
      </c>
      <c r="B111" s="1">
        <f ca="1">IFERROR(__xludf.DUMMYFUNCTION("""COMPUTED_VALUE"""),5.02700284936954)</f>
        <v>5.0270028493695396</v>
      </c>
      <c r="C111" s="1">
        <f ca="1">IFERROR(__xludf.DUMMYFUNCTION("""COMPUTED_VALUE"""),5.21425821507521)</f>
        <v>5.2142582150752101</v>
      </c>
      <c r="D111" s="1">
        <f ca="1">IFERROR(__xludf.DUMMYFUNCTION("""COMPUTED_VALUE"""),6.22310716039749)</f>
        <v>6.2231071603974897</v>
      </c>
    </row>
    <row r="112" spans="1:4" ht="13" x14ac:dyDescent="0.15">
      <c r="A112" s="1">
        <f ca="1">IFERROR(__xludf.DUMMYFUNCTION("""COMPUTED_VALUE"""),3)</f>
        <v>3</v>
      </c>
      <c r="B112" s="1">
        <f ca="1">IFERROR(__xludf.DUMMYFUNCTION("""COMPUTED_VALUE"""),5.06894613920844)</f>
        <v>5.0689461392084398</v>
      </c>
      <c r="C112" s="1">
        <f ca="1">IFERROR(__xludf.DUMMYFUNCTION("""COMPUTED_VALUE"""),5.1173276508251)</f>
        <v>5.1173276508251</v>
      </c>
      <c r="D112" s="1">
        <f ca="1">IFERROR(__xludf.DUMMYFUNCTION("""COMPUTED_VALUE"""),6.25208833953658)</f>
        <v>6.2520883395365798</v>
      </c>
    </row>
    <row r="113" spans="1:4" ht="13" x14ac:dyDescent="0.15">
      <c r="A113" s="1">
        <f ca="1">IFERROR(__xludf.DUMMYFUNCTION("""COMPUTED_VALUE"""),3)</f>
        <v>3</v>
      </c>
      <c r="B113" s="1">
        <f ca="1">IFERROR(__xludf.DUMMYFUNCTION("""COMPUTED_VALUE"""),5.14368603172757)</f>
        <v>5.1436860317275697</v>
      </c>
      <c r="C113" s="1">
        <f ca="1">IFERROR(__xludf.DUMMYFUNCTION("""COMPUTED_VALUE"""),5.4303298787283)</f>
        <v>5.4303298787283003</v>
      </c>
      <c r="D113" s="1">
        <f ca="1">IFERROR(__xludf.DUMMYFUNCTION("""COMPUTED_VALUE"""),6.34884418275065)</f>
        <v>6.3488441827506499</v>
      </c>
    </row>
    <row r="114" spans="1:4" ht="13" x14ac:dyDescent="0.15">
      <c r="A114" s="1">
        <f ca="1">IFERROR(__xludf.DUMMYFUNCTION("""COMPUTED_VALUE"""),3)</f>
        <v>3</v>
      </c>
      <c r="B114" s="1">
        <f ca="1">IFERROR(__xludf.DUMMYFUNCTION("""COMPUTED_VALUE"""),5.1813347082282)</f>
        <v>5.1813347082282002</v>
      </c>
      <c r="C114" s="1">
        <f ca="1">IFERROR(__xludf.DUMMYFUNCTION("""COMPUTED_VALUE"""),5.46194549695743)</f>
        <v>5.4619454969574299</v>
      </c>
      <c r="D114" s="1">
        <f ca="1">IFERROR(__xludf.DUMMYFUNCTION("""COMPUTED_VALUE"""),6.35332061430183)</f>
        <v>6.3533206143018299</v>
      </c>
    </row>
    <row r="115" spans="1:4" ht="13" x14ac:dyDescent="0.15">
      <c r="A115" s="1">
        <f ca="1">IFERROR(__xludf.DUMMYFUNCTION("""COMPUTED_VALUE"""),3)</f>
        <v>3</v>
      </c>
      <c r="B115" s="1">
        <f ca="1">IFERROR(__xludf.DUMMYFUNCTION("""COMPUTED_VALUE"""),5.12471284474073)</f>
        <v>5.1247128447407304</v>
      </c>
      <c r="C115" s="1">
        <f ca="1">IFERROR(__xludf.DUMMYFUNCTION("""COMPUTED_VALUE"""),5.56043989347799)</f>
        <v>5.5604398934779899</v>
      </c>
      <c r="D115" s="1">
        <f ca="1">IFERROR(__xludf.DUMMYFUNCTION("""COMPUTED_VALUE"""),6.41196599346759)</f>
        <v>6.4119659934675903</v>
      </c>
    </row>
    <row r="116" spans="1:4" ht="13" x14ac:dyDescent="0.15">
      <c r="A116" s="1">
        <f ca="1">IFERROR(__xludf.DUMMYFUNCTION("""COMPUTED_VALUE"""),3)</f>
        <v>3</v>
      </c>
      <c r="B116" s="1">
        <f ca="1">IFERROR(__xludf.DUMMYFUNCTION("""COMPUTED_VALUE"""),5.340796959675)</f>
        <v>5.340796959675</v>
      </c>
      <c r="C116" s="1">
        <f ca="1">IFERROR(__xludf.DUMMYFUNCTION("""COMPUTED_VALUE"""),5.45972863426605)</f>
        <v>5.4597286342660496</v>
      </c>
      <c r="D116" s="1">
        <f ca="1">IFERROR(__xludf.DUMMYFUNCTION("""COMPUTED_VALUE"""),6.3731954900013)</f>
        <v>6.3731954900012999</v>
      </c>
    </row>
    <row r="117" spans="1:4" ht="13" x14ac:dyDescent="0.15">
      <c r="A117" s="1">
        <f ca="1">IFERROR(__xludf.DUMMYFUNCTION("""COMPUTED_VALUE"""),3)</f>
        <v>3</v>
      </c>
      <c r="B117" s="1">
        <f ca="1">IFERROR(__xludf.DUMMYFUNCTION("""COMPUTED_VALUE"""),5.26790354325328)</f>
        <v>5.2679035432532801</v>
      </c>
      <c r="C117" s="1">
        <f ca="1">IFERROR(__xludf.DUMMYFUNCTION("""COMPUTED_VALUE"""),5.34052937890223)</f>
        <v>5.3405293789022297</v>
      </c>
      <c r="D117" s="1">
        <f ca="1">IFERROR(__xludf.DUMMYFUNCTION("""COMPUTED_VALUE"""),6.31617611452213)</f>
        <v>6.31617611452213</v>
      </c>
    </row>
    <row r="118" spans="1:4" ht="13" x14ac:dyDescent="0.15">
      <c r="A118" s="1">
        <f ca="1">IFERROR(__xludf.DUMMYFUNCTION("""COMPUTED_VALUE"""),3)</f>
        <v>3</v>
      </c>
      <c r="B118" s="1">
        <f ca="1">IFERROR(__xludf.DUMMYFUNCTION("""COMPUTED_VALUE"""),4.91030416806856)</f>
        <v>4.91030416806856</v>
      </c>
      <c r="C118" s="1">
        <f ca="1">IFERROR(__xludf.DUMMYFUNCTION("""COMPUTED_VALUE"""),5.34917452819668)</f>
        <v>5.3491745281966798</v>
      </c>
      <c r="D118" s="1">
        <f ca="1">IFERROR(__xludf.DUMMYFUNCTION("""COMPUTED_VALUE"""),6.31999706266019)</f>
        <v>6.3199970626601898</v>
      </c>
    </row>
    <row r="119" spans="1:4" ht="13" x14ac:dyDescent="0.15">
      <c r="A119" s="1">
        <f ca="1">IFERROR(__xludf.DUMMYFUNCTION("""COMPUTED_VALUE"""),3)</f>
        <v>3</v>
      </c>
      <c r="B119" s="1">
        <f ca="1">IFERROR(__xludf.DUMMYFUNCTION("""COMPUTED_VALUE"""),5.14757739892945)</f>
        <v>5.1475773989294504</v>
      </c>
      <c r="C119" s="1">
        <f ca="1">IFERROR(__xludf.DUMMYFUNCTION("""COMPUTED_VALUE"""),5.26899662085481)</f>
        <v>5.2689966208548098</v>
      </c>
      <c r="D119" s="1">
        <f ca="1">IFERROR(__xludf.DUMMYFUNCTION("""COMPUTED_VALUE"""),6.34692441939972)</f>
        <v>6.3469244193997199</v>
      </c>
    </row>
    <row r="120" spans="1:4" ht="13" x14ac:dyDescent="0.15">
      <c r="A120" s="1">
        <f ca="1">IFERROR(__xludf.DUMMYFUNCTION("""COMPUTED_VALUE"""),3)</f>
        <v>3</v>
      </c>
      <c r="B120" s="1">
        <f ca="1">IFERROR(__xludf.DUMMYFUNCTION("""COMPUTED_VALUE"""),4.77812229645304)</f>
        <v>4.7781222964530397</v>
      </c>
      <c r="C120" s="1">
        <f ca="1">IFERROR(__xludf.DUMMYFUNCTION("""COMPUTED_VALUE"""),5.39795738010388)</f>
        <v>5.3979573801038798</v>
      </c>
      <c r="D120" s="1">
        <f ca="1">IFERROR(__xludf.DUMMYFUNCTION("""COMPUTED_VALUE"""),6.38172825788516)</f>
        <v>6.3817282578851602</v>
      </c>
    </row>
    <row r="121" spans="1:4" ht="13" x14ac:dyDescent="0.15">
      <c r="A121" s="1">
        <f ca="1">IFERROR(__xludf.DUMMYFUNCTION("""COMPUTED_VALUE"""),3)</f>
        <v>3</v>
      </c>
      <c r="B121" s="1">
        <f ca="1">IFERROR(__xludf.DUMMYFUNCTION("""COMPUTED_VALUE"""),5.15021592110177)</f>
        <v>5.1502159211017702</v>
      </c>
      <c r="C121" s="1">
        <f ca="1">IFERROR(__xludf.DUMMYFUNCTION("""COMPUTED_VALUE"""),5.32554644874283)</f>
        <v>5.3255464487428297</v>
      </c>
      <c r="D121" s="1">
        <f ca="1">IFERROR(__xludf.DUMMYFUNCTION("""COMPUTED_VALUE"""),6.37822051266959)</f>
        <v>6.3782205126695901</v>
      </c>
    </row>
    <row r="122" spans="1:4" ht="13" x14ac:dyDescent="0.15">
      <c r="A122" s="1">
        <f ca="1">IFERROR(__xludf.DUMMYFUNCTION("""COMPUTED_VALUE"""),3)</f>
        <v>3</v>
      </c>
      <c r="B122" s="1">
        <f ca="1">IFERROR(__xludf.DUMMYFUNCTION("""COMPUTED_VALUE"""),5.08987333263172)</f>
        <v>5.0898733326317203</v>
      </c>
      <c r="C122" s="1">
        <f ca="1">IFERROR(__xludf.DUMMYFUNCTION("""COMPUTED_VALUE"""),5.37654775980739)</f>
        <v>5.3765477598073899</v>
      </c>
      <c r="D122" s="1">
        <f ca="1">IFERROR(__xludf.DUMMYFUNCTION("""COMPUTED_VALUE"""),6.32560349854375)</f>
        <v>6.3256034985437504</v>
      </c>
    </row>
    <row r="123" spans="1:4" ht="13" x14ac:dyDescent="0.15">
      <c r="A123" s="1">
        <f ca="1">IFERROR(__xludf.DUMMYFUNCTION("""COMPUTED_VALUE"""),3)</f>
        <v>3</v>
      </c>
      <c r="B123" s="1">
        <f ca="1">IFERROR(__xludf.DUMMYFUNCTION("""COMPUTED_VALUE"""),5.33677183338)</f>
        <v>5.3367718333800003</v>
      </c>
      <c r="C123" s="1">
        <f ca="1">IFERROR(__xludf.DUMMYFUNCTION("""COMPUTED_VALUE"""),5.39354361706775)</f>
        <v>5.39354361706775</v>
      </c>
      <c r="D123" s="1">
        <f ca="1">IFERROR(__xludf.DUMMYFUNCTION("""COMPUTED_VALUE"""),6.32776258951421)</f>
        <v>6.3277625895142098</v>
      </c>
    </row>
    <row r="124" spans="1:4" ht="13" x14ac:dyDescent="0.15">
      <c r="A124" s="1">
        <f ca="1">IFERROR(__xludf.DUMMYFUNCTION("""COMPUTED_VALUE"""),4)</f>
        <v>4</v>
      </c>
      <c r="B124" s="1">
        <f ca="1">IFERROR(__xludf.DUMMYFUNCTION("""COMPUTED_VALUE"""),6.3164266393853)</f>
        <v>6.3164266393853001</v>
      </c>
      <c r="C124" s="1">
        <f ca="1">IFERROR(__xludf.DUMMYFUNCTION("""COMPUTED_VALUE"""),6.54917657718508)</f>
        <v>6.5491765771850803</v>
      </c>
      <c r="D124" s="1">
        <f ca="1">IFERROR(__xludf.DUMMYFUNCTION("""COMPUTED_VALUE"""),7.38788392890979)</f>
        <v>7.3878839289097904</v>
      </c>
    </row>
    <row r="125" spans="1:4" ht="13" x14ac:dyDescent="0.15">
      <c r="A125" s="1">
        <f ca="1">IFERROR(__xludf.DUMMYFUNCTION("""COMPUTED_VALUE"""),4)</f>
        <v>4</v>
      </c>
      <c r="B125" s="1">
        <f ca="1">IFERROR(__xludf.DUMMYFUNCTION("""COMPUTED_VALUE"""),6.11505805734211)</f>
        <v>6.1150580573421101</v>
      </c>
      <c r="C125" s="1">
        <f ca="1">IFERROR(__xludf.DUMMYFUNCTION("""COMPUTED_VALUE"""),6.27372888718881)</f>
        <v>6.2737288871888097</v>
      </c>
      <c r="D125" s="1">
        <f ca="1">IFERROR(__xludf.DUMMYFUNCTION("""COMPUTED_VALUE"""),7.34540204210722)</f>
        <v>7.3454020421072199</v>
      </c>
    </row>
    <row r="126" spans="1:4" ht="13" x14ac:dyDescent="0.15">
      <c r="A126" s="1">
        <f ca="1">IFERROR(__xludf.DUMMYFUNCTION("""COMPUTED_VALUE"""),4)</f>
        <v>4</v>
      </c>
      <c r="B126" s="1">
        <f ca="1">IFERROR(__xludf.DUMMYFUNCTION("""COMPUTED_VALUE"""),6.31529361988123)</f>
        <v>6.3152936198812304</v>
      </c>
      <c r="C126" s="1">
        <f ca="1">IFERROR(__xludf.DUMMYFUNCTION("""COMPUTED_VALUE"""),6.72573861475155)</f>
        <v>6.7257386147515499</v>
      </c>
      <c r="D126" s="1">
        <f ca="1">IFERROR(__xludf.DUMMYFUNCTION("""COMPUTED_VALUE"""),7.45097634276587)</f>
        <v>7.4509763427658697</v>
      </c>
    </row>
    <row r="127" spans="1:4" ht="13" x14ac:dyDescent="0.15">
      <c r="A127" s="1">
        <f ca="1">IFERROR(__xludf.DUMMYFUNCTION("""COMPUTED_VALUE"""),4)</f>
        <v>4</v>
      </c>
      <c r="B127" s="1">
        <f ca="1">IFERROR(__xludf.DUMMYFUNCTION("""COMPUTED_VALUE"""),6.09698852635299)</f>
        <v>6.0969885263529902</v>
      </c>
      <c r="C127" s="1">
        <f ca="1">IFERROR(__xludf.DUMMYFUNCTION("""COMPUTED_VALUE"""),6.47759914991118)</f>
        <v>6.47759914991118</v>
      </c>
      <c r="D127" s="1">
        <f ca="1">IFERROR(__xludf.DUMMYFUNCTION("""COMPUTED_VALUE"""),7.39693733428467)</f>
        <v>7.3969373342846696</v>
      </c>
    </row>
    <row r="128" spans="1:4" ht="13" x14ac:dyDescent="0.15">
      <c r="A128" s="1">
        <f ca="1">IFERROR(__xludf.DUMMYFUNCTION("""COMPUTED_VALUE"""),4)</f>
        <v>4</v>
      </c>
      <c r="B128" s="1">
        <f ca="1">IFERROR(__xludf.DUMMYFUNCTION("""COMPUTED_VALUE"""),6.20842335004407)</f>
        <v>6.20842335004407</v>
      </c>
      <c r="C128" s="1">
        <f ca="1">IFERROR(__xludf.DUMMYFUNCTION("""COMPUTED_VALUE"""),6.34453393669629)</f>
        <v>6.3445339366962896</v>
      </c>
      <c r="D128" s="1">
        <f ca="1">IFERROR(__xludf.DUMMYFUNCTION("""COMPUTED_VALUE"""),7.40286702865512)</f>
        <v>7.4028670286551197</v>
      </c>
    </row>
    <row r="129" spans="1:4" ht="13" x14ac:dyDescent="0.15">
      <c r="A129" s="1">
        <f ca="1">IFERROR(__xludf.DUMMYFUNCTION("""COMPUTED_VALUE"""),4)</f>
        <v>4</v>
      </c>
      <c r="B129" s="1">
        <f ca="1">IFERROR(__xludf.DUMMYFUNCTION("""COMPUTED_VALUE"""),6.36505328573356)</f>
        <v>6.36505328573356</v>
      </c>
      <c r="C129" s="1">
        <f ca="1">IFERROR(__xludf.DUMMYFUNCTION("""COMPUTED_VALUE"""),6.60683208791358)</f>
        <v>6.6068320879135802</v>
      </c>
      <c r="D129" s="1">
        <f ca="1">IFERROR(__xludf.DUMMYFUNCTION("""COMPUTED_VALUE"""),7.46227022164787)</f>
        <v>7.46227022164787</v>
      </c>
    </row>
    <row r="130" spans="1:4" ht="13" x14ac:dyDescent="0.15">
      <c r="A130" s="1">
        <f ca="1">IFERROR(__xludf.DUMMYFUNCTION("""COMPUTED_VALUE"""),4)</f>
        <v>4</v>
      </c>
      <c r="B130" s="1">
        <f ca="1">IFERROR(__xludf.DUMMYFUNCTION("""COMPUTED_VALUE"""),6.27592837448905)</f>
        <v>6.2759283744890499</v>
      </c>
      <c r="C130" s="1">
        <f ca="1">IFERROR(__xludf.DUMMYFUNCTION("""COMPUTED_VALUE"""),6.6316223206892)</f>
        <v>6.6316223206891998</v>
      </c>
      <c r="D130" s="1">
        <f ca="1">IFERROR(__xludf.DUMMYFUNCTION("""COMPUTED_VALUE"""),7.45195082246824)</f>
        <v>7.4519508224682403</v>
      </c>
    </row>
    <row r="131" spans="1:4" ht="13" x14ac:dyDescent="0.15">
      <c r="A131" s="1">
        <f ca="1">IFERROR(__xludf.DUMMYFUNCTION("""COMPUTED_VALUE"""),4)</f>
        <v>4</v>
      </c>
      <c r="B131" s="1">
        <f ca="1">IFERROR(__xludf.DUMMYFUNCTION("""COMPUTED_VALUE"""),6.16016739193168)</f>
        <v>6.1601673919316804</v>
      </c>
      <c r="C131" s="1">
        <f ca="1">IFERROR(__xludf.DUMMYFUNCTION("""COMPUTED_VALUE"""),6.49408429386952)</f>
        <v>6.4940842938695198</v>
      </c>
      <c r="D131" s="1">
        <f ca="1">IFERROR(__xludf.DUMMYFUNCTION("""COMPUTED_VALUE"""),7.45840453624138)</f>
        <v>7.45840453624138</v>
      </c>
    </row>
    <row r="132" spans="1:4" ht="13" x14ac:dyDescent="0.15">
      <c r="A132" s="1">
        <f ca="1">IFERROR(__xludf.DUMMYFUNCTION("""COMPUTED_VALUE"""),4)</f>
        <v>4</v>
      </c>
      <c r="B132" s="1">
        <f ca="1">IFERROR(__xludf.DUMMYFUNCTION("""COMPUTED_VALUE"""),6.08192849883331)</f>
        <v>6.0819284988333102</v>
      </c>
      <c r="C132" s="1">
        <f ca="1">IFERROR(__xludf.DUMMYFUNCTION("""COMPUTED_VALUE"""),6.39095911621595)</f>
        <v>6.3909591162159503</v>
      </c>
      <c r="D132" s="1">
        <f ca="1">IFERROR(__xludf.DUMMYFUNCTION("""COMPUTED_VALUE"""),7.39587984001468)</f>
        <v>7.3958798400146799</v>
      </c>
    </row>
    <row r="133" spans="1:4" ht="13" x14ac:dyDescent="0.15">
      <c r="A133" s="1">
        <f ca="1">IFERROR(__xludf.DUMMYFUNCTION("""COMPUTED_VALUE"""),4)</f>
        <v>4</v>
      </c>
      <c r="B133" s="1">
        <f ca="1">IFERROR(__xludf.DUMMYFUNCTION("""COMPUTED_VALUE"""),6.09085950984585)</f>
        <v>6.09085950984585</v>
      </c>
      <c r="C133" s="1">
        <f ca="1">IFERROR(__xludf.DUMMYFUNCTION("""COMPUTED_VALUE"""),6.36571256189249)</f>
        <v>6.3657125618924901</v>
      </c>
      <c r="D133" s="1">
        <f ca="1">IFERROR(__xludf.DUMMYFUNCTION("""COMPUTED_VALUE"""),7.39573012543383)</f>
        <v>7.3957301254338299</v>
      </c>
    </row>
    <row r="134" spans="1:4" ht="13" x14ac:dyDescent="0.15">
      <c r="A134" s="1">
        <f ca="1">IFERROR(__xludf.DUMMYFUNCTION("""COMPUTED_VALUE"""),4)</f>
        <v>4</v>
      </c>
      <c r="B134" s="1">
        <f ca="1">IFERROR(__xludf.DUMMYFUNCTION("""COMPUTED_VALUE"""),5.7368839134748)</f>
        <v>5.7368839134748004</v>
      </c>
      <c r="C134" s="1">
        <f ca="1">IFERROR(__xludf.DUMMYFUNCTION("""COMPUTED_VALUE"""),6.46670454403066)</f>
        <v>6.4667045440306596</v>
      </c>
      <c r="D134" s="1">
        <f ca="1">IFERROR(__xludf.DUMMYFUNCTION("""COMPUTED_VALUE"""),7.4448387973144)</f>
        <v>7.4448387973144001</v>
      </c>
    </row>
    <row r="135" spans="1:4" ht="13" x14ac:dyDescent="0.15">
      <c r="A135" s="1">
        <f ca="1">IFERROR(__xludf.DUMMYFUNCTION("""COMPUTED_VALUE"""),4)</f>
        <v>4</v>
      </c>
      <c r="B135" s="1">
        <f ca="1">IFERROR(__xludf.DUMMYFUNCTION("""COMPUTED_VALUE"""),6.24070371982179)</f>
        <v>6.2407037198217896</v>
      </c>
      <c r="C135" s="1">
        <f ca="1">IFERROR(__xludf.DUMMYFUNCTION("""COMPUTED_VALUE"""),6.48487941357118)</f>
        <v>6.4848794135711803</v>
      </c>
      <c r="D135" s="1">
        <f ca="1">IFERROR(__xludf.DUMMYFUNCTION("""COMPUTED_VALUE"""),7.47616775755149)</f>
        <v>7.4761677575514902</v>
      </c>
    </row>
    <row r="136" spans="1:4" ht="13" x14ac:dyDescent="0.15">
      <c r="A136" s="1">
        <f ca="1">IFERROR(__xludf.DUMMYFUNCTION("""COMPUTED_VALUE"""),4)</f>
        <v>4</v>
      </c>
      <c r="B136" s="1">
        <f ca="1">IFERROR(__xludf.DUMMYFUNCTION("""COMPUTED_VALUE"""),6.3205197434261)</f>
        <v>6.3205197434261002</v>
      </c>
      <c r="C136" s="1">
        <f ca="1">IFERROR(__xludf.DUMMYFUNCTION("""COMPUTED_VALUE"""),6.51662566074488)</f>
        <v>6.5166256607448796</v>
      </c>
      <c r="D136" s="1">
        <f ca="1">IFERROR(__xludf.DUMMYFUNCTION("""COMPUTED_VALUE"""),7.43123730171428)</f>
        <v>7.4312373017142797</v>
      </c>
    </row>
    <row r="137" spans="1:4" ht="13" x14ac:dyDescent="0.15">
      <c r="A137" s="1">
        <f ca="1">IFERROR(__xludf.DUMMYFUNCTION("""COMPUTED_VALUE"""),4)</f>
        <v>4</v>
      </c>
      <c r="B137" s="1">
        <f ca="1">IFERROR(__xludf.DUMMYFUNCTION("""COMPUTED_VALUE"""),6.34714962365492)</f>
        <v>6.3471496236549196</v>
      </c>
      <c r="C137" s="1">
        <f ca="1">IFERROR(__xludf.DUMMYFUNCTION("""COMPUTED_VALUE"""),6.45490260971563)</f>
        <v>6.4549026097156297</v>
      </c>
      <c r="D137" s="1">
        <f ca="1">IFERROR(__xludf.DUMMYFUNCTION("""COMPUTED_VALUE"""),7.41207519006887)</f>
        <v>7.4120751900688697</v>
      </c>
    </row>
    <row r="138" spans="1:4" ht="13" x14ac:dyDescent="0.15">
      <c r="A138" s="1">
        <f ca="1">IFERROR(__xludf.DUMMYFUNCTION("""COMPUTED_VALUE"""),5)</f>
        <v>5</v>
      </c>
      <c r="B138" s="1">
        <f ca="1">IFERROR(__xludf.DUMMYFUNCTION("""COMPUTED_VALUE"""),7.0078212776151)</f>
        <v>7.0078212776150997</v>
      </c>
      <c r="C138" s="1">
        <f ca="1">IFERROR(__xludf.DUMMYFUNCTION("""COMPUTED_VALUE"""),7.41779072846079)</f>
        <v>7.4177907284607896</v>
      </c>
      <c r="D138" s="1">
        <f ca="1">IFERROR(__xludf.DUMMYFUNCTION("""COMPUTED_VALUE"""),8.21311659445249)</f>
        <v>8.2131165944524902</v>
      </c>
    </row>
    <row r="139" spans="1:4" ht="13" x14ac:dyDescent="0.15">
      <c r="A139" s="1">
        <f ca="1">IFERROR(__xludf.DUMMYFUNCTION("""COMPUTED_VALUE"""),5)</f>
        <v>5</v>
      </c>
      <c r="B139" s="1">
        <f ca="1">IFERROR(__xludf.DUMMYFUNCTION("""COMPUTED_VALUE"""),6.97765365538669)</f>
        <v>6.9776536553866899</v>
      </c>
      <c r="C139" s="1">
        <f ca="1">IFERROR(__xludf.DUMMYFUNCTION("""COMPUTED_VALUE"""),7.12717133107206)</f>
        <v>7.1271713310720601</v>
      </c>
      <c r="D139" s="1">
        <f ca="1">IFERROR(__xludf.DUMMYFUNCTION("""COMPUTED_VALUE"""),8.17449189170756)</f>
        <v>8.1744918917075609</v>
      </c>
    </row>
    <row r="140" spans="1:4" ht="13" x14ac:dyDescent="0.15">
      <c r="A140" s="1">
        <f ca="1">IFERROR(__xludf.DUMMYFUNCTION("""COMPUTED_VALUE"""),5)</f>
        <v>5</v>
      </c>
      <c r="B140" s="1">
        <f ca="1">IFERROR(__xludf.DUMMYFUNCTION("""COMPUTED_VALUE"""),6.69413063753109)</f>
        <v>6.6941306375310896</v>
      </c>
      <c r="C140" s="1">
        <f ca="1">IFERROR(__xludf.DUMMYFUNCTION("""COMPUTED_VALUE"""),7.5553826083599)</f>
        <v>7.5553826083599001</v>
      </c>
      <c r="D140" s="1">
        <f ca="1">IFERROR(__xludf.DUMMYFUNCTION("""COMPUTED_VALUE"""),8.29370699815617)</f>
        <v>8.2937069981561695</v>
      </c>
    </row>
    <row r="141" spans="1:4" ht="13" x14ac:dyDescent="0.15">
      <c r="A141" s="1">
        <f ca="1">IFERROR(__xludf.DUMMYFUNCTION("""COMPUTED_VALUE"""),5)</f>
        <v>5</v>
      </c>
      <c r="B141" s="1">
        <f ca="1">IFERROR(__xludf.DUMMYFUNCTION("""COMPUTED_VALUE"""),6.8078600184778)</f>
        <v>6.8078600184778004</v>
      </c>
      <c r="C141" s="1">
        <f ca="1">IFERROR(__xludf.DUMMYFUNCTION("""COMPUTED_VALUE"""),7.26705071945089)</f>
        <v>7.2670507194508902</v>
      </c>
      <c r="D141" s="1">
        <f ca="1">IFERROR(__xludf.DUMMYFUNCTION("""COMPUTED_VALUE"""),8.21950510697589)</f>
        <v>8.2195051069758893</v>
      </c>
    </row>
    <row r="142" spans="1:4" ht="13" x14ac:dyDescent="0.15">
      <c r="A142" s="1">
        <f ca="1">IFERROR(__xludf.DUMMYFUNCTION("""COMPUTED_VALUE"""),5)</f>
        <v>5</v>
      </c>
      <c r="B142" s="1">
        <f ca="1">IFERROR(__xludf.DUMMYFUNCTION("""COMPUTED_VALUE"""),7.09360776149347)</f>
        <v>7.0936077614934696</v>
      </c>
      <c r="C142" s="1">
        <f ca="1">IFERROR(__xludf.DUMMYFUNCTION("""COMPUTED_VALUE"""),7.24645335174212)</f>
        <v>7.2464533517421197</v>
      </c>
      <c r="D142" s="1">
        <f ca="1">IFERROR(__xludf.DUMMYFUNCTION("""COMPUTED_VALUE"""),8.25167827831304)</f>
        <v>8.2516782783130402</v>
      </c>
    </row>
    <row r="143" spans="1:4" ht="13" x14ac:dyDescent="0.15">
      <c r="A143" s="1">
        <f ca="1">IFERROR(__xludf.DUMMYFUNCTION("""COMPUTED_VALUE"""),5)</f>
        <v>5</v>
      </c>
      <c r="B143" s="1">
        <f ca="1">IFERROR(__xludf.DUMMYFUNCTION("""COMPUTED_VALUE"""),7.07606269907575)</f>
        <v>7.0760626990757496</v>
      </c>
      <c r="C143" s="1">
        <f ca="1">IFERROR(__xludf.DUMMYFUNCTION("""COMPUTED_VALUE"""),7.43250869456439)</f>
        <v>7.4325086945643903</v>
      </c>
      <c r="D143" s="1">
        <f ca="1">IFERROR(__xludf.DUMMYFUNCTION("""COMPUTED_VALUE"""),8.28157080710138)</f>
        <v>8.2815708071013798</v>
      </c>
    </row>
    <row r="144" spans="1:4" ht="13" x14ac:dyDescent="0.15">
      <c r="A144" s="1">
        <f ca="1">IFERROR(__xludf.DUMMYFUNCTION("""COMPUTED_VALUE"""),5)</f>
        <v>5</v>
      </c>
      <c r="B144" s="1">
        <f ca="1">IFERROR(__xludf.DUMMYFUNCTION("""COMPUTED_VALUE"""),7.11583964555504)</f>
        <v>7.1158396455550399</v>
      </c>
      <c r="C144" s="1">
        <f ca="1">IFERROR(__xludf.DUMMYFUNCTION("""COMPUTED_VALUE"""),7.50187970064728)</f>
        <v>7.5018797006472804</v>
      </c>
      <c r="D144" s="1">
        <f ca="1">IFERROR(__xludf.DUMMYFUNCTION("""COMPUTED_VALUE"""),8.27699680335228)</f>
        <v>8.2769968033522794</v>
      </c>
    </row>
    <row r="145" spans="1:4" ht="13" x14ac:dyDescent="0.15">
      <c r="A145" s="1">
        <f ca="1">IFERROR(__xludf.DUMMYFUNCTION("""COMPUTED_VALUE"""),5)</f>
        <v>5</v>
      </c>
      <c r="B145" s="1">
        <f ca="1">IFERROR(__xludf.DUMMYFUNCTION("""COMPUTED_VALUE"""),6.96132957406759)</f>
        <v>6.96132957406759</v>
      </c>
      <c r="C145" s="1">
        <f ca="1">IFERROR(__xludf.DUMMYFUNCTION("""COMPUTED_VALUE"""),7.36961426043987)</f>
        <v>7.36961426043987</v>
      </c>
      <c r="D145" s="1">
        <f ca="1">IFERROR(__xludf.DUMMYFUNCTION("""COMPUTED_VALUE"""),8.28100312019865)</f>
        <v>8.2810031201986494</v>
      </c>
    </row>
    <row r="146" spans="1:4" ht="13" x14ac:dyDescent="0.15">
      <c r="A146" s="1">
        <f ca="1">IFERROR(__xludf.DUMMYFUNCTION("""COMPUTED_VALUE"""),5)</f>
        <v>5</v>
      </c>
      <c r="B146" s="1">
        <f ca="1">IFERROR(__xludf.DUMMYFUNCTION("""COMPUTED_VALUE"""),6.81299292546534)</f>
        <v>6.8129929254653403</v>
      </c>
      <c r="C146" s="1">
        <f ca="1">IFERROR(__xludf.DUMMYFUNCTION("""COMPUTED_VALUE"""),7.20782333726043)</f>
        <v>7.2078233372604297</v>
      </c>
      <c r="D146" s="1">
        <f ca="1">IFERROR(__xludf.DUMMYFUNCTION("""COMPUTED_VALUE"""),8.19482008300406)</f>
        <v>8.1948200830040605</v>
      </c>
    </row>
    <row r="147" spans="1:4" ht="13" x14ac:dyDescent="0.15">
      <c r="A147" s="1">
        <f ca="1">IFERROR(__xludf.DUMMYFUNCTION("""COMPUTED_VALUE"""),5)</f>
        <v>5</v>
      </c>
      <c r="B147" s="1">
        <f ca="1">IFERROR(__xludf.DUMMYFUNCTION("""COMPUTED_VALUE"""),6.51086270638984)</f>
        <v>6.5108627063898403</v>
      </c>
      <c r="C147" s="1">
        <f ca="1">IFERROR(__xludf.DUMMYFUNCTION("""COMPUTED_VALUE"""),7.31221318637292)</f>
        <v>7.3122131863729196</v>
      </c>
      <c r="D147" s="1">
        <f ca="1">IFERROR(__xludf.DUMMYFUNCTION("""COMPUTED_VALUE"""),8.26966741116942)</f>
        <v>8.2696674111694204</v>
      </c>
    </row>
    <row r="148" spans="1:4" ht="13" x14ac:dyDescent="0.15">
      <c r="A148" s="1">
        <f ca="1">IFERROR(__xludf.DUMMYFUNCTION("""COMPUTED_VALUE"""),5)</f>
        <v>5</v>
      </c>
      <c r="B148" s="1">
        <f ca="1">IFERROR(__xludf.DUMMYFUNCTION("""COMPUTED_VALUE"""),7.22322414281857)</f>
        <v>7.2232241428185704</v>
      </c>
      <c r="C148" s="1">
        <f ca="1">IFERROR(__xludf.DUMMYFUNCTION("""COMPUTED_VALUE"""),7.42103064185335)</f>
        <v>7.42103064185335</v>
      </c>
      <c r="D148" s="1">
        <f ca="1">IFERROR(__xludf.DUMMYFUNCTION("""COMPUTED_VALUE"""),8.26297165807634)</f>
        <v>8.2629716580763404</v>
      </c>
    </row>
    <row r="149" spans="1:4" ht="13" x14ac:dyDescent="0.15">
      <c r="A149" s="1">
        <f ca="1">IFERROR(__xludf.DUMMYFUNCTION("""COMPUTED_VALUE"""),5)</f>
        <v>5</v>
      </c>
      <c r="B149" s="1">
        <f ca="1">IFERROR(__xludf.DUMMYFUNCTION("""COMPUTED_VALUE"""),7.16842143113454)</f>
        <v>7.16842143113454</v>
      </c>
      <c r="C149" s="1">
        <f ca="1">IFERROR(__xludf.DUMMYFUNCTION("""COMPUTED_VALUE"""),7.27188199172311)</f>
        <v>7.2718819917231103</v>
      </c>
      <c r="D149" s="1">
        <f ca="1">IFERROR(__xludf.DUMMYFUNCTION("""COMPUTED_VALUE"""),8.20741942055717)</f>
        <v>8.2074194205571693</v>
      </c>
    </row>
    <row r="150" spans="1:4" ht="13" x14ac:dyDescent="0.15">
      <c r="A150" s="1">
        <f ca="1">IFERROR(__xludf.DUMMYFUNCTION("""COMPUTED_VALUE"""),6)</f>
        <v>6</v>
      </c>
      <c r="B150" s="1">
        <f ca="1">IFERROR(__xludf.DUMMYFUNCTION("""COMPUTED_VALUE"""),7.74483505110868)</f>
        <v>7.7448350511086801</v>
      </c>
      <c r="C150" s="1">
        <f ca="1">IFERROR(__xludf.DUMMYFUNCTION("""COMPUTED_VALUE"""),8.14703077984541)</f>
        <v>8.1470307798454105</v>
      </c>
      <c r="D150" s="1">
        <f ca="1">IFERROR(__xludf.DUMMYFUNCTION("""COMPUTED_VALUE"""),8.90434373122342)</f>
        <v>8.9043437312234204</v>
      </c>
    </row>
    <row r="151" spans="1:4" ht="13" x14ac:dyDescent="0.15">
      <c r="A151" s="1">
        <f ca="1">IFERROR(__xludf.DUMMYFUNCTION("""COMPUTED_VALUE"""),6)</f>
        <v>6</v>
      </c>
      <c r="B151" s="1">
        <f ca="1">IFERROR(__xludf.DUMMYFUNCTION("""COMPUTED_VALUE"""),7.70674289219356)</f>
        <v>7.7067428921935601</v>
      </c>
      <c r="C151" s="1">
        <f ca="1">IFERROR(__xludf.DUMMYFUNCTION("""COMPUTED_VALUE"""),7.8742261813386)</f>
        <v>7.8742261813386003</v>
      </c>
      <c r="D151" s="1">
        <f ca="1">IFERROR(__xludf.DUMMYFUNCTION("""COMPUTED_VALUE"""),8.86057142713416)</f>
        <v>8.8605714271341594</v>
      </c>
    </row>
    <row r="152" spans="1:4" ht="13" x14ac:dyDescent="0.15">
      <c r="A152" s="1">
        <f ca="1">IFERROR(__xludf.DUMMYFUNCTION("""COMPUTED_VALUE"""),6)</f>
        <v>6</v>
      </c>
      <c r="B152" s="1">
        <f ca="1">IFERROR(__xludf.DUMMYFUNCTION("""COMPUTED_VALUE"""),7.20025767004017)</f>
        <v>7.2002576700401697</v>
      </c>
      <c r="C152" s="1">
        <f ca="1">IFERROR(__xludf.DUMMYFUNCTION("""COMPUTED_VALUE"""),8.22303948949058)</f>
        <v>8.2230394894905796</v>
      </c>
      <c r="D152" s="1">
        <f ca="1">IFERROR(__xludf.DUMMYFUNCTION("""COMPUTED_VALUE"""),8.95125769697644)</f>
        <v>8.9512576969764392</v>
      </c>
    </row>
    <row r="153" spans="1:4" ht="13" x14ac:dyDescent="0.15">
      <c r="A153" s="1">
        <f ca="1">IFERROR(__xludf.DUMMYFUNCTION("""COMPUTED_VALUE"""),6)</f>
        <v>6</v>
      </c>
      <c r="B153" s="1">
        <f ca="1">IFERROR(__xludf.DUMMYFUNCTION("""COMPUTED_VALUE"""),7.41581236230816)</f>
        <v>7.4158123623081602</v>
      </c>
      <c r="C153" s="1">
        <f ca="1">IFERROR(__xludf.DUMMYFUNCTION("""COMPUTED_VALUE"""),8.01991240134219)</f>
        <v>8.0199124013421894</v>
      </c>
      <c r="D153" s="1">
        <f ca="1">IFERROR(__xludf.DUMMYFUNCTION("""COMPUTED_VALUE"""),8.90183286879177)</f>
        <v>8.9018328687917698</v>
      </c>
    </row>
    <row r="154" spans="1:4" ht="13" x14ac:dyDescent="0.15">
      <c r="A154" s="1">
        <f ca="1">IFERROR(__xludf.DUMMYFUNCTION("""COMPUTED_VALUE"""),6)</f>
        <v>6</v>
      </c>
      <c r="B154" s="1">
        <f ca="1">IFERROR(__xludf.DUMMYFUNCTION("""COMPUTED_VALUE"""),7.79204780930728)</f>
        <v>7.79204780930728</v>
      </c>
      <c r="C154" s="1">
        <f ca="1">IFERROR(__xludf.DUMMYFUNCTION("""COMPUTED_VALUE"""),7.98618001926626)</f>
        <v>7.9861800192662598</v>
      </c>
      <c r="D154" s="1">
        <f ca="1">IFERROR(__xludf.DUMMYFUNCTION("""COMPUTED_VALUE"""),8.91506861295693)</f>
        <v>8.9150686129569294</v>
      </c>
    </row>
    <row r="155" spans="1:4" ht="13" x14ac:dyDescent="0.15">
      <c r="A155" s="1">
        <f ca="1">IFERROR(__xludf.DUMMYFUNCTION("""COMPUTED_VALUE"""),6)</f>
        <v>6</v>
      </c>
      <c r="B155" s="1">
        <f ca="1">IFERROR(__xludf.DUMMYFUNCTION("""COMPUTED_VALUE"""),7.64888420512304)</f>
        <v>7.6488842051230401</v>
      </c>
      <c r="C155" s="1">
        <f ca="1">IFERROR(__xludf.DUMMYFUNCTION("""COMPUTED_VALUE"""),8.10873454137516)</f>
        <v>8.1087345413751599</v>
      </c>
      <c r="D155" s="1">
        <f ca="1">IFERROR(__xludf.DUMMYFUNCTION("""COMPUTED_VALUE"""),8.92548538065257)</f>
        <v>8.9254853806525691</v>
      </c>
    </row>
    <row r="156" spans="1:4" ht="13" x14ac:dyDescent="0.15">
      <c r="A156" s="1">
        <f ca="1">IFERROR(__xludf.DUMMYFUNCTION("""COMPUTED_VALUE"""),4)</f>
        <v>4</v>
      </c>
      <c r="B156" s="1">
        <f ca="1">IFERROR(__xludf.DUMMYFUNCTION("""COMPUTED_VALUE"""),6.44035705149704)</f>
        <v>6.4403570514970401</v>
      </c>
      <c r="C156" s="1">
        <f ca="1">IFERROR(__xludf.DUMMYFUNCTION("""COMPUTED_VALUE"""),6.55784223730241)</f>
        <v>6.5578422373024097</v>
      </c>
      <c r="D156" s="1">
        <f ca="1">IFERROR(__xludf.DUMMYFUNCTION("""COMPUTED_VALUE"""),7.44300511997355)</f>
        <v>7.4430051199735496</v>
      </c>
    </row>
    <row r="157" spans="1:4" ht="13" x14ac:dyDescent="0.15">
      <c r="A157" s="1">
        <f ca="1">IFERROR(__xludf.DUMMYFUNCTION("""COMPUTED_VALUE"""),4)</f>
        <v>4</v>
      </c>
      <c r="B157" s="1">
        <f ca="1">IFERROR(__xludf.DUMMYFUNCTION("""COMPUTED_VALUE"""),6.21634697457238)</f>
        <v>6.2163469745723798</v>
      </c>
      <c r="C157" s="1">
        <f ca="1">IFERROR(__xludf.DUMMYFUNCTION("""COMPUTED_VALUE"""),6.50915532553657)</f>
        <v>6.5091553255365699</v>
      </c>
      <c r="D157" s="1">
        <f ca="1">IFERROR(__xludf.DUMMYFUNCTION("""COMPUTED_VALUE"""),7.4014376265681)</f>
        <v>7.4014376265681001</v>
      </c>
    </row>
    <row r="158" spans="1:4" ht="13" x14ac:dyDescent="0.15">
      <c r="A158" s="1">
        <f ca="1">IFERROR(__xludf.DUMMYFUNCTION("""COMPUTED_VALUE"""),4)</f>
        <v>4</v>
      </c>
      <c r="B158" s="1">
        <f ca="1">IFERROR(__xludf.DUMMYFUNCTION("""COMPUTED_VALUE"""),6.45796556980494)</f>
        <v>6.4579655698049399</v>
      </c>
      <c r="C158" s="1">
        <f ca="1">IFERROR(__xludf.DUMMYFUNCTION("""COMPUTED_VALUE"""),6.60572663514507)</f>
        <v>6.6057266351450696</v>
      </c>
      <c r="D158" s="1">
        <f ca="1">IFERROR(__xludf.DUMMYFUNCTION("""COMPUTED_VALUE"""),7.41488616295474)</f>
        <v>7.4148861629547396</v>
      </c>
    </row>
    <row r="159" spans="1:4" ht="13" x14ac:dyDescent="0.15">
      <c r="A159" s="1">
        <f ca="1">IFERROR(__xludf.DUMMYFUNCTION("""COMPUTED_VALUE"""),4)</f>
        <v>4</v>
      </c>
      <c r="B159" s="1">
        <f ca="1">IFERROR(__xludf.DUMMYFUNCTION("""COMPUTED_VALUE"""),5.79632242486743)</f>
        <v>5.7963224248674301</v>
      </c>
      <c r="C159" s="1">
        <f ca="1">IFERROR(__xludf.DUMMYFUNCTION("""COMPUTED_VALUE"""),6.55313255340416)</f>
        <v>6.5531325534041596</v>
      </c>
      <c r="D159" s="1">
        <f ca="1">IFERROR(__xludf.DUMMYFUNCTION("""COMPUTED_VALUE"""),7.4490187758633)</f>
        <v>7.4490187758633004</v>
      </c>
    </row>
    <row r="160" spans="1:4" ht="13" x14ac:dyDescent="0.15">
      <c r="A160" s="1">
        <f ca="1">IFERROR(__xludf.DUMMYFUNCTION("""COMPUTED_VALUE"""),5)</f>
        <v>5</v>
      </c>
      <c r="B160" s="1">
        <f ca="1">IFERROR(__xludf.DUMMYFUNCTION("""COMPUTED_VALUE"""),7.24836780434737)</f>
        <v>7.24836780434737</v>
      </c>
      <c r="C160" s="1">
        <f ca="1">IFERROR(__xludf.DUMMYFUNCTION("""COMPUTED_VALUE"""),7.36851964899567)</f>
        <v>7.3685196489956697</v>
      </c>
      <c r="D160" s="1">
        <f ca="1">IFERROR(__xludf.DUMMYFUNCTION("""COMPUTED_VALUE"""),8.2545507307199)</f>
        <v>8.2545507307199006</v>
      </c>
    </row>
    <row r="161" spans="1:4" ht="13" x14ac:dyDescent="0.15">
      <c r="A161" s="1">
        <f ca="1">IFERROR(__xludf.DUMMYFUNCTION("""COMPUTED_VALUE"""),5)</f>
        <v>5</v>
      </c>
      <c r="B161" s="1">
        <f ca="1">IFERROR(__xludf.DUMMYFUNCTION("""COMPUTED_VALUE"""),7.1351895672682)</f>
        <v>7.1351895672682</v>
      </c>
      <c r="C161" s="1">
        <f ca="1">IFERROR(__xludf.DUMMYFUNCTION("""COMPUTED_VALUE"""),7.37426863472052)</f>
        <v>7.3742686347205204</v>
      </c>
      <c r="D161" s="1">
        <f ca="1">IFERROR(__xludf.DUMMYFUNCTION("""COMPUTED_VALUE"""),8.23732844512527)</f>
        <v>8.2373284451252697</v>
      </c>
    </row>
    <row r="162" spans="1:4" ht="13" x14ac:dyDescent="0.15">
      <c r="A162" s="1">
        <f ca="1">IFERROR(__xludf.DUMMYFUNCTION("""COMPUTED_VALUE"""),5)</f>
        <v>5</v>
      </c>
      <c r="B162" s="1">
        <f ca="1">IFERROR(__xludf.DUMMYFUNCTION("""COMPUTED_VALUE"""),7.21798312220149)</f>
        <v>7.2179831222014901</v>
      </c>
      <c r="C162" s="1">
        <f ca="1">IFERROR(__xludf.DUMMYFUNCTION("""COMPUTED_VALUE"""),7.44648356039419)</f>
        <v>7.4464835603941903</v>
      </c>
      <c r="D162" s="1">
        <f ca="1">IFERROR(__xludf.DUMMYFUNCTION("""COMPUTED_VALUE"""),8.23953656171844)</f>
        <v>8.23953656171844</v>
      </c>
    </row>
    <row r="163" spans="1:4" ht="13" x14ac:dyDescent="0.15">
      <c r="A163" s="1">
        <f ca="1">IFERROR(__xludf.DUMMYFUNCTION("""COMPUTED_VALUE"""),5)</f>
        <v>5</v>
      </c>
      <c r="B163" s="1">
        <f ca="1">IFERROR(__xludf.DUMMYFUNCTION("""COMPUTED_VALUE"""),6.58117225933662)</f>
        <v>6.5811722593366202</v>
      </c>
      <c r="C163" s="1">
        <f ca="1">IFERROR(__xludf.DUMMYFUNCTION("""COMPUTED_VALUE"""),7.35557554550178)</f>
        <v>7.3555755455017797</v>
      </c>
      <c r="D163" s="1">
        <f ca="1">IFERROR(__xludf.DUMMYFUNCTION("""COMPUTED_VALUE"""),8.24608344164144)</f>
        <v>8.2460834416414404</v>
      </c>
    </row>
    <row r="164" spans="1:4" ht="13" x14ac:dyDescent="0.15">
      <c r="A164" s="1">
        <f ca="1">IFERROR(__xludf.DUMMYFUNCTION("""COMPUTED_VALUE"""),5)</f>
        <v>5</v>
      </c>
      <c r="B164" s="1">
        <f ca="1">IFERROR(__xludf.DUMMYFUNCTION("""COMPUTED_VALUE"""),6.99353899401752)</f>
        <v>6.9935389940175199</v>
      </c>
      <c r="C164" s="1">
        <f ca="1">IFERROR(__xludf.DUMMYFUNCTION("""COMPUTED_VALUE"""),7.31259498411617)</f>
        <v>7.3125949841161697</v>
      </c>
      <c r="D164" s="1">
        <f ca="1">IFERROR(__xludf.DUMMYFUNCTION("""COMPUTED_VALUE"""),8.24987124186038)</f>
        <v>8.2498712418603795</v>
      </c>
    </row>
    <row r="165" spans="1:4" ht="13" x14ac:dyDescent="0.15">
      <c r="A165" s="1">
        <f ca="1">IFERROR(__xludf.DUMMYFUNCTION("""COMPUTED_VALUE"""),5)</f>
        <v>5</v>
      </c>
      <c r="B165" s="1">
        <f ca="1">IFERROR(__xludf.DUMMYFUNCTION("""COMPUTED_VALUE"""),7.20446399760225)</f>
        <v>7.2044639976022502</v>
      </c>
      <c r="C165" s="1">
        <f ca="1">IFERROR(__xludf.DUMMYFUNCTION("""COMPUTED_VALUE"""),7.38438420619156)</f>
        <v>7.3843842061915597</v>
      </c>
      <c r="D165" s="1">
        <f ca="1">IFERROR(__xludf.DUMMYFUNCTION("""COMPUTED_VALUE"""),8.29142328039192)</f>
        <v>8.2914232803919194</v>
      </c>
    </row>
    <row r="166" spans="1:4" ht="13" x14ac:dyDescent="0.15">
      <c r="A166" s="1">
        <f ca="1">IFERROR(__xludf.DUMMYFUNCTION("""COMPUTED_VALUE"""),5)</f>
        <v>5</v>
      </c>
      <c r="B166" s="1">
        <f ca="1">IFERROR(__xludf.DUMMYFUNCTION("""COMPUTED_VALUE"""),6.89395545967704)</f>
        <v>6.8939554596770396</v>
      </c>
      <c r="C166" s="1">
        <f ca="1">IFERROR(__xludf.DUMMYFUNCTION("""COMPUTED_VALUE"""),7.41642938225505)</f>
        <v>7.4164293822550498</v>
      </c>
      <c r="D166" s="1">
        <f ca="1">IFERROR(__xludf.DUMMYFUNCTION("""COMPUTED_VALUE"""),8.26751331102007)</f>
        <v>8.2675133110200694</v>
      </c>
    </row>
    <row r="167" spans="1:4" ht="13" x14ac:dyDescent="0.15">
      <c r="A167" s="1">
        <f ca="1">IFERROR(__xludf.DUMMYFUNCTION("""COMPUTED_VALUE"""),6)</f>
        <v>6</v>
      </c>
      <c r="B167" s="1">
        <f ca="1">IFERROR(__xludf.DUMMYFUNCTION("""COMPUTED_VALUE"""),7.86141127958195)</f>
        <v>7.86141127958195</v>
      </c>
      <c r="C167" s="1">
        <f ca="1">IFERROR(__xludf.DUMMYFUNCTION("""COMPUTED_VALUE"""),8.05531225318345)</f>
        <v>8.05531225318345</v>
      </c>
      <c r="D167" s="1">
        <f ca="1">IFERROR(__xludf.DUMMYFUNCTION("""COMPUTED_VALUE"""),8.92127646196203)</f>
        <v>8.9212764619620302</v>
      </c>
    </row>
    <row r="168" spans="1:4" ht="13" x14ac:dyDescent="0.15">
      <c r="A168" s="1">
        <f ca="1">IFERROR(__xludf.DUMMYFUNCTION("""COMPUTED_VALUE"""),6)</f>
        <v>6</v>
      </c>
      <c r="B168" s="1">
        <f ca="1">IFERROR(__xludf.DUMMYFUNCTION("""COMPUTED_VALUE"""),7.86678734656756)</f>
        <v>7.86678734656756</v>
      </c>
      <c r="C168" s="1">
        <f ca="1">IFERROR(__xludf.DUMMYFUNCTION("""COMPUTED_VALUE"""),8.09751648636048)</f>
        <v>8.0975164863604796</v>
      </c>
      <c r="D168" s="1">
        <f ca="1">IFERROR(__xludf.DUMMYFUNCTION("""COMPUTED_VALUE"""),8.92068411482369)</f>
        <v>8.9206841148236897</v>
      </c>
    </row>
    <row r="169" spans="1:4" ht="13" x14ac:dyDescent="0.15">
      <c r="A169" s="1">
        <f ca="1">IFERROR(__xludf.DUMMYFUNCTION("""COMPUTED_VALUE"""),4)</f>
        <v>4</v>
      </c>
      <c r="B169" s="1">
        <f ca="1">IFERROR(__xludf.DUMMYFUNCTION("""COMPUTED_VALUE"""),6.28802710162014)</f>
        <v>6.2880271016201403</v>
      </c>
      <c r="C169" s="1">
        <f ca="1">IFERROR(__xludf.DUMMYFUNCTION("""COMPUTED_VALUE"""),6.54904975603657)</f>
        <v>6.5490497560365704</v>
      </c>
      <c r="D169" s="1">
        <f ca="1">IFERROR(__xludf.DUMMYFUNCTION("""COMPUTED_VALUE"""),7.38700288273798)</f>
        <v>7.3870028827379803</v>
      </c>
    </row>
    <row r="170" spans="1:4" ht="13" x14ac:dyDescent="0.15">
      <c r="A170" s="1">
        <f ca="1">IFERROR(__xludf.DUMMYFUNCTION("""COMPUTED_VALUE"""),4)</f>
        <v>4</v>
      </c>
      <c r="B170" s="1">
        <f ca="1">IFERROR(__xludf.DUMMYFUNCTION("""COMPUTED_VALUE"""),5.98637217869205)</f>
        <v>5.9863721786920499</v>
      </c>
      <c r="C170" s="1">
        <f ca="1">IFERROR(__xludf.DUMMYFUNCTION("""COMPUTED_VALUE"""),6.24443670398042)</f>
        <v>6.2444367039804201</v>
      </c>
      <c r="D170" s="1">
        <f ca="1">IFERROR(__xludf.DUMMYFUNCTION("""COMPUTED_VALUE"""),7.3408862553164)</f>
        <v>7.3408862553164003</v>
      </c>
    </row>
    <row r="171" spans="1:4" ht="13" x14ac:dyDescent="0.15">
      <c r="A171" s="1">
        <f ca="1">IFERROR(__xludf.DUMMYFUNCTION("""COMPUTED_VALUE"""),4)</f>
        <v>4</v>
      </c>
      <c r="B171" s="1">
        <f ca="1">IFERROR(__xludf.DUMMYFUNCTION("""COMPUTED_VALUE"""),6.0982372713567)</f>
        <v>6.0982372713566999</v>
      </c>
      <c r="C171" s="1">
        <f ca="1">IFERROR(__xludf.DUMMYFUNCTION("""COMPUTED_VALUE"""),6.73257202524383)</f>
        <v>6.7325720252438304</v>
      </c>
      <c r="D171" s="1">
        <f ca="1">IFERROR(__xludf.DUMMYFUNCTION("""COMPUTED_VALUE"""),7.44920744760603)</f>
        <v>7.4492074476060299</v>
      </c>
    </row>
    <row r="172" spans="1:4" ht="13" x14ac:dyDescent="0.15">
      <c r="A172" s="1">
        <f ca="1">IFERROR(__xludf.DUMMYFUNCTION("""COMPUTED_VALUE"""),4)</f>
        <v>4</v>
      </c>
      <c r="B172" s="1">
        <f ca="1">IFERROR(__xludf.DUMMYFUNCTION("""COMPUTED_VALUE"""),5.91737998188331)</f>
        <v>5.9173799818833102</v>
      </c>
      <c r="C172" s="1">
        <f ca="1">IFERROR(__xludf.DUMMYFUNCTION("""COMPUTED_VALUE"""),6.48484855469819)</f>
        <v>6.48484855469819</v>
      </c>
      <c r="D172" s="1">
        <f ca="1">IFERROR(__xludf.DUMMYFUNCTION("""COMPUTED_VALUE"""),7.40606381330138)</f>
        <v>7.4060638133013796</v>
      </c>
    </row>
    <row r="173" spans="1:4" ht="13" x14ac:dyDescent="0.15">
      <c r="A173" s="1">
        <f ca="1">IFERROR(__xludf.DUMMYFUNCTION("""COMPUTED_VALUE"""),4)</f>
        <v>4</v>
      </c>
      <c r="B173" s="1">
        <f ca="1">IFERROR(__xludf.DUMMYFUNCTION("""COMPUTED_VALUE"""),6.27678820659594)</f>
        <v>6.2767882065959402</v>
      </c>
      <c r="C173" s="1">
        <f ca="1">IFERROR(__xludf.DUMMYFUNCTION("""COMPUTED_VALUE"""),6.37818797150436)</f>
        <v>6.3781879715043601</v>
      </c>
      <c r="D173" s="1">
        <f ca="1">IFERROR(__xludf.DUMMYFUNCTION("""COMPUTED_VALUE"""),7.40869507435343)</f>
        <v>7.4086950743534299</v>
      </c>
    </row>
    <row r="174" spans="1:4" ht="13" x14ac:dyDescent="0.15">
      <c r="A174" s="1">
        <f ca="1">IFERROR(__xludf.DUMMYFUNCTION("""COMPUTED_VALUE"""),4)</f>
        <v>4</v>
      </c>
      <c r="B174" s="1">
        <f ca="1">IFERROR(__xludf.DUMMYFUNCTION("""COMPUTED_VALUE"""),6.33338721477298)</f>
        <v>6.3333872147729799</v>
      </c>
      <c r="C174" s="1">
        <f ca="1">IFERROR(__xludf.DUMMYFUNCTION("""COMPUTED_VALUE"""),6.58835732446279)</f>
        <v>6.5883573244627902</v>
      </c>
      <c r="D174" s="1">
        <f ca="1">IFERROR(__xludf.DUMMYFUNCTION("""COMPUTED_VALUE"""),7.45505391105049)</f>
        <v>7.4550539110504896</v>
      </c>
    </row>
    <row r="175" spans="1:4" ht="13" x14ac:dyDescent="0.15">
      <c r="A175" s="1">
        <f ca="1">IFERROR(__xludf.DUMMYFUNCTION("""COMPUTED_VALUE"""),4)</f>
        <v>4</v>
      </c>
      <c r="B175" s="1">
        <f ca="1">IFERROR(__xludf.DUMMYFUNCTION("""COMPUTED_VALUE"""),6.37355450413408)</f>
        <v>6.3735545041340798</v>
      </c>
      <c r="C175" s="1">
        <f ca="1">IFERROR(__xludf.DUMMYFUNCTION("""COMPUTED_VALUE"""),6.74713995858199)</f>
        <v>6.7471399585819896</v>
      </c>
      <c r="D175" s="1">
        <f ca="1">IFERROR(__xludf.DUMMYFUNCTION("""COMPUTED_VALUE"""),7.47624287503677)</f>
        <v>7.4762428750367702</v>
      </c>
    </row>
    <row r="176" spans="1:4" ht="13" x14ac:dyDescent="0.15">
      <c r="A176" s="1">
        <f ca="1">IFERROR(__xludf.DUMMYFUNCTION("""COMPUTED_VALUE"""),4)</f>
        <v>4</v>
      </c>
      <c r="B176" s="1">
        <f ca="1">IFERROR(__xludf.DUMMYFUNCTION("""COMPUTED_VALUE"""),6.3527068292253)</f>
        <v>6.3527068292253004</v>
      </c>
      <c r="C176" s="1">
        <f ca="1">IFERROR(__xludf.DUMMYFUNCTION("""COMPUTED_VALUE"""),6.63435895666306)</f>
        <v>6.6343589566630596</v>
      </c>
      <c r="D176" s="1">
        <f ca="1">IFERROR(__xludf.DUMMYFUNCTION("""COMPUTED_VALUE"""),7.44289285783326)</f>
        <v>7.44289285783326</v>
      </c>
    </row>
    <row r="177" spans="1:4" ht="13" x14ac:dyDescent="0.15">
      <c r="A177" s="1">
        <f ca="1">IFERROR(__xludf.DUMMYFUNCTION("""COMPUTED_VALUE"""),4)</f>
        <v>4</v>
      </c>
      <c r="B177" s="1">
        <f ca="1">IFERROR(__xludf.DUMMYFUNCTION("""COMPUTED_VALUE"""),6.30704375113282)</f>
        <v>6.3070437511328201</v>
      </c>
      <c r="C177" s="1">
        <f ca="1">IFERROR(__xludf.DUMMYFUNCTION("""COMPUTED_VALUE"""),6.52133098795236)</f>
        <v>6.5213309879523598</v>
      </c>
      <c r="D177" s="1">
        <f ca="1">IFERROR(__xludf.DUMMYFUNCTION("""COMPUTED_VALUE"""),7.45952212340782)</f>
        <v>7.4595221234078197</v>
      </c>
    </row>
    <row r="178" spans="1:4" ht="13" x14ac:dyDescent="0.15">
      <c r="A178" s="1">
        <f ca="1">IFERROR(__xludf.DUMMYFUNCTION("""COMPUTED_VALUE"""),4)</f>
        <v>4</v>
      </c>
      <c r="B178" s="1">
        <f ca="1">IFERROR(__xludf.DUMMYFUNCTION("""COMPUTED_VALUE"""),5.8837777991301)</f>
        <v>5.8837777991301001</v>
      </c>
      <c r="C178" s="1">
        <f ca="1">IFERROR(__xludf.DUMMYFUNCTION("""COMPUTED_VALUE"""),6.36007797473416)</f>
        <v>6.3600779747341596</v>
      </c>
      <c r="D178" s="1">
        <f ca="1">IFERROR(__xludf.DUMMYFUNCTION("""COMPUTED_VALUE"""),7.39622920599509)</f>
        <v>7.3962292059950903</v>
      </c>
    </row>
    <row r="179" spans="1:4" ht="13" x14ac:dyDescent="0.15">
      <c r="A179" s="1">
        <f ca="1">IFERROR(__xludf.DUMMYFUNCTION("""COMPUTED_VALUE"""),4)</f>
        <v>4</v>
      </c>
      <c r="B179" s="1">
        <f ca="1">IFERROR(__xludf.DUMMYFUNCTION("""COMPUTED_VALUE"""),6.08354955836385)</f>
        <v>6.0835495583638499</v>
      </c>
      <c r="C179" s="1">
        <f ca="1">IFERROR(__xludf.DUMMYFUNCTION("""COMPUTED_VALUE"""),6.3618171404394)</f>
        <v>6.3618171404393999</v>
      </c>
      <c r="D179" s="1">
        <f ca="1">IFERROR(__xludf.DUMMYFUNCTION("""COMPUTED_VALUE"""),7.38741666633223)</f>
        <v>7.3874166663322303</v>
      </c>
    </row>
    <row r="180" spans="1:4" ht="13" x14ac:dyDescent="0.15">
      <c r="A180" s="1">
        <f ca="1">IFERROR(__xludf.DUMMYFUNCTION("""COMPUTED_VALUE"""),4)</f>
        <v>4</v>
      </c>
      <c r="B180" s="1">
        <f ca="1">IFERROR(__xludf.DUMMYFUNCTION("""COMPUTED_VALUE"""),5.66133460394442)</f>
        <v>5.6613346039444199</v>
      </c>
      <c r="C180" s="1">
        <f ca="1">IFERROR(__xludf.DUMMYFUNCTION("""COMPUTED_VALUE"""),6.48218230550738)</f>
        <v>6.4821823055073802</v>
      </c>
      <c r="D180" s="1">
        <f ca="1">IFERROR(__xludf.DUMMYFUNCTION("""COMPUTED_VALUE"""),7.44502785936199)</f>
        <v>7.4450278593619901</v>
      </c>
    </row>
    <row r="181" spans="1:4" ht="13" x14ac:dyDescent="0.15">
      <c r="A181" s="1">
        <f ca="1">IFERROR(__xludf.DUMMYFUNCTION("""COMPUTED_VALUE"""),4)</f>
        <v>4</v>
      </c>
      <c r="B181" s="1">
        <f ca="1">IFERROR(__xludf.DUMMYFUNCTION("""COMPUTED_VALUE"""),6.25684397602688)</f>
        <v>6.2568439760268797</v>
      </c>
      <c r="C181" s="1">
        <f ca="1">IFERROR(__xludf.DUMMYFUNCTION("""COMPUTED_VALUE"""),6.48338001273698)</f>
        <v>6.4833800127369798</v>
      </c>
      <c r="D181" s="1">
        <f ca="1">IFERROR(__xludf.DUMMYFUNCTION("""COMPUTED_VALUE"""),7.47073375389466)</f>
        <v>7.4707337538946597</v>
      </c>
    </row>
    <row r="182" spans="1:4" ht="13" x14ac:dyDescent="0.15">
      <c r="A182" s="1">
        <f ca="1">IFERROR(__xludf.DUMMYFUNCTION("""COMPUTED_VALUE"""),4)</f>
        <v>4</v>
      </c>
      <c r="B182" s="1">
        <f ca="1">IFERROR(__xludf.DUMMYFUNCTION("""COMPUTED_VALUE"""),6.31744883308324)</f>
        <v>6.3174488330832403</v>
      </c>
      <c r="C182" s="1">
        <f ca="1">IFERROR(__xludf.DUMMYFUNCTION("""COMPUTED_VALUE"""),6.51222077690507)</f>
        <v>6.5122207769050702</v>
      </c>
      <c r="D182" s="1">
        <f ca="1">IFERROR(__xludf.DUMMYFUNCTION("""COMPUTED_VALUE"""),7.43226487438684)</f>
        <v>7.4322648743868402</v>
      </c>
    </row>
    <row r="183" spans="1:4" ht="13" x14ac:dyDescent="0.15">
      <c r="A183" s="1">
        <f ca="1">IFERROR(__xludf.DUMMYFUNCTION("""COMPUTED_VALUE"""),4)</f>
        <v>4</v>
      </c>
      <c r="B183" s="1">
        <f ca="1">IFERROR(__xludf.DUMMYFUNCTION("""COMPUTED_VALUE"""),6.29406062181465)</f>
        <v>6.2940606218146504</v>
      </c>
      <c r="C183" s="1">
        <f ca="1">IFERROR(__xludf.DUMMYFUNCTION("""COMPUTED_VALUE"""),6.55507061616593)</f>
        <v>6.5550706161659296</v>
      </c>
      <c r="D183" s="1">
        <f ca="1">IFERROR(__xludf.DUMMYFUNCTION("""COMPUTED_VALUE"""),7.42258608120194)</f>
        <v>7.4225860812019402</v>
      </c>
    </row>
    <row r="184" spans="1:4" ht="13" x14ac:dyDescent="0.15">
      <c r="A184" s="1">
        <f ca="1">IFERROR(__xludf.DUMMYFUNCTION("""COMPUTED_VALUE"""),4)</f>
        <v>4</v>
      </c>
      <c r="B184" s="1">
        <f ca="1">IFERROR(__xludf.DUMMYFUNCTION("""COMPUTED_VALUE"""),6.36429897516515)</f>
        <v>6.3642989751651502</v>
      </c>
      <c r="C184" s="1">
        <f ca="1">IFERROR(__xludf.DUMMYFUNCTION("""COMPUTED_VALUE"""),6.47756386470738)</f>
        <v>6.4775638647073803</v>
      </c>
      <c r="D184" s="1">
        <f ca="1">IFERROR(__xludf.DUMMYFUNCTION("""COMPUTED_VALUE"""),7.41020353530616)</f>
        <v>7.4102035353061604</v>
      </c>
    </row>
    <row r="185" spans="1:4" ht="13" x14ac:dyDescent="0.15">
      <c r="A185" s="1">
        <f ca="1">IFERROR(__xludf.DUMMYFUNCTION("""COMPUTED_VALUE"""),5)</f>
        <v>5</v>
      </c>
      <c r="B185" s="1">
        <f ca="1">IFERROR(__xludf.DUMMYFUNCTION("""COMPUTED_VALUE"""),7.02955299779628)</f>
        <v>7.0295529977962801</v>
      </c>
      <c r="C185" s="1">
        <f ca="1">IFERROR(__xludf.DUMMYFUNCTION("""COMPUTED_VALUE"""),7.40820969936055)</f>
        <v>7.4082096993605502</v>
      </c>
      <c r="D185" s="1">
        <f ca="1">IFERROR(__xludf.DUMMYFUNCTION("""COMPUTED_VALUE"""),8.21086541047234)</f>
        <v>8.2108654104723406</v>
      </c>
    </row>
    <row r="186" spans="1:4" ht="13" x14ac:dyDescent="0.15">
      <c r="A186" s="1">
        <f ca="1">IFERROR(__xludf.DUMMYFUNCTION("""COMPUTED_VALUE"""),5)</f>
        <v>5</v>
      </c>
      <c r="B186" s="1">
        <f ca="1">IFERROR(__xludf.DUMMYFUNCTION("""COMPUTED_VALUE"""),6.84793696820185)</f>
        <v>6.84793696820185</v>
      </c>
      <c r="C186" s="1">
        <f ca="1">IFERROR(__xludf.DUMMYFUNCTION("""COMPUTED_VALUE"""),7.06296020090785)</f>
        <v>7.0629602009078498</v>
      </c>
      <c r="D186" s="1">
        <f ca="1">IFERROR(__xludf.DUMMYFUNCTION("""COMPUTED_VALUE"""),8.1633832886864)</f>
        <v>8.1633832886864006</v>
      </c>
    </row>
    <row r="187" spans="1:4" ht="13" x14ac:dyDescent="0.15">
      <c r="A187" s="1">
        <f ca="1">IFERROR(__xludf.DUMMYFUNCTION("""COMPUTED_VALUE"""),5)</f>
        <v>5</v>
      </c>
      <c r="B187" s="1">
        <f ca="1">IFERROR(__xludf.DUMMYFUNCTION("""COMPUTED_VALUE"""),6.72902799780025)</f>
        <v>6.7290279978002498</v>
      </c>
      <c r="C187" s="1">
        <f ca="1">IFERROR(__xludf.DUMMYFUNCTION("""COMPUTED_VALUE"""),7.54438728233513)</f>
        <v>7.5443872823351299</v>
      </c>
      <c r="D187" s="1">
        <f ca="1">IFERROR(__xludf.DUMMYFUNCTION("""COMPUTED_VALUE"""),8.29091219714996)</f>
        <v>8.2909121971499609</v>
      </c>
    </row>
    <row r="188" spans="1:4" ht="13" x14ac:dyDescent="0.15">
      <c r="A188" s="1">
        <f ca="1">IFERROR(__xludf.DUMMYFUNCTION("""COMPUTED_VALUE"""),5)</f>
        <v>5</v>
      </c>
      <c r="B188" s="1">
        <f ca="1">IFERROR(__xludf.DUMMYFUNCTION("""COMPUTED_VALUE"""),6.72775046500186)</f>
        <v>6.7277504650018596</v>
      </c>
      <c r="C188" s="1">
        <f ca="1">IFERROR(__xludf.DUMMYFUNCTION("""COMPUTED_VALUE"""),7.29212465523677)</f>
        <v>7.29212465523677</v>
      </c>
      <c r="D188" s="1">
        <f ca="1">IFERROR(__xludf.DUMMYFUNCTION("""COMPUTED_VALUE"""),8.22043811275564)</f>
        <v>8.2204381127556392</v>
      </c>
    </row>
    <row r="189" spans="1:4" ht="13" x14ac:dyDescent="0.15">
      <c r="A189" s="1">
        <f ca="1">IFERROR(__xludf.DUMMYFUNCTION("""COMPUTED_VALUE"""),5)</f>
        <v>5</v>
      </c>
      <c r="B189" s="1">
        <f ca="1">IFERROR(__xludf.DUMMYFUNCTION("""COMPUTED_VALUE"""),7.10005687815027)</f>
        <v>7.1000568781502702</v>
      </c>
      <c r="C189" s="1">
        <f ca="1">IFERROR(__xludf.DUMMYFUNCTION("""COMPUTED_VALUE"""),7.23821185650889)</f>
        <v>7.2382118565088902</v>
      </c>
      <c r="D189" s="1">
        <f ca="1">IFERROR(__xludf.DUMMYFUNCTION("""COMPUTED_VALUE"""),8.2507815020042)</f>
        <v>8.2507815020041999</v>
      </c>
    </row>
    <row r="190" spans="1:4" ht="13" x14ac:dyDescent="0.15">
      <c r="A190" s="1">
        <f ca="1">IFERROR(__xludf.DUMMYFUNCTION("""COMPUTED_VALUE"""),5)</f>
        <v>5</v>
      </c>
      <c r="B190" s="1">
        <f ca="1">IFERROR(__xludf.DUMMYFUNCTION("""COMPUTED_VALUE"""),7.10290513606274)</f>
        <v>7.1029051360627404</v>
      </c>
      <c r="C190" s="1">
        <f ca="1">IFERROR(__xludf.DUMMYFUNCTION("""COMPUTED_VALUE"""),7.43243060805569)</f>
        <v>7.4324306080556903</v>
      </c>
      <c r="D190" s="1">
        <f ca="1">IFERROR(__xludf.DUMMYFUNCTION("""COMPUTED_VALUE"""),8.27781078558072)</f>
        <v>8.2778107855807193</v>
      </c>
    </row>
    <row r="191" spans="1:4" ht="13" x14ac:dyDescent="0.15">
      <c r="A191" s="1">
        <f ca="1">IFERROR(__xludf.DUMMYFUNCTION("""COMPUTED_VALUE"""),5)</f>
        <v>5</v>
      </c>
      <c r="B191" s="1">
        <f ca="1">IFERROR(__xludf.DUMMYFUNCTION("""COMPUTED_VALUE"""),7.10714529566987)</f>
        <v>7.10714529566987</v>
      </c>
      <c r="C191" s="1">
        <f ca="1">IFERROR(__xludf.DUMMYFUNCTION("""COMPUTED_VALUE"""),7.4411862497168)</f>
        <v>7.4411862497168002</v>
      </c>
      <c r="D191" s="1">
        <f ca="1">IFERROR(__xludf.DUMMYFUNCTION("""COMPUTED_VALUE"""),8.31223170757513)</f>
        <v>8.3122317075751297</v>
      </c>
    </row>
    <row r="192" spans="1:4" ht="13" x14ac:dyDescent="0.15">
      <c r="A192" s="1">
        <f ca="1">IFERROR(__xludf.DUMMYFUNCTION("""COMPUTED_VALUE"""),5)</f>
        <v>5</v>
      </c>
      <c r="B192" s="1">
        <f ca="1">IFERROR(__xludf.DUMMYFUNCTION("""COMPUTED_VALUE"""),7.18092585761059)</f>
        <v>7.1809258576105899</v>
      </c>
      <c r="C192" s="1">
        <f ca="1">IFERROR(__xludf.DUMMYFUNCTION("""COMPUTED_VALUE"""),7.49658873144227)</f>
        <v>7.4965887314422703</v>
      </c>
      <c r="D192" s="1">
        <f ca="1">IFERROR(__xludf.DUMMYFUNCTION("""COMPUTED_VALUE"""),8.2703152482047)</f>
        <v>8.2703152482046995</v>
      </c>
    </row>
    <row r="193" spans="1:4" ht="13" x14ac:dyDescent="0.15">
      <c r="A193" s="1">
        <f ca="1">IFERROR(__xludf.DUMMYFUNCTION("""COMPUTED_VALUE"""),5)</f>
        <v>5</v>
      </c>
      <c r="B193" s="1">
        <f ca="1">IFERROR(__xludf.DUMMYFUNCTION("""COMPUTED_VALUE"""),7.11382183307424)</f>
        <v>7.1138218330742404</v>
      </c>
      <c r="C193" s="1">
        <f ca="1">IFERROR(__xludf.DUMMYFUNCTION("""COMPUTED_VALUE"""),7.38161815548872)</f>
        <v>7.3816181554887201</v>
      </c>
      <c r="D193" s="1">
        <f ca="1">IFERROR(__xludf.DUMMYFUNCTION("""COMPUTED_VALUE"""),8.27782731974073)</f>
        <v>8.2778273197407302</v>
      </c>
    </row>
    <row r="194" spans="1:4" ht="13" x14ac:dyDescent="0.15">
      <c r="A194" s="1">
        <f ca="1">IFERROR(__xludf.DUMMYFUNCTION("""COMPUTED_VALUE"""),5)</f>
        <v>5</v>
      </c>
      <c r="B194" s="1">
        <f ca="1">IFERROR(__xludf.DUMMYFUNCTION("""COMPUTED_VALUE"""),6.88242673953654)</f>
        <v>6.8824267395365402</v>
      </c>
      <c r="C194" s="1">
        <f ca="1">IFERROR(__xludf.DUMMYFUNCTION("""COMPUTED_VALUE"""),7.18497275115349)</f>
        <v>7.1849727511534898</v>
      </c>
      <c r="D194" s="1">
        <f ca="1">IFERROR(__xludf.DUMMYFUNCTION("""COMPUTED_VALUE"""),8.18854034344074)</f>
        <v>8.1885403434407404</v>
      </c>
    </row>
    <row r="195" spans="1:4" ht="13" x14ac:dyDescent="0.15">
      <c r="A195" s="1">
        <f ca="1">IFERROR(__xludf.DUMMYFUNCTION("""COMPUTED_VALUE"""),5)</f>
        <v>5</v>
      </c>
      <c r="B195" s="1">
        <f ca="1">IFERROR(__xludf.DUMMYFUNCTION("""COMPUTED_VALUE"""),6.55740252552468)</f>
        <v>6.5574025255246804</v>
      </c>
      <c r="C195" s="1">
        <f ca="1">IFERROR(__xludf.DUMMYFUNCTION("""COMPUTED_VALUE"""),7.32210210213601)</f>
        <v>7.32210210213601</v>
      </c>
      <c r="D195" s="1">
        <f ca="1">IFERROR(__xludf.DUMMYFUNCTION("""COMPUTED_VALUE"""),8.26801438537989)</f>
        <v>8.2680143853798906</v>
      </c>
    </row>
    <row r="196" spans="1:4" ht="13" x14ac:dyDescent="0.15">
      <c r="A196" s="1">
        <f ca="1">IFERROR(__xludf.DUMMYFUNCTION("""COMPUTED_VALUE"""),5)</f>
        <v>5</v>
      </c>
      <c r="B196" s="1">
        <f ca="1">IFERROR(__xludf.DUMMYFUNCTION("""COMPUTED_VALUE"""),7.25893364622151)</f>
        <v>7.2589336462215099</v>
      </c>
      <c r="C196" s="1">
        <f ca="1">IFERROR(__xludf.DUMMYFUNCTION("""COMPUTED_VALUE"""),7.42417703482545)</f>
        <v>7.4241770348254503</v>
      </c>
      <c r="D196" s="1">
        <f ca="1">IFERROR(__xludf.DUMMYFUNCTION("""COMPUTED_VALUE"""),8.25917600989155)</f>
        <v>8.2591760098915508</v>
      </c>
    </row>
    <row r="197" spans="1:4" ht="13" x14ac:dyDescent="0.15">
      <c r="A197" s="1">
        <f ca="1">IFERROR(__xludf.DUMMYFUNCTION("""COMPUTED_VALUE"""),5)</f>
        <v>5</v>
      </c>
      <c r="B197" s="1">
        <f ca="1">IFERROR(__xludf.DUMMYFUNCTION("""COMPUTED_VALUE"""),7.16112293111103)</f>
        <v>7.1611229311110298</v>
      </c>
      <c r="C197" s="1">
        <f ca="1">IFERROR(__xludf.DUMMYFUNCTION("""COMPUTED_VALUE"""),7.28499817199692)</f>
        <v>7.2849981719969197</v>
      </c>
      <c r="D197" s="1">
        <f ca="1">IFERROR(__xludf.DUMMYFUNCTION("""COMPUTED_VALUE"""),8.20630630831466)</f>
        <v>8.2063063083146606</v>
      </c>
    </row>
    <row r="198" spans="1:4" ht="13" x14ac:dyDescent="0.15">
      <c r="A198" s="1">
        <f ca="1">IFERROR(__xludf.DUMMYFUNCTION("""COMPUTED_VALUE"""),6)</f>
        <v>6</v>
      </c>
      <c r="B198" s="1">
        <f ca="1">IFERROR(__xludf.DUMMYFUNCTION("""COMPUTED_VALUE"""),7.77693381055789)</f>
        <v>7.7769338105578898</v>
      </c>
      <c r="C198" s="1">
        <f ca="1">IFERROR(__xludf.DUMMYFUNCTION("""COMPUTED_VALUE"""),8.14121153909483)</f>
        <v>8.1412115390948294</v>
      </c>
      <c r="D198" s="1">
        <f ca="1">IFERROR(__xludf.DUMMYFUNCTION("""COMPUTED_VALUE"""),8.90206499210992)</f>
        <v>8.9020649921099206</v>
      </c>
    </row>
    <row r="199" spans="1:4" ht="13" x14ac:dyDescent="0.15">
      <c r="A199" s="1">
        <f ca="1">IFERROR(__xludf.DUMMYFUNCTION("""COMPUTED_VALUE"""),6)</f>
        <v>6</v>
      </c>
      <c r="B199" s="1">
        <f ca="1">IFERROR(__xludf.DUMMYFUNCTION("""COMPUTED_VALUE"""),7.66392007104428)</f>
        <v>7.6639200710442799</v>
      </c>
      <c r="C199" s="1">
        <f ca="1">IFERROR(__xludf.DUMMYFUNCTION("""COMPUTED_VALUE"""),7.8395738958333)</f>
        <v>7.8395738958332997</v>
      </c>
      <c r="D199" s="1">
        <f ca="1">IFERROR(__xludf.DUMMYFUNCTION("""COMPUTED_VALUE"""),8.85231814914188)</f>
        <v>8.8523181491418796</v>
      </c>
    </row>
    <row r="200" spans="1:4" ht="13" x14ac:dyDescent="0.15">
      <c r="A200" s="1">
        <f ca="1">IFERROR(__xludf.DUMMYFUNCTION("""COMPUTED_VALUE"""),6)</f>
        <v>6</v>
      </c>
      <c r="B200" s="1">
        <f ca="1">IFERROR(__xludf.DUMMYFUNCTION("""COMPUTED_VALUE"""),7.4133004348058)</f>
        <v>7.4133004348057998</v>
      </c>
      <c r="C200" s="1">
        <f ca="1">IFERROR(__xludf.DUMMYFUNCTION("""COMPUTED_VALUE"""),8.03457884477014)</f>
        <v>8.0345788447701398</v>
      </c>
      <c r="D200" s="1">
        <f ca="1">IFERROR(__xludf.DUMMYFUNCTION("""COMPUTED_VALUE"""),8.9014224331304)</f>
        <v>8.9014224331303993</v>
      </c>
    </row>
    <row r="201" spans="1:4" ht="13" x14ac:dyDescent="0.15">
      <c r="A201" s="1">
        <f ca="1">IFERROR(__xludf.DUMMYFUNCTION("""COMPUTED_VALUE"""),6)</f>
        <v>6</v>
      </c>
      <c r="B201" s="1">
        <f ca="1">IFERROR(__xludf.DUMMYFUNCTION("""COMPUTED_VALUE"""),7.81671849643957)</f>
        <v>7.8167184964395702</v>
      </c>
      <c r="C201" s="1">
        <f ca="1">IFERROR(__xludf.DUMMYFUNCTION("""COMPUTED_VALUE"""),7.98260892401387)</f>
        <v>7.9826089240138698</v>
      </c>
      <c r="D201" s="1">
        <f ca="1">IFERROR(__xludf.DUMMYFUNCTION("""COMPUTED_VALUE"""),8.91614733635255)</f>
        <v>8.9161473363525499</v>
      </c>
    </row>
    <row r="202" spans="1:4" ht="13" x14ac:dyDescent="0.15">
      <c r="A202" s="1">
        <f ca="1">IFERROR(__xludf.DUMMYFUNCTION("""COMPUTED_VALUE"""),5)</f>
        <v>5</v>
      </c>
      <c r="B202" s="1">
        <f ca="1">IFERROR(__xludf.DUMMYFUNCTION("""COMPUTED_VALUE"""),7.26040683440876)</f>
        <v>7.2604068344087596</v>
      </c>
      <c r="C202" s="1">
        <f ca="1">IFERROR(__xludf.DUMMYFUNCTION("""COMPUTED_VALUE"""),7.45793992488979)</f>
        <v>7.4579399248897902</v>
      </c>
      <c r="D202" s="1">
        <f ca="1">IFERROR(__xludf.DUMMYFUNCTION("""COMPUTED_VALUE"""),8.22819737870917)</f>
        <v>8.2281973787091705</v>
      </c>
    </row>
    <row r="203" spans="1:4" ht="13" x14ac:dyDescent="0.15">
      <c r="A203" s="1">
        <f ca="1">IFERROR(__xludf.DUMMYFUNCTION("""COMPUTED_VALUE"""),5)</f>
        <v>5</v>
      </c>
      <c r="B203" s="1">
        <f ca="1">IFERROR(__xludf.DUMMYFUNCTION("""COMPUTED_VALUE"""),7.03281861923741)</f>
        <v>7.0328186192374096</v>
      </c>
      <c r="C203" s="1">
        <f ca="1">IFERROR(__xludf.DUMMYFUNCTION("""COMPUTED_VALUE"""),7.30775946564611)</f>
        <v>7.30775946564611</v>
      </c>
      <c r="D203" s="1">
        <f ca="1">IFERROR(__xludf.DUMMYFUNCTION("""COMPUTED_VALUE"""),8.22635052539249)</f>
        <v>8.2263505253924905</v>
      </c>
    </row>
    <row r="204" spans="1:4" ht="13" x14ac:dyDescent="0.15">
      <c r="A204" s="1">
        <f ca="1">IFERROR(__xludf.DUMMYFUNCTION("""COMPUTED_VALUE"""),5)</f>
        <v>5</v>
      </c>
      <c r="B204" s="1">
        <f ca="1">IFERROR(__xludf.DUMMYFUNCTION("""COMPUTED_VALUE"""),7.13529272222801)</f>
        <v>7.1352927222280096</v>
      </c>
      <c r="C204" s="1">
        <f ca="1">IFERROR(__xludf.DUMMYFUNCTION("""COMPUTED_VALUE"""),7.36608985172992)</f>
        <v>7.36608985172992</v>
      </c>
      <c r="D204" s="1">
        <f ca="1">IFERROR(__xludf.DUMMYFUNCTION("""COMPUTED_VALUE"""),8.2762986764307)</f>
        <v>8.2762986764307005</v>
      </c>
    </row>
    <row r="205" spans="1:4" ht="13" x14ac:dyDescent="0.15">
      <c r="A205" s="1">
        <f ca="1">IFERROR(__xludf.DUMMYFUNCTION("""COMPUTED_VALUE"""),5)</f>
        <v>5</v>
      </c>
      <c r="B205" s="1">
        <f ca="1">IFERROR(__xludf.DUMMYFUNCTION("""COMPUTED_VALUE"""),6.77647555370497)</f>
        <v>6.7764755537049703</v>
      </c>
      <c r="C205" s="1">
        <f ca="1">IFERROR(__xludf.DUMMYFUNCTION("""COMPUTED_VALUE"""),7.40161286232074)</f>
        <v>7.4016128623207402</v>
      </c>
      <c r="D205" s="1">
        <f ca="1">IFERROR(__xludf.DUMMYFUNCTION("""COMPUTED_VALUE"""),8.25199338645997)</f>
        <v>8.2519933864599704</v>
      </c>
    </row>
    <row r="206" spans="1:4" ht="13" x14ac:dyDescent="0.15">
      <c r="A206" s="1">
        <f ca="1">IFERROR(__xludf.DUMMYFUNCTION("""COMPUTED_VALUE"""),6)</f>
        <v>6</v>
      </c>
      <c r="B206" s="1">
        <f ca="1">IFERROR(__xludf.DUMMYFUNCTION("""COMPUTED_VALUE"""),7.83251139073238)</f>
        <v>7.83251139073238</v>
      </c>
      <c r="C206" s="1">
        <f ca="1">IFERROR(__xludf.DUMMYFUNCTION("""COMPUTED_VALUE"""),8.09783462425701)</f>
        <v>8.0978346242570094</v>
      </c>
      <c r="D206" s="1">
        <f ca="1">IFERROR(__xludf.DUMMYFUNCTION("""COMPUTED_VALUE"""),8.92240137780882)</f>
        <v>8.9224013778088196</v>
      </c>
    </row>
    <row r="207" spans="1:4" ht="13" x14ac:dyDescent="0.15">
      <c r="A207" s="1">
        <f ca="1">IFERROR(__xludf.DUMMYFUNCTION("""COMPUTED_VALUE"""),5)</f>
        <v>5</v>
      </c>
      <c r="B207" s="1">
        <f ca="1">IFERROR(__xludf.DUMMYFUNCTION("""COMPUTED_VALUE"""),7.03698927408599)</f>
        <v>7.0369892740859896</v>
      </c>
      <c r="C207" s="1">
        <f ca="1">IFERROR(__xludf.DUMMYFUNCTION("""COMPUTED_VALUE"""),7.41689844491086)</f>
        <v>7.4168984449108599</v>
      </c>
      <c r="D207" s="1">
        <f ca="1">IFERROR(__xludf.DUMMYFUNCTION("""COMPUTED_VALUE"""),8.19204857971868)</f>
        <v>8.1920485797186799</v>
      </c>
    </row>
    <row r="208" spans="1:4" ht="13" x14ac:dyDescent="0.15">
      <c r="A208" s="1">
        <f ca="1">IFERROR(__xludf.DUMMYFUNCTION("""COMPUTED_VALUE"""),5)</f>
        <v>5</v>
      </c>
      <c r="B208" s="1">
        <f ca="1">IFERROR(__xludf.DUMMYFUNCTION("""COMPUTED_VALUE"""),6.83559501619493)</f>
        <v>6.8355950161949304</v>
      </c>
      <c r="C208" s="1">
        <f ca="1">IFERROR(__xludf.DUMMYFUNCTION("""COMPUTED_VALUE"""),7.07476803677834)</f>
        <v>7.0747680367783401</v>
      </c>
      <c r="D208" s="1">
        <f ca="1">IFERROR(__xludf.DUMMYFUNCTION("""COMPUTED_VALUE"""),8.14796639479283)</f>
        <v>8.1479663947928298</v>
      </c>
    </row>
    <row r="209" spans="1:4" ht="13" x14ac:dyDescent="0.15">
      <c r="A209" s="1">
        <f ca="1">IFERROR(__xludf.DUMMYFUNCTION("""COMPUTED_VALUE"""),5)</f>
        <v>5</v>
      </c>
      <c r="B209" s="1">
        <f ca="1">IFERROR(__xludf.DUMMYFUNCTION("""COMPUTED_VALUE"""),6.4986865038292)</f>
        <v>6.4986865038291999</v>
      </c>
      <c r="C209" s="1">
        <f ca="1">IFERROR(__xludf.DUMMYFUNCTION("""COMPUTED_VALUE"""),7.50296644366274)</f>
        <v>7.5029664436627401</v>
      </c>
      <c r="D209" s="1">
        <f ca="1">IFERROR(__xludf.DUMMYFUNCTION("""COMPUTED_VALUE"""),8.27554149957758)</f>
        <v>8.2755414995775798</v>
      </c>
    </row>
    <row r="210" spans="1:4" ht="13" x14ac:dyDescent="0.15">
      <c r="A210" s="1">
        <f ca="1">IFERROR(__xludf.DUMMYFUNCTION("""COMPUTED_VALUE"""),5)</f>
        <v>5</v>
      </c>
      <c r="B210" s="1">
        <f ca="1">IFERROR(__xludf.DUMMYFUNCTION("""COMPUTED_VALUE"""),6.90527614250589)</f>
        <v>6.9052761425058904</v>
      </c>
      <c r="C210" s="1">
        <f ca="1">IFERROR(__xludf.DUMMYFUNCTION("""COMPUTED_VALUE"""),7.34483612764214)</f>
        <v>7.3448361276421403</v>
      </c>
      <c r="D210" s="1">
        <f ca="1">IFERROR(__xludf.DUMMYFUNCTION("""COMPUTED_VALUE"""),8.23155652982816)</f>
        <v>8.2315565298281594</v>
      </c>
    </row>
    <row r="211" spans="1:4" ht="13" x14ac:dyDescent="0.15">
      <c r="A211" s="1">
        <f ca="1">IFERROR(__xludf.DUMMYFUNCTION("""COMPUTED_VALUE"""),5)</f>
        <v>5</v>
      </c>
      <c r="B211" s="1">
        <f ca="1">IFERROR(__xludf.DUMMYFUNCTION("""COMPUTED_VALUE"""),6.43909463522016)</f>
        <v>6.4390946352201599</v>
      </c>
      <c r="C211" s="1">
        <f ca="1">IFERROR(__xludf.DUMMYFUNCTION("""COMPUTED_VALUE"""),7.26802857896473)</f>
        <v>7.2680285789647296</v>
      </c>
      <c r="D211" s="1">
        <f ca="1">IFERROR(__xludf.DUMMYFUNCTION("""COMPUTED_VALUE"""),8.20072112853403)</f>
        <v>8.2007211285340293</v>
      </c>
    </row>
    <row r="212" spans="1:4" ht="13" x14ac:dyDescent="0.15">
      <c r="A212" s="1">
        <f ca="1">IFERROR(__xludf.DUMMYFUNCTION("""COMPUTED_VALUE"""),5)</f>
        <v>5</v>
      </c>
      <c r="B212" s="1">
        <f ca="1">IFERROR(__xludf.DUMMYFUNCTION("""COMPUTED_VALUE"""),7.13431875630859)</f>
        <v>7.1343187563085904</v>
      </c>
      <c r="C212" s="1">
        <f ca="1">IFERROR(__xludf.DUMMYFUNCTION("""COMPUTED_VALUE"""),7.23567436553686)</f>
        <v>7.2356743655368598</v>
      </c>
      <c r="D212" s="1">
        <f ca="1">IFERROR(__xludf.DUMMYFUNCTION("""COMPUTED_VALUE"""),8.23169524259209)</f>
        <v>8.2316952425920906</v>
      </c>
    </row>
    <row r="213" spans="1:4" ht="13" x14ac:dyDescent="0.15">
      <c r="A213" s="1">
        <f ca="1">IFERROR(__xludf.DUMMYFUNCTION("""COMPUTED_VALUE"""),5)</f>
        <v>5</v>
      </c>
      <c r="B213" s="1">
        <f ca="1">IFERROR(__xludf.DUMMYFUNCTION("""COMPUTED_VALUE"""),7.07711768686337)</f>
        <v>7.0771176868633701</v>
      </c>
      <c r="C213" s="1">
        <f ca="1">IFERROR(__xludf.DUMMYFUNCTION("""COMPUTED_VALUE"""),7.36026038991712)</f>
        <v>7.3602603899171202</v>
      </c>
      <c r="D213" s="1">
        <f ca="1">IFERROR(__xludf.DUMMYFUNCTION("""COMPUTED_VALUE"""),8.22053912325713)</f>
        <v>8.2205391232571294</v>
      </c>
    </row>
    <row r="214" spans="1:4" ht="13" x14ac:dyDescent="0.15">
      <c r="A214" s="1">
        <f ca="1">IFERROR(__xludf.DUMMYFUNCTION("""COMPUTED_VALUE"""),5)</f>
        <v>5</v>
      </c>
      <c r="B214" s="1">
        <f ca="1">IFERROR(__xludf.DUMMYFUNCTION("""COMPUTED_VALUE"""),7.06733804915393)</f>
        <v>7.0673380491539302</v>
      </c>
      <c r="C214" s="1">
        <f ca="1">IFERROR(__xludf.DUMMYFUNCTION("""COMPUTED_VALUE"""),7.43247176285566)</f>
        <v>7.43247176285566</v>
      </c>
      <c r="D214" s="1">
        <f ca="1">IFERROR(__xludf.DUMMYFUNCTION("""COMPUTED_VALUE"""),8.26323031432459)</f>
        <v>8.2632303143245895</v>
      </c>
    </row>
    <row r="215" spans="1:4" ht="13" x14ac:dyDescent="0.15">
      <c r="A215" s="1">
        <f ca="1">IFERROR(__xludf.DUMMYFUNCTION("""COMPUTED_VALUE"""),5)</f>
        <v>5</v>
      </c>
      <c r="B215" s="1">
        <f ca="1">IFERROR(__xludf.DUMMYFUNCTION("""COMPUTED_VALUE"""),7.00048852357428)</f>
        <v>7.0004885235742798</v>
      </c>
      <c r="C215" s="1">
        <f ca="1">IFERROR(__xludf.DUMMYFUNCTION("""COMPUTED_VALUE"""),7.41474428075002)</f>
        <v>7.4147442807500203</v>
      </c>
      <c r="D215" s="1">
        <f ca="1">IFERROR(__xludf.DUMMYFUNCTION("""COMPUTED_VALUE"""),8.29503941627514)</f>
        <v>8.2950394162751397</v>
      </c>
    </row>
    <row r="216" spans="1:4" ht="13" x14ac:dyDescent="0.15">
      <c r="A216" s="1">
        <f ca="1">IFERROR(__xludf.DUMMYFUNCTION("""COMPUTED_VALUE"""),5)</f>
        <v>5</v>
      </c>
      <c r="B216" s="1">
        <f ca="1">IFERROR(__xludf.DUMMYFUNCTION("""COMPUTED_VALUE"""),7.09168587624687)</f>
        <v>7.0916858762468697</v>
      </c>
      <c r="C216" s="1">
        <f ca="1">IFERROR(__xludf.DUMMYFUNCTION("""COMPUTED_VALUE"""),7.48778195568339)</f>
        <v>7.4877819556833902</v>
      </c>
      <c r="D216" s="1">
        <f ca="1">IFERROR(__xludf.DUMMYFUNCTION("""COMPUTED_VALUE"""),8.25896616616048)</f>
        <v>8.2589661661604801</v>
      </c>
    </row>
    <row r="217" spans="1:4" ht="13" x14ac:dyDescent="0.15">
      <c r="A217" s="1">
        <f ca="1">IFERROR(__xludf.DUMMYFUNCTION("""COMPUTED_VALUE"""),5)</f>
        <v>5</v>
      </c>
      <c r="B217" s="1">
        <f ca="1">IFERROR(__xludf.DUMMYFUNCTION("""COMPUTED_VALUE"""),6.93386776152373)</f>
        <v>6.9338677615237296</v>
      </c>
      <c r="C217" s="1">
        <f ca="1">IFERROR(__xludf.DUMMYFUNCTION("""COMPUTED_VALUE"""),7.38129083960102)</f>
        <v>7.3812908396010197</v>
      </c>
      <c r="D217" s="1">
        <f ca="1">IFERROR(__xludf.DUMMYFUNCTION("""COMPUTED_VALUE"""),8.26291947403529)</f>
        <v>8.2629194740352894</v>
      </c>
    </row>
    <row r="218" spans="1:4" ht="13" x14ac:dyDescent="0.15">
      <c r="A218" s="1">
        <f ca="1">IFERROR(__xludf.DUMMYFUNCTION("""COMPUTED_VALUE"""),5)</f>
        <v>5</v>
      </c>
      <c r="B218" s="1">
        <f ca="1">IFERROR(__xludf.DUMMYFUNCTION("""COMPUTED_VALUE"""),6.1164818866031)</f>
        <v>6.1164818866030997</v>
      </c>
      <c r="C218" s="1">
        <f ca="1">IFERROR(__xludf.DUMMYFUNCTION("""COMPUTED_VALUE"""),7.33369911241734)</f>
        <v>7.3336991124173396</v>
      </c>
      <c r="D218" s="1">
        <f ca="1">IFERROR(__xludf.DUMMYFUNCTION("""COMPUTED_VALUE"""),8.22726391943214)</f>
        <v>8.22726391943214</v>
      </c>
    </row>
    <row r="219" spans="1:4" ht="13" x14ac:dyDescent="0.15">
      <c r="A219" s="1">
        <f ca="1">IFERROR(__xludf.DUMMYFUNCTION("""COMPUTED_VALUE"""),5)</f>
        <v>5</v>
      </c>
      <c r="B219" s="1">
        <f ca="1">IFERROR(__xludf.DUMMYFUNCTION("""COMPUTED_VALUE"""),6.92532818382363)</f>
        <v>6.9253281838236296</v>
      </c>
      <c r="C219" s="1">
        <f ca="1">IFERROR(__xludf.DUMMYFUNCTION("""COMPUTED_VALUE"""),7.20132768628075)</f>
        <v>7.2013276862807496</v>
      </c>
      <c r="D219" s="1">
        <f ca="1">IFERROR(__xludf.DUMMYFUNCTION("""COMPUTED_VALUE"""),8.1742673991527)</f>
        <v>8.1742673991527006</v>
      </c>
    </row>
    <row r="220" spans="1:4" ht="13" x14ac:dyDescent="0.15">
      <c r="A220" s="1">
        <f ca="1">IFERROR(__xludf.DUMMYFUNCTION("""COMPUTED_VALUE"""),5)</f>
        <v>5</v>
      </c>
      <c r="B220" s="1">
        <f ca="1">IFERROR(__xludf.DUMMYFUNCTION("""COMPUTED_VALUE"""),6.29224233325251)</f>
        <v>6.2922423332525099</v>
      </c>
      <c r="C220" s="1">
        <f ca="1">IFERROR(__xludf.DUMMYFUNCTION("""COMPUTED_VALUE"""),7.3202743321559)</f>
        <v>7.3202743321558996</v>
      </c>
      <c r="D220" s="1">
        <f ca="1">IFERROR(__xludf.DUMMYFUNCTION("""COMPUTED_VALUE"""),8.25140760360166)</f>
        <v>8.2514076036016597</v>
      </c>
    </row>
    <row r="221" spans="1:4" ht="13" x14ac:dyDescent="0.15">
      <c r="A221" s="1">
        <f ca="1">IFERROR(__xludf.DUMMYFUNCTION("""COMPUTED_VALUE"""),5)</f>
        <v>5</v>
      </c>
      <c r="B221" s="1">
        <f ca="1">IFERROR(__xludf.DUMMYFUNCTION("""COMPUTED_VALUE"""),7.25726978581323)</f>
        <v>7.2572697858132296</v>
      </c>
      <c r="C221" s="1">
        <f ca="1">IFERROR(__xludf.DUMMYFUNCTION("""COMPUTED_VALUE"""),7.43074585454636)</f>
        <v>7.4307458545463598</v>
      </c>
      <c r="D221" s="1">
        <f ca="1">IFERROR(__xludf.DUMMYFUNCTION("""COMPUTED_VALUE"""),8.24226782853809)</f>
        <v>8.2422678285380897</v>
      </c>
    </row>
    <row r="222" spans="1:4" ht="13" x14ac:dyDescent="0.15">
      <c r="A222" s="1">
        <f ca="1">IFERROR(__xludf.DUMMYFUNCTION("""COMPUTED_VALUE"""),5)</f>
        <v>5</v>
      </c>
      <c r="B222" s="1">
        <f ca="1">IFERROR(__xludf.DUMMYFUNCTION("""COMPUTED_VALUE"""),7.13587728107152)</f>
        <v>7.1358772810715196</v>
      </c>
      <c r="C222" s="1">
        <f ca="1">IFERROR(__xludf.DUMMYFUNCTION("""COMPUTED_VALUE"""),7.26124937570775)</f>
        <v>7.2612493757077496</v>
      </c>
      <c r="D222" s="1">
        <f ca="1">IFERROR(__xludf.DUMMYFUNCTION("""COMPUTED_VALUE"""),8.17943356770022)</f>
        <v>8.1794335677002206</v>
      </c>
    </row>
    <row r="223" spans="1:4" ht="13" x14ac:dyDescent="0.15">
      <c r="A223" s="1">
        <f ca="1">IFERROR(__xludf.DUMMYFUNCTION("""COMPUTED_VALUE"""),6)</f>
        <v>6</v>
      </c>
      <c r="B223" s="1">
        <f ca="1">IFERROR(__xludf.DUMMYFUNCTION("""COMPUTED_VALUE"""),7.83593687657726)</f>
        <v>7.8359368765772599</v>
      </c>
      <c r="C223" s="1">
        <f ca="1">IFERROR(__xludf.DUMMYFUNCTION("""COMPUTED_VALUE"""),8.16013845596276)</f>
        <v>8.1601384559627608</v>
      </c>
      <c r="D223" s="1">
        <f ca="1">IFERROR(__xludf.DUMMYFUNCTION("""COMPUTED_VALUE"""),8.90053368279166)</f>
        <v>8.9005336827916608</v>
      </c>
    </row>
    <row r="224" spans="1:4" ht="13" x14ac:dyDescent="0.15">
      <c r="A224" s="1">
        <f ca="1">IFERROR(__xludf.DUMMYFUNCTION("""COMPUTED_VALUE"""),6)</f>
        <v>6</v>
      </c>
      <c r="B224" s="1">
        <f ca="1">IFERROR(__xludf.DUMMYFUNCTION("""COMPUTED_VALUE"""),7.64596173664971)</f>
        <v>7.6459617366497099</v>
      </c>
      <c r="C224" s="1">
        <f ca="1">IFERROR(__xludf.DUMMYFUNCTION("""COMPUTED_VALUE"""),7.85184222893088)</f>
        <v>7.85184222893088</v>
      </c>
      <c r="D224" s="1">
        <f ca="1">IFERROR(__xludf.DUMMYFUNCTION("""COMPUTED_VALUE"""),8.85423213559944)</f>
        <v>8.8542321355994407</v>
      </c>
    </row>
    <row r="225" spans="1:4" ht="13" x14ac:dyDescent="0.15">
      <c r="A225" s="1">
        <f ca="1">IFERROR(__xludf.DUMMYFUNCTION("""COMPUTED_VALUE"""),6)</f>
        <v>6</v>
      </c>
      <c r="B225" s="1">
        <f ca="1">IFERROR(__xludf.DUMMYFUNCTION("""COMPUTED_VALUE"""),7.18930920293459)</f>
        <v>7.1893092029345897</v>
      </c>
      <c r="C225" s="1">
        <f ca="1">IFERROR(__xludf.DUMMYFUNCTION("""COMPUTED_VALUE"""),8.2036196587613)</f>
        <v>8.2036196587612995</v>
      </c>
      <c r="D225" s="1">
        <f ca="1">IFERROR(__xludf.DUMMYFUNCTION("""COMPUTED_VALUE"""),8.94799463170046)</f>
        <v>8.9479946317004604</v>
      </c>
    </row>
    <row r="226" spans="1:4" ht="13" x14ac:dyDescent="0.15">
      <c r="A226" s="1">
        <f ca="1">IFERROR(__xludf.DUMMYFUNCTION("""COMPUTED_VALUE"""),6)</f>
        <v>6</v>
      </c>
      <c r="B226" s="1">
        <f ca="1">IFERROR(__xludf.DUMMYFUNCTION("""COMPUTED_VALUE"""),7.65626302048257)</f>
        <v>7.6562630204825703</v>
      </c>
      <c r="C226" s="1">
        <f ca="1">IFERROR(__xludf.DUMMYFUNCTION("""COMPUTED_VALUE"""),8.04973762425044)</f>
        <v>8.0497376242504401</v>
      </c>
      <c r="D226" s="1">
        <f ca="1">IFERROR(__xludf.DUMMYFUNCTION("""COMPUTED_VALUE"""),8.9206633081235)</f>
        <v>8.9206633081234994</v>
      </c>
    </row>
    <row r="227" spans="1:4" ht="13" x14ac:dyDescent="0.15">
      <c r="A227" s="1">
        <f ca="1">IFERROR(__xludf.DUMMYFUNCTION("""COMPUTED_VALUE"""),6)</f>
        <v>6</v>
      </c>
      <c r="B227" s="1">
        <f ca="1">IFERROR(__xludf.DUMMYFUNCTION("""COMPUTED_VALUE"""),7.30127204737199)</f>
        <v>7.3012720473719899</v>
      </c>
      <c r="C227" s="1">
        <f ca="1">IFERROR(__xludf.DUMMYFUNCTION("""COMPUTED_VALUE"""),8.03459781432424)</f>
        <v>8.0345978143242398</v>
      </c>
      <c r="D227" s="1">
        <f ca="1">IFERROR(__xludf.DUMMYFUNCTION("""COMPUTED_VALUE"""),8.90075687423244)</f>
        <v>8.9007568742324406</v>
      </c>
    </row>
    <row r="228" spans="1:4" ht="13" x14ac:dyDescent="0.15">
      <c r="A228" s="1">
        <f ca="1">IFERROR(__xludf.DUMMYFUNCTION("""COMPUTED_VALUE"""),6)</f>
        <v>6</v>
      </c>
      <c r="B228" s="1">
        <f ca="1">IFERROR(__xludf.DUMMYFUNCTION("""COMPUTED_VALUE"""),7.82117399097147)</f>
        <v>7.8211739909714701</v>
      </c>
      <c r="C228" s="1">
        <f ca="1">IFERROR(__xludf.DUMMYFUNCTION("""COMPUTED_VALUE"""),7.98853661287828)</f>
        <v>7.9885366128782804</v>
      </c>
      <c r="D228" s="1">
        <f ca="1">IFERROR(__xludf.DUMMYFUNCTION("""COMPUTED_VALUE"""),8.91315446908262)</f>
        <v>8.9131544690826203</v>
      </c>
    </row>
    <row r="229" spans="1:4" ht="13" x14ac:dyDescent="0.15">
      <c r="A229" s="1">
        <f ca="1">IFERROR(__xludf.DUMMYFUNCTION("""COMPUTED_VALUE"""),6)</f>
        <v>6</v>
      </c>
      <c r="B229" s="1">
        <f ca="1">IFERROR(__xludf.DUMMYFUNCTION("""COMPUTED_VALUE"""),7.69543884033325)</f>
        <v>7.6954388403332503</v>
      </c>
      <c r="C229" s="1">
        <f ca="1">IFERROR(__xludf.DUMMYFUNCTION("""COMPUTED_VALUE"""),8.12633586407874)</f>
        <v>8.1263358640787402</v>
      </c>
      <c r="D229" s="1">
        <f ca="1">IFERROR(__xludf.DUMMYFUNCTION("""COMPUTED_VALUE"""),8.8677147955753)</f>
        <v>8.8677147955752993</v>
      </c>
    </row>
    <row r="230" spans="1:4" ht="13" x14ac:dyDescent="0.15">
      <c r="A230" s="1">
        <f ca="1">IFERROR(__xludf.DUMMYFUNCTION("""COMPUTED_VALUE"""),6)</f>
        <v>6</v>
      </c>
      <c r="B230" s="1">
        <f ca="1">IFERROR(__xludf.DUMMYFUNCTION("""COMPUTED_VALUE"""),7.60828589648349)</f>
        <v>7.6082858964834896</v>
      </c>
      <c r="C230" s="1">
        <f ca="1">IFERROR(__xludf.DUMMYFUNCTION("""COMPUTED_VALUE"""),7.84145143853043)</f>
        <v>7.8414514385304299</v>
      </c>
      <c r="D230" s="1">
        <f ca="1">IFERROR(__xludf.DUMMYFUNCTION("""COMPUTED_VALUE"""),8.82879681689178)</f>
        <v>8.8287968168917796</v>
      </c>
    </row>
    <row r="231" spans="1:4" ht="13" x14ac:dyDescent="0.15">
      <c r="A231" s="1">
        <f ca="1">IFERROR(__xludf.DUMMYFUNCTION("""COMPUTED_VALUE"""),6)</f>
        <v>6</v>
      </c>
      <c r="B231" s="1">
        <f ca="1">IFERROR(__xludf.DUMMYFUNCTION("""COMPUTED_VALUE"""),7.02808903205884)</f>
        <v>7.0280890320588396</v>
      </c>
      <c r="C231" s="1">
        <f ca="1">IFERROR(__xludf.DUMMYFUNCTION("""COMPUTED_VALUE"""),8.18751142852719)</f>
        <v>8.1875114285271895</v>
      </c>
      <c r="D231" s="1">
        <f ca="1">IFERROR(__xludf.DUMMYFUNCTION("""COMPUTED_VALUE"""),8.91540986925136)</f>
        <v>8.9154098692513593</v>
      </c>
    </row>
    <row r="232" spans="1:4" ht="13" x14ac:dyDescent="0.15">
      <c r="A232" s="1">
        <f ca="1">IFERROR(__xludf.DUMMYFUNCTION("""COMPUTED_VALUE"""),6)</f>
        <v>6</v>
      </c>
      <c r="B232" s="1">
        <f ca="1">IFERROR(__xludf.DUMMYFUNCTION("""COMPUTED_VALUE"""),7.60143156877849)</f>
        <v>7.6014315687784899</v>
      </c>
      <c r="C232" s="1">
        <f ca="1">IFERROR(__xludf.DUMMYFUNCTION("""COMPUTED_VALUE"""),8.01712524966999)</f>
        <v>8.0171252496699896</v>
      </c>
      <c r="D232" s="1">
        <f ca="1">IFERROR(__xludf.DUMMYFUNCTION("""COMPUTED_VALUE"""),8.89027255023059)</f>
        <v>8.8902725502305895</v>
      </c>
    </row>
    <row r="233" spans="1:4" ht="13" x14ac:dyDescent="0.15">
      <c r="A233" s="1">
        <f ca="1">IFERROR(__xludf.DUMMYFUNCTION("""COMPUTED_VALUE"""),6)</f>
        <v>6</v>
      </c>
      <c r="B233" s="1">
        <f ca="1">IFERROR(__xludf.DUMMYFUNCTION("""COMPUTED_VALUE"""),7.19560990625288)</f>
        <v>7.19560990625288</v>
      </c>
      <c r="C233" s="1">
        <f ca="1">IFERROR(__xludf.DUMMYFUNCTION("""COMPUTED_VALUE"""),8.01929278178051)</f>
        <v>8.0192927817805106</v>
      </c>
      <c r="D233" s="1">
        <f ca="1">IFERROR(__xludf.DUMMYFUNCTION("""COMPUTED_VALUE"""),8.87837301956532)</f>
        <v>8.8783730195653199</v>
      </c>
    </row>
    <row r="234" spans="1:4" ht="13" x14ac:dyDescent="0.15">
      <c r="A234" s="1">
        <f ca="1">IFERROR(__xludf.DUMMYFUNCTION("""COMPUTED_VALUE"""),6)</f>
        <v>6</v>
      </c>
      <c r="B234" s="1">
        <f ca="1">IFERROR(__xludf.DUMMYFUNCTION("""COMPUTED_VALUE"""),7.76785522206441)</f>
        <v>7.7678552220644104</v>
      </c>
      <c r="C234" s="1">
        <f ca="1">IFERROR(__xludf.DUMMYFUNCTION("""COMPUTED_VALUE"""),7.95053597747683)</f>
        <v>7.9505359774768296</v>
      </c>
      <c r="D234" s="1">
        <f ca="1">IFERROR(__xludf.DUMMYFUNCTION("""COMPUTED_VALUE"""),8.883180905565)</f>
        <v>8.8831809055650002</v>
      </c>
    </row>
    <row r="235" spans="1:4" ht="13" x14ac:dyDescent="0.15">
      <c r="A235" s="1">
        <f ca="1">IFERROR(__xludf.DUMMYFUNCTION("""COMPUTED_VALUE"""),6)</f>
        <v>6</v>
      </c>
      <c r="B235" s="1">
        <f ca="1">IFERROR(__xludf.DUMMYFUNCTION("""COMPUTED_VALUE"""),7.79091383748792)</f>
        <v>7.7909138374879197</v>
      </c>
      <c r="C235" s="1">
        <f ca="1">IFERROR(__xludf.DUMMYFUNCTION("""COMPUTED_VALUE"""),8.06898908668032)</f>
        <v>8.06898908668032</v>
      </c>
      <c r="D235" s="1">
        <f ca="1">IFERROR(__xludf.DUMMYFUNCTION("""COMPUTED_VALUE"""),8.892190183728)</f>
        <v>8.8921901837279993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4"/>
  <sheetViews>
    <sheetView workbookViewId="0"/>
  </sheetViews>
  <sheetFormatPr baseColWidth="10" defaultColWidth="12.6640625" defaultRowHeight="15.75" customHeight="1" x14ac:dyDescent="0.15"/>
  <cols>
    <col min="1" max="1" width="20.83203125" customWidth="1"/>
    <col min="2" max="2" width="23" customWidth="1"/>
    <col min="3" max="3" width="18.6640625" customWidth="1"/>
    <col min="4" max="4" width="24.6640625" customWidth="1"/>
  </cols>
  <sheetData>
    <row r="1" spans="1:6" ht="15.75" customHeight="1" x14ac:dyDescent="0.15">
      <c r="A1" s="1" t="s">
        <v>58</v>
      </c>
      <c r="B1" s="1" t="s">
        <v>59</v>
      </c>
      <c r="C1" s="1" t="s">
        <v>60</v>
      </c>
      <c r="D1" s="1" t="s">
        <v>61</v>
      </c>
      <c r="F1" s="7" t="s">
        <v>62</v>
      </c>
    </row>
    <row r="2" spans="1:6" ht="15.75" customHeight="1" x14ac:dyDescent="0.15">
      <c r="A2" s="1">
        <f ca="1">IFERROR(__xludf.DUMMYFUNCTION("ARRAYFORMULA(
  FILTER(
    dardel_experiment_results!E2:E1000,
    MOD(ROW(dardel_experiment_results!E2:E1000)-ROW(dardel_experiment_results!E2), 3) = 0
  )
)
"),27)</f>
        <v>27</v>
      </c>
      <c r="B2" s="1">
        <f ca="1">IFERROR(__xludf.DUMMYFUNCTION("FILTER(dardel_experiment_results!K2:K1000, dardel_experiment_results!L2:L1000=""ALL (including NEW) PRUNING"")"),0.813)</f>
        <v>0.81299999999999994</v>
      </c>
      <c r="C2" s="1">
        <f ca="1">IFERROR(__xludf.DUMMYFUNCTION("FILTER(dardel_experiment_results!K2:K1000, dardel_experiment_results!L2:L1000=""ONLY OLD PRUNING"")
"),0.891)</f>
        <v>0.89100000000000001</v>
      </c>
      <c r="D2" s="1">
        <f ca="1">IFERROR(__xludf.DUMMYFUNCTION("FILTER(dardel_experiment_results!K2:K1000, dardel_experiment_results!L2:L1000=""NO PRUNING WHATSOEVER"")"),3.485)</f>
        <v>3.4849999999999999</v>
      </c>
    </row>
    <row r="3" spans="1:6" ht="15.75" customHeight="1" x14ac:dyDescent="0.15">
      <c r="A3" s="1">
        <f ca="1">IFERROR(__xludf.DUMMYFUNCTION("""COMPUTED_VALUE"""),131)</f>
        <v>131</v>
      </c>
      <c r="B3" s="1">
        <f ca="1">IFERROR(__xludf.DUMMYFUNCTION("""COMPUTED_VALUE"""),0.769)</f>
        <v>0.76900000000000002</v>
      </c>
      <c r="C3" s="1">
        <f ca="1">IFERROR(__xludf.DUMMYFUNCTION("""COMPUTED_VALUE"""),0.881)</f>
        <v>0.88100000000000001</v>
      </c>
      <c r="D3" s="1">
        <f ca="1">IFERROR(__xludf.DUMMYFUNCTION("""COMPUTED_VALUE"""),4.126)</f>
        <v>4.1260000000000003</v>
      </c>
    </row>
    <row r="4" spans="1:6" ht="15.75" customHeight="1" x14ac:dyDescent="0.15">
      <c r="A4" s="1">
        <f ca="1">IFERROR(__xludf.DUMMYFUNCTION("""COMPUTED_VALUE"""),379)</f>
        <v>379</v>
      </c>
      <c r="B4" s="1">
        <f ca="1">IFERROR(__xludf.DUMMYFUNCTION("""COMPUTED_VALUE"""),13.377)</f>
        <v>13.377000000000001</v>
      </c>
      <c r="C4" s="1">
        <f ca="1">IFERROR(__xludf.DUMMYFUNCTION("""COMPUTED_VALUE"""),34.371)</f>
        <v>34.371000000000002</v>
      </c>
      <c r="D4" s="1">
        <f ca="1">IFERROR(__xludf.DUMMYFUNCTION("""COMPUTED_VALUE"""),161.453)</f>
        <v>161.453</v>
      </c>
    </row>
    <row r="5" spans="1:6" ht="15.75" customHeight="1" x14ac:dyDescent="0.15">
      <c r="A5" s="1">
        <f ca="1">IFERROR(__xludf.DUMMYFUNCTION("""COMPUTED_VALUE"""),678)</f>
        <v>678</v>
      </c>
      <c r="B5" s="1">
        <f ca="1">IFERROR(__xludf.DUMMYFUNCTION("""COMPUTED_VALUE"""),15.856)</f>
        <v>15.856</v>
      </c>
      <c r="C5" s="1">
        <f ca="1">IFERROR(__xludf.DUMMYFUNCTION("""COMPUTED_VALUE"""),18.817)</f>
        <v>18.817</v>
      </c>
      <c r="D5" s="1">
        <f ca="1">IFERROR(__xludf.DUMMYFUNCTION("""COMPUTED_VALUE"""),85.585)</f>
        <v>85.584999999999994</v>
      </c>
    </row>
    <row r="6" spans="1:6" ht="15.75" customHeight="1" x14ac:dyDescent="0.15">
      <c r="A6" s="1">
        <f ca="1">IFERROR(__xludf.DUMMYFUNCTION("""COMPUTED_VALUE"""),746)</f>
        <v>746</v>
      </c>
      <c r="B6" s="1">
        <f ca="1">IFERROR(__xludf.DUMMYFUNCTION("""COMPUTED_VALUE"""),17.22)</f>
        <v>17.22</v>
      </c>
      <c r="C6" s="1">
        <f ca="1">IFERROR(__xludf.DUMMYFUNCTION("""COMPUTED_VALUE"""),33.146)</f>
        <v>33.146000000000001</v>
      </c>
      <c r="D6" s="1">
        <f ca="1">IFERROR(__xludf.DUMMYFUNCTION("""COMPUTED_VALUE"""),188.35)</f>
        <v>188.35</v>
      </c>
    </row>
    <row r="7" spans="1:6" ht="15.75" customHeight="1" x14ac:dyDescent="0.15">
      <c r="A7" s="1">
        <f ca="1">IFERROR(__xludf.DUMMYFUNCTION("""COMPUTED_VALUE"""),1380)</f>
        <v>1380</v>
      </c>
      <c r="B7" s="1">
        <f ca="1">IFERROR(__xludf.DUMMYFUNCTION("""COMPUTED_VALUE"""),298.154)</f>
        <v>298.154</v>
      </c>
      <c r="C7" s="1">
        <f ca="1">IFERROR(__xludf.DUMMYFUNCTION("""COMPUTED_VALUE"""),385.226)</f>
        <v>385.226</v>
      </c>
      <c r="D7" s="1">
        <f ca="1">IFERROR(__xludf.DUMMYFUNCTION("""COMPUTED_VALUE"""),2513.296)</f>
        <v>2513.2959999999998</v>
      </c>
    </row>
    <row r="8" spans="1:6" ht="15.75" customHeight="1" x14ac:dyDescent="0.15">
      <c r="A8" s="1">
        <f ca="1">IFERROR(__xludf.DUMMYFUNCTION("""COMPUTED_VALUE"""),27)</f>
        <v>27</v>
      </c>
      <c r="B8" s="1">
        <f ca="1">IFERROR(__xludf.DUMMYFUNCTION("""COMPUTED_VALUE"""),177.882)</f>
        <v>177.88200000000001</v>
      </c>
      <c r="C8" s="1">
        <f ca="1">IFERROR(__xludf.DUMMYFUNCTION("""COMPUTED_VALUE"""),466.456)</f>
        <v>466.45600000000002</v>
      </c>
      <c r="D8" s="1">
        <f ca="1">IFERROR(__xludf.DUMMYFUNCTION("""COMPUTED_VALUE"""),2096.281)</f>
        <v>2096.2809999999999</v>
      </c>
    </row>
    <row r="9" spans="1:6" ht="15.75" customHeight="1" x14ac:dyDescent="0.15">
      <c r="A9" s="1">
        <f ca="1">IFERROR(__xludf.DUMMYFUNCTION("""COMPUTED_VALUE"""),15)</f>
        <v>15</v>
      </c>
      <c r="B9" s="1">
        <f ca="1">IFERROR(__xludf.DUMMYFUNCTION("""COMPUTED_VALUE"""),155.884)</f>
        <v>155.88399999999999</v>
      </c>
      <c r="C9" s="1">
        <f ca="1">IFERROR(__xludf.DUMMYFUNCTION("""COMPUTED_VALUE"""),188.495)</f>
        <v>188.495</v>
      </c>
      <c r="D9" s="1">
        <f ca="1">IFERROR(__xludf.DUMMYFUNCTION("""COMPUTED_VALUE"""),938.805)</f>
        <v>938.80499999999995</v>
      </c>
    </row>
    <row r="10" spans="1:6" ht="15.75" customHeight="1" x14ac:dyDescent="0.15">
      <c r="A10" s="1">
        <f ca="1">IFERROR(__xludf.DUMMYFUNCTION("""COMPUTED_VALUE"""),21)</f>
        <v>21</v>
      </c>
      <c r="B10" s="1">
        <f ca="1">IFERROR(__xludf.DUMMYFUNCTION("""COMPUTED_VALUE"""),171.154)</f>
        <v>171.154</v>
      </c>
      <c r="C10" s="1">
        <f ca="1">IFERROR(__xludf.DUMMYFUNCTION("""COMPUTED_VALUE"""),324.553)</f>
        <v>324.553</v>
      </c>
      <c r="D10" s="1">
        <f ca="1">IFERROR(__xludf.DUMMYFUNCTION("""COMPUTED_VALUE"""),1919.389)</f>
        <v>1919.3889999999999</v>
      </c>
    </row>
    <row r="11" spans="1:6" ht="15.75" customHeight="1" x14ac:dyDescent="0.15">
      <c r="A11" s="1">
        <f ca="1">IFERROR(__xludf.DUMMYFUNCTION("""COMPUTED_VALUE"""),15)</f>
        <v>15</v>
      </c>
      <c r="B11" s="1">
        <f ca="1">IFERROR(__xludf.DUMMYFUNCTION("""COMPUTED_VALUE"""),1486.478)</f>
        <v>1486.4780000000001</v>
      </c>
      <c r="C11" s="1">
        <f ca="1">IFERROR(__xludf.DUMMYFUNCTION("""COMPUTED_VALUE"""),1918.959)</f>
        <v>1918.9590000000001</v>
      </c>
      <c r="D11" s="1">
        <f ca="1">IFERROR(__xludf.DUMMYFUNCTION("""COMPUTED_VALUE"""),13081.912)</f>
        <v>13081.912</v>
      </c>
    </row>
    <row r="12" spans="1:6" ht="15.75" customHeight="1" x14ac:dyDescent="0.15">
      <c r="A12" s="1">
        <f ca="1">IFERROR(__xludf.DUMMYFUNCTION("""COMPUTED_VALUE"""),15)</f>
        <v>15</v>
      </c>
      <c r="B12" s="1">
        <f ca="1">IFERROR(__xludf.DUMMYFUNCTION("""COMPUTED_VALUE"""),763.654)</f>
        <v>763.654</v>
      </c>
      <c r="C12" s="1">
        <f ca="1">IFERROR(__xludf.DUMMYFUNCTION("""COMPUTED_VALUE"""),1972.38)</f>
        <v>1972.38</v>
      </c>
      <c r="D12" s="1">
        <f ca="1">IFERROR(__xludf.DUMMYFUNCTION("""COMPUTED_VALUE"""),12834.044)</f>
        <v>12834.044</v>
      </c>
    </row>
    <row r="13" spans="1:6" ht="15.75" customHeight="1" x14ac:dyDescent="0.15">
      <c r="A13" s="1">
        <f ca="1">IFERROR(__xludf.DUMMYFUNCTION("""COMPUTED_VALUE"""),16)</f>
        <v>16</v>
      </c>
      <c r="B13" s="1">
        <f ca="1">IFERROR(__xludf.DUMMYFUNCTION("""COMPUTED_VALUE"""),841.963)</f>
        <v>841.96299999999997</v>
      </c>
      <c r="C13" s="1">
        <f ca="1">IFERROR(__xludf.DUMMYFUNCTION("""COMPUTED_VALUE"""),1291.901)</f>
        <v>1291.9010000000001</v>
      </c>
      <c r="D13" s="1">
        <f ca="1">IFERROR(__xludf.DUMMYFUNCTION("""COMPUTED_VALUE"""),6618.973)</f>
        <v>6618.973</v>
      </c>
    </row>
    <row r="14" spans="1:6" ht="15.75" customHeight="1" x14ac:dyDescent="0.15">
      <c r="A14" s="1">
        <f ca="1">IFERROR(__xludf.DUMMYFUNCTION("""COMPUTED_VALUE"""),130)</f>
        <v>130</v>
      </c>
      <c r="B14" s="1">
        <f ca="1">IFERROR(__xludf.DUMMYFUNCTION("""COMPUTED_VALUE"""),995.241)</f>
        <v>995.24099999999999</v>
      </c>
      <c r="C14" s="1">
        <f ca="1">IFERROR(__xludf.DUMMYFUNCTION("""COMPUTED_VALUE"""),2170.367)</f>
        <v>2170.3670000000002</v>
      </c>
      <c r="D14" s="1">
        <f ca="1">IFERROR(__xludf.DUMMYFUNCTION("""COMPUTED_VALUE"""),12008.014)</f>
        <v>12008.013999999999</v>
      </c>
    </row>
    <row r="15" spans="1:6" ht="15.75" customHeight="1" x14ac:dyDescent="0.15">
      <c r="A15" s="1">
        <f ca="1">IFERROR(__xludf.DUMMYFUNCTION("""COMPUTED_VALUE"""),74)</f>
        <v>74</v>
      </c>
      <c r="B15" s="1">
        <f ca="1">IFERROR(__xludf.DUMMYFUNCTION("""COMPUTED_VALUE"""),972.348)</f>
        <v>972.34799999999996</v>
      </c>
      <c r="C15" s="1">
        <f ca="1">IFERROR(__xludf.DUMMYFUNCTION("""COMPUTED_VALUE"""),1541.832)</f>
        <v>1541.8320000000001</v>
      </c>
      <c r="D15" s="1">
        <f ca="1">IFERROR(__xludf.DUMMYFUNCTION("""COMPUTED_VALUE"""),9765.044)</f>
        <v>9765.0439999999999</v>
      </c>
    </row>
    <row r="16" spans="1:6" ht="15.75" customHeight="1" x14ac:dyDescent="0.15">
      <c r="A16" s="1">
        <f ca="1">IFERROR(__xludf.DUMMYFUNCTION("""COMPUTED_VALUE"""),107)</f>
        <v>107</v>
      </c>
      <c r="B16" s="1">
        <f ca="1">IFERROR(__xludf.DUMMYFUNCTION("""COMPUTED_VALUE"""),200.872)</f>
        <v>200.87200000000001</v>
      </c>
      <c r="C16" s="1">
        <f ca="1">IFERROR(__xludf.DUMMYFUNCTION("""COMPUTED_VALUE"""),743.819)</f>
        <v>743.81899999999996</v>
      </c>
      <c r="D16" s="1">
        <f ca="1">IFERROR(__xludf.DUMMYFUNCTION("""COMPUTED_VALUE"""),5298.529)</f>
        <v>5298.5290000000005</v>
      </c>
    </row>
    <row r="17" spans="1:4" ht="15.75" customHeight="1" x14ac:dyDescent="0.15">
      <c r="A17" s="1">
        <f ca="1">IFERROR(__xludf.DUMMYFUNCTION("""COMPUTED_VALUE"""),83)</f>
        <v>83</v>
      </c>
      <c r="B17" s="1">
        <f ca="1">IFERROR(__xludf.DUMMYFUNCTION("""COMPUTED_VALUE"""),5481.828)</f>
        <v>5481.8280000000004</v>
      </c>
      <c r="C17" s="1">
        <f ca="1">IFERROR(__xludf.DUMMYFUNCTION("""COMPUTED_VALUE"""),7955.522)</f>
        <v>7955.5219999999999</v>
      </c>
      <c r="D17" s="1">
        <f ca="1">IFERROR(__xludf.DUMMYFUNCTION("""COMPUTED_VALUE"""),54132.065)</f>
        <v>54132.065000000002</v>
      </c>
    </row>
    <row r="18" spans="1:4" ht="15.75" customHeight="1" x14ac:dyDescent="0.15">
      <c r="A18" s="1">
        <f ca="1">IFERROR(__xludf.DUMMYFUNCTION("""COMPUTED_VALUE"""),84)</f>
        <v>84</v>
      </c>
      <c r="B18" s="1">
        <f ca="1">IFERROR(__xludf.DUMMYFUNCTION("""COMPUTED_VALUE"""),0.382)</f>
        <v>0.38200000000000001</v>
      </c>
      <c r="C18" s="1">
        <f ca="1">IFERROR(__xludf.DUMMYFUNCTION("""COMPUTED_VALUE"""),0.577)</f>
        <v>0.57699999999999996</v>
      </c>
      <c r="D18" s="1">
        <f ca="1">IFERROR(__xludf.DUMMYFUNCTION("""COMPUTED_VALUE"""),1.495)</f>
        <v>1.4950000000000001</v>
      </c>
    </row>
    <row r="19" spans="1:4" ht="15.75" customHeight="1" x14ac:dyDescent="0.15">
      <c r="A19" s="1">
        <f ca="1">IFERROR(__xludf.DUMMYFUNCTION("""COMPUTED_VALUE"""),231)</f>
        <v>231</v>
      </c>
      <c r="B19" s="1">
        <f ca="1">IFERROR(__xludf.DUMMYFUNCTION("""COMPUTED_VALUE"""),0.53)</f>
        <v>0.53</v>
      </c>
      <c r="C19" s="1">
        <f ca="1">IFERROR(__xludf.DUMMYFUNCTION("""COMPUTED_VALUE"""),0.596)</f>
        <v>0.59599999999999997</v>
      </c>
      <c r="D19" s="1">
        <f ca="1">IFERROR(__xludf.DUMMYFUNCTION("""COMPUTED_VALUE"""),1.555)</f>
        <v>1.5549999999999999</v>
      </c>
    </row>
    <row r="20" spans="1:4" ht="15.75" customHeight="1" x14ac:dyDescent="0.15">
      <c r="A20" s="1">
        <f ca="1">IFERROR(__xludf.DUMMYFUNCTION("""COMPUTED_VALUE"""),216)</f>
        <v>216</v>
      </c>
      <c r="B20" s="1">
        <f ca="1">IFERROR(__xludf.DUMMYFUNCTION("""COMPUTED_VALUE"""),0.57)</f>
        <v>0.56999999999999995</v>
      </c>
      <c r="C20" s="1">
        <f ca="1">IFERROR(__xludf.DUMMYFUNCTION("""COMPUTED_VALUE"""),0.735)</f>
        <v>0.73499999999999999</v>
      </c>
      <c r="D20" s="1">
        <f ca="1">IFERROR(__xludf.DUMMYFUNCTION("""COMPUTED_VALUE"""),2.682)</f>
        <v>2.6819999999999999</v>
      </c>
    </row>
    <row r="21" spans="1:4" ht="15.75" customHeight="1" x14ac:dyDescent="0.15">
      <c r="A21" s="1">
        <f ca="1">IFERROR(__xludf.DUMMYFUNCTION("""COMPUTED_VALUE"""),364)</f>
        <v>364</v>
      </c>
      <c r="B21" s="1">
        <f ca="1">IFERROR(__xludf.DUMMYFUNCTION("""COMPUTED_VALUE"""),0.617)</f>
        <v>0.61699999999999999</v>
      </c>
      <c r="C21" s="1">
        <f ca="1">IFERROR(__xludf.DUMMYFUNCTION("""COMPUTED_VALUE"""),0.73)</f>
        <v>0.73</v>
      </c>
      <c r="D21" s="1">
        <f ca="1">IFERROR(__xludf.DUMMYFUNCTION("""COMPUTED_VALUE"""),2.749)</f>
        <v>2.7490000000000001</v>
      </c>
    </row>
    <row r="22" spans="1:4" ht="15.75" customHeight="1" x14ac:dyDescent="0.15">
      <c r="A22" s="1">
        <f ca="1">IFERROR(__xludf.DUMMYFUNCTION("""COMPUTED_VALUE"""),219)</f>
        <v>219</v>
      </c>
      <c r="B22" s="1">
        <f ca="1">IFERROR(__xludf.DUMMYFUNCTION("""COMPUTED_VALUE"""),0.538)</f>
        <v>0.53800000000000003</v>
      </c>
      <c r="C22" s="1">
        <f ca="1">IFERROR(__xludf.DUMMYFUNCTION("""COMPUTED_VALUE"""),0.592)</f>
        <v>0.59199999999999997</v>
      </c>
      <c r="D22" s="1">
        <f ca="1">IFERROR(__xludf.DUMMYFUNCTION("""COMPUTED_VALUE"""),1.52)</f>
        <v>1.52</v>
      </c>
    </row>
    <row r="23" spans="1:4" ht="15.75" customHeight="1" x14ac:dyDescent="0.15">
      <c r="A23" s="1">
        <f ca="1">IFERROR(__xludf.DUMMYFUNCTION("""COMPUTED_VALUE"""),259)</f>
        <v>259</v>
      </c>
      <c r="B23" s="1">
        <f ca="1">IFERROR(__xludf.DUMMYFUNCTION("""COMPUTED_VALUE"""),0.413)</f>
        <v>0.41299999999999998</v>
      </c>
      <c r="C23" s="1">
        <f ca="1">IFERROR(__xludf.DUMMYFUNCTION("""COMPUTED_VALUE"""),0.469)</f>
        <v>0.46899999999999997</v>
      </c>
      <c r="D23" s="1">
        <f ca="1">IFERROR(__xludf.DUMMYFUNCTION("""COMPUTED_VALUE"""),1.686)</f>
        <v>1.6859999999999999</v>
      </c>
    </row>
    <row r="24" spans="1:4" ht="15.75" customHeight="1" x14ac:dyDescent="0.15">
      <c r="A24" s="1">
        <f ca="1">IFERROR(__xludf.DUMMYFUNCTION("""COMPUTED_VALUE"""),296)</f>
        <v>296</v>
      </c>
      <c r="B24" s="1">
        <f ca="1">IFERROR(__xludf.DUMMYFUNCTION("""COMPUTED_VALUE"""),0.465)</f>
        <v>0.46500000000000002</v>
      </c>
      <c r="C24" s="1">
        <f ca="1">IFERROR(__xludf.DUMMYFUNCTION("""COMPUTED_VALUE"""),0.555)</f>
        <v>0.55500000000000005</v>
      </c>
      <c r="D24" s="1">
        <f ca="1">IFERROR(__xludf.DUMMYFUNCTION("""COMPUTED_VALUE"""),1.563)</f>
        <v>1.5629999999999999</v>
      </c>
    </row>
    <row r="25" spans="1:4" ht="15.75" customHeight="1" x14ac:dyDescent="0.15">
      <c r="A25" s="1">
        <f ca="1">IFERROR(__xludf.DUMMYFUNCTION("""COMPUTED_VALUE"""),878)</f>
        <v>878</v>
      </c>
      <c r="B25" s="1">
        <f ca="1">IFERROR(__xludf.DUMMYFUNCTION("""COMPUTED_VALUE"""),0.559)</f>
        <v>0.55900000000000005</v>
      </c>
      <c r="C25" s="1">
        <f ca="1">IFERROR(__xludf.DUMMYFUNCTION("""COMPUTED_VALUE"""),0.768)</f>
        <v>0.76800000000000002</v>
      </c>
      <c r="D25" s="1">
        <f ca="1">IFERROR(__xludf.DUMMYFUNCTION("""COMPUTED_VALUE"""),2.454)</f>
        <v>2.4540000000000002</v>
      </c>
    </row>
    <row r="26" spans="1:4" ht="15.75" customHeight="1" x14ac:dyDescent="0.15">
      <c r="A26" s="1">
        <f ca="1">IFERROR(__xludf.DUMMYFUNCTION("""COMPUTED_VALUE"""),643)</f>
        <v>643</v>
      </c>
      <c r="B26" s="1">
        <f ca="1">IFERROR(__xludf.DUMMYFUNCTION("""COMPUTED_VALUE"""),0.498)</f>
        <v>0.498</v>
      </c>
      <c r="C26" s="1">
        <f ca="1">IFERROR(__xludf.DUMMYFUNCTION("""COMPUTED_VALUE"""),0.596)</f>
        <v>0.59599999999999997</v>
      </c>
      <c r="D26" s="1">
        <f ca="1">IFERROR(__xludf.DUMMYFUNCTION("""COMPUTED_VALUE"""),1.642)</f>
        <v>1.6419999999999999</v>
      </c>
    </row>
    <row r="27" spans="1:4" ht="15.75" customHeight="1" x14ac:dyDescent="0.15">
      <c r="A27" s="1">
        <f ca="1">IFERROR(__xludf.DUMMYFUNCTION("""COMPUTED_VALUE"""),550)</f>
        <v>550</v>
      </c>
      <c r="B27" s="1">
        <f ca="1">IFERROR(__xludf.DUMMYFUNCTION("""COMPUTED_VALUE"""),0.48)</f>
        <v>0.48</v>
      </c>
      <c r="C27" s="1">
        <f ca="1">IFERROR(__xludf.DUMMYFUNCTION("""COMPUTED_VALUE"""),0.526)</f>
        <v>0.52600000000000002</v>
      </c>
      <c r="D27" s="1">
        <f ca="1">IFERROR(__xludf.DUMMYFUNCTION("""COMPUTED_VALUE"""),1.583)</f>
        <v>1.583</v>
      </c>
    </row>
    <row r="28" spans="1:4" ht="15.75" customHeight="1" x14ac:dyDescent="0.15">
      <c r="A28" s="1">
        <f ca="1">IFERROR(__xludf.DUMMYFUNCTION("""COMPUTED_VALUE"""),761)</f>
        <v>761</v>
      </c>
      <c r="B28" s="1">
        <f ca="1">IFERROR(__xludf.DUMMYFUNCTION("""COMPUTED_VALUE"""),0.356)</f>
        <v>0.35599999999999998</v>
      </c>
      <c r="C28" s="1">
        <f ca="1">IFERROR(__xludf.DUMMYFUNCTION("""COMPUTED_VALUE"""),0.53)</f>
        <v>0.53</v>
      </c>
      <c r="D28" s="1">
        <f ca="1">IFERROR(__xludf.DUMMYFUNCTION("""COMPUTED_VALUE"""),1.508)</f>
        <v>1.508</v>
      </c>
    </row>
    <row r="29" spans="1:4" ht="15.75" customHeight="1" x14ac:dyDescent="0.15">
      <c r="A29" s="1">
        <f ca="1">IFERROR(__xludf.DUMMYFUNCTION("""COMPUTED_VALUE"""),1378)</f>
        <v>1378</v>
      </c>
      <c r="B29" s="1">
        <f ca="1">IFERROR(__xludf.DUMMYFUNCTION("""COMPUTED_VALUE"""),0.342)</f>
        <v>0.34200000000000003</v>
      </c>
      <c r="C29" s="1">
        <f ca="1">IFERROR(__xludf.DUMMYFUNCTION("""COMPUTED_VALUE"""),0.523)</f>
        <v>0.52300000000000002</v>
      </c>
      <c r="D29" s="1">
        <f ca="1">IFERROR(__xludf.DUMMYFUNCTION("""COMPUTED_VALUE"""),1.53)</f>
        <v>1.53</v>
      </c>
    </row>
    <row r="30" spans="1:4" ht="15.75" customHeight="1" x14ac:dyDescent="0.15">
      <c r="A30" s="1">
        <f ca="1">IFERROR(__xludf.DUMMYFUNCTION("""COMPUTED_VALUE"""),1216)</f>
        <v>1216</v>
      </c>
      <c r="B30" s="1">
        <f ca="1">IFERROR(__xludf.DUMMYFUNCTION("""COMPUTED_VALUE"""),0.423)</f>
        <v>0.42299999999999999</v>
      </c>
      <c r="C30" s="1">
        <f ca="1">IFERROR(__xludf.DUMMYFUNCTION("""COMPUTED_VALUE"""),0.466)</f>
        <v>0.46600000000000003</v>
      </c>
      <c r="D30" s="1">
        <f ca="1">IFERROR(__xludf.DUMMYFUNCTION("""COMPUTED_VALUE"""),1.476)</f>
        <v>1.476</v>
      </c>
    </row>
    <row r="31" spans="1:4" ht="15.75" customHeight="1" x14ac:dyDescent="0.15">
      <c r="A31" s="1">
        <f ca="1">IFERROR(__xludf.DUMMYFUNCTION("""COMPUTED_VALUE"""),119)</f>
        <v>119</v>
      </c>
      <c r="B31" s="1">
        <f ca="1">IFERROR(__xludf.DUMMYFUNCTION("""COMPUTED_VALUE"""),0.442)</f>
        <v>0.442</v>
      </c>
      <c r="C31" s="1">
        <f ca="1">IFERROR(__xludf.DUMMYFUNCTION("""COMPUTED_VALUE"""),0.902)</f>
        <v>0.90200000000000002</v>
      </c>
      <c r="D31" s="1">
        <f ca="1">IFERROR(__xludf.DUMMYFUNCTION("""COMPUTED_VALUE"""),3.512)</f>
        <v>3.512</v>
      </c>
    </row>
    <row r="32" spans="1:4" ht="15.75" customHeight="1" x14ac:dyDescent="0.15">
      <c r="A32" s="1">
        <f ca="1">IFERROR(__xludf.DUMMYFUNCTION("""COMPUTED_VALUE"""),314)</f>
        <v>314</v>
      </c>
      <c r="B32" s="1">
        <f ca="1">IFERROR(__xludf.DUMMYFUNCTION("""COMPUTED_VALUE"""),0.327)</f>
        <v>0.32700000000000001</v>
      </c>
      <c r="C32" s="1">
        <f ca="1">IFERROR(__xludf.DUMMYFUNCTION("""COMPUTED_VALUE"""),0.513)</f>
        <v>0.51300000000000001</v>
      </c>
      <c r="D32" s="1">
        <f ca="1">IFERROR(__xludf.DUMMYFUNCTION("""COMPUTED_VALUE"""),1.483)</f>
        <v>1.4830000000000001</v>
      </c>
    </row>
    <row r="33" spans="1:4" ht="15.75" customHeight="1" x14ac:dyDescent="0.15">
      <c r="A33" s="1">
        <f ca="1">IFERROR(__xludf.DUMMYFUNCTION("""COMPUTED_VALUE"""),358)</f>
        <v>358</v>
      </c>
      <c r="B33" s="1">
        <f ca="1">IFERROR(__xludf.DUMMYFUNCTION("""COMPUTED_VALUE"""),0.54)</f>
        <v>0.54</v>
      </c>
      <c r="C33" s="1">
        <f ca="1">IFERROR(__xludf.DUMMYFUNCTION("""COMPUTED_VALUE"""),0.601)</f>
        <v>0.60099999999999998</v>
      </c>
      <c r="D33" s="1">
        <f ca="1">IFERROR(__xludf.DUMMYFUNCTION("""COMPUTED_VALUE"""),1.542)</f>
        <v>1.542</v>
      </c>
    </row>
    <row r="34" spans="1:4" ht="15.75" customHeight="1" x14ac:dyDescent="0.15">
      <c r="A34" s="1">
        <f ca="1">IFERROR(__xludf.DUMMYFUNCTION("""COMPUTED_VALUE"""),678)</f>
        <v>678</v>
      </c>
      <c r="B34" s="1">
        <f ca="1">IFERROR(__xludf.DUMMYFUNCTION("""COMPUTED_VALUE"""),0.407)</f>
        <v>0.40699999999999997</v>
      </c>
      <c r="C34" s="1">
        <f ca="1">IFERROR(__xludf.DUMMYFUNCTION("""COMPUTED_VALUE"""),0.521)</f>
        <v>0.52100000000000002</v>
      </c>
      <c r="D34" s="1">
        <f ca="1">IFERROR(__xludf.DUMMYFUNCTION("""COMPUTED_VALUE"""),1.704)</f>
        <v>1.704</v>
      </c>
    </row>
    <row r="35" spans="1:4" ht="15.75" customHeight="1" x14ac:dyDescent="0.15">
      <c r="A35" s="1">
        <f ca="1">IFERROR(__xludf.DUMMYFUNCTION("""COMPUTED_VALUE"""),814)</f>
        <v>814</v>
      </c>
      <c r="B35" s="1">
        <f ca="1">IFERROR(__xludf.DUMMYFUNCTION("""COMPUTED_VALUE"""),0.49)</f>
        <v>0.49</v>
      </c>
      <c r="C35" s="1">
        <f ca="1">IFERROR(__xludf.DUMMYFUNCTION("""COMPUTED_VALUE"""),0.556)</f>
        <v>0.55600000000000005</v>
      </c>
      <c r="D35" s="1">
        <f ca="1">IFERROR(__xludf.DUMMYFUNCTION("""COMPUTED_VALUE"""),1.471)</f>
        <v>1.4710000000000001</v>
      </c>
    </row>
    <row r="36" spans="1:4" ht="15.75" customHeight="1" x14ac:dyDescent="0.15">
      <c r="A36" s="1">
        <f ca="1">IFERROR(__xludf.DUMMYFUNCTION("""COMPUTED_VALUE"""),661)</f>
        <v>661</v>
      </c>
      <c r="B36" s="1">
        <f ca="1">IFERROR(__xludf.DUMMYFUNCTION("""COMPUTED_VALUE"""),5.259)</f>
        <v>5.2590000000000003</v>
      </c>
      <c r="C36" s="1">
        <f ca="1">IFERROR(__xludf.DUMMYFUNCTION("""COMPUTED_VALUE"""),10.401)</f>
        <v>10.401</v>
      </c>
      <c r="D36" s="1">
        <f ca="1">IFERROR(__xludf.DUMMYFUNCTION("""COMPUTED_VALUE"""),52.574)</f>
        <v>52.573999999999998</v>
      </c>
    </row>
    <row r="37" spans="1:4" ht="15.75" customHeight="1" x14ac:dyDescent="0.15">
      <c r="A37" s="1">
        <f ca="1">IFERROR(__xludf.DUMMYFUNCTION("""COMPUTED_VALUE"""),84)</f>
        <v>84</v>
      </c>
      <c r="B37" s="1">
        <f ca="1">IFERROR(__xludf.DUMMYFUNCTION("""COMPUTED_VALUE"""),3.079)</f>
        <v>3.0790000000000002</v>
      </c>
      <c r="C37" s="1">
        <f ca="1">IFERROR(__xludf.DUMMYFUNCTION("""COMPUTED_VALUE"""),6.651)</f>
        <v>6.6509999999999998</v>
      </c>
      <c r="D37" s="1">
        <f ca="1">IFERROR(__xludf.DUMMYFUNCTION("""COMPUTED_VALUE"""),43.987)</f>
        <v>43.987000000000002</v>
      </c>
    </row>
    <row r="38" spans="1:4" ht="15.75" customHeight="1" x14ac:dyDescent="0.15">
      <c r="A38" s="1">
        <f ca="1">IFERROR(__xludf.DUMMYFUNCTION("""COMPUTED_VALUE"""),102)</f>
        <v>102</v>
      </c>
      <c r="B38" s="1">
        <f ca="1">IFERROR(__xludf.DUMMYFUNCTION("""COMPUTED_VALUE"""),20.994)</f>
        <v>20.994</v>
      </c>
      <c r="C38" s="1">
        <f ca="1">IFERROR(__xludf.DUMMYFUNCTION("""COMPUTED_VALUE"""),39.75)</f>
        <v>39.75</v>
      </c>
      <c r="D38" s="1">
        <f ca="1">IFERROR(__xludf.DUMMYFUNCTION("""COMPUTED_VALUE"""),181.833)</f>
        <v>181.833</v>
      </c>
    </row>
    <row r="39" spans="1:4" ht="15.75" customHeight="1" x14ac:dyDescent="0.15">
      <c r="A39" s="1">
        <f ca="1">IFERROR(__xludf.DUMMYFUNCTION("""COMPUTED_VALUE"""),92)</f>
        <v>92</v>
      </c>
      <c r="B39" s="1">
        <f ca="1">IFERROR(__xludf.DUMMYFUNCTION("""COMPUTED_VALUE"""),8.049)</f>
        <v>8.0489999999999995</v>
      </c>
      <c r="C39" s="1">
        <f ca="1">IFERROR(__xludf.DUMMYFUNCTION("""COMPUTED_VALUE"""),11.382)</f>
        <v>11.382</v>
      </c>
      <c r="D39" s="1">
        <f ca="1">IFERROR(__xludf.DUMMYFUNCTION("""COMPUTED_VALUE"""),72.734)</f>
        <v>72.733999999999995</v>
      </c>
    </row>
    <row r="40" spans="1:4" ht="15.75" customHeight="1" x14ac:dyDescent="0.15">
      <c r="A40" s="1">
        <f ca="1">IFERROR(__xludf.DUMMYFUNCTION("""COMPUTED_VALUE"""),107)</f>
        <v>107</v>
      </c>
      <c r="B40" s="1">
        <f ca="1">IFERROR(__xludf.DUMMYFUNCTION("""COMPUTED_VALUE"""),4.63)</f>
        <v>4.63</v>
      </c>
      <c r="C40" s="1">
        <f ca="1">IFERROR(__xludf.DUMMYFUNCTION("""COMPUTED_VALUE"""),6.208)</f>
        <v>6.2080000000000002</v>
      </c>
      <c r="D40" s="1">
        <f ca="1">IFERROR(__xludf.DUMMYFUNCTION("""COMPUTED_VALUE"""),36.612)</f>
        <v>36.612000000000002</v>
      </c>
    </row>
    <row r="41" spans="1:4" ht="15.75" customHeight="1" x14ac:dyDescent="0.15">
      <c r="A41" s="1">
        <f ca="1">IFERROR(__xludf.DUMMYFUNCTION("""COMPUTED_VALUE"""),83)</f>
        <v>83</v>
      </c>
      <c r="B41" s="1">
        <f ca="1">IFERROR(__xludf.DUMMYFUNCTION("""COMPUTED_VALUE"""),6.541)</f>
        <v>6.5410000000000004</v>
      </c>
      <c r="C41" s="1">
        <f ca="1">IFERROR(__xludf.DUMMYFUNCTION("""COMPUTED_VALUE"""),7.207)</f>
        <v>7.2069999999999999</v>
      </c>
      <c r="D41" s="1">
        <f ca="1">IFERROR(__xludf.DUMMYFUNCTION("""COMPUTED_VALUE"""),43.166)</f>
        <v>43.165999999999997</v>
      </c>
    </row>
    <row r="42" spans="1:4" ht="15.75" customHeight="1" x14ac:dyDescent="0.15">
      <c r="A42" s="1">
        <f ca="1">IFERROR(__xludf.DUMMYFUNCTION("""COMPUTED_VALUE"""),84)</f>
        <v>84</v>
      </c>
      <c r="B42" s="1">
        <f ca="1">IFERROR(__xludf.DUMMYFUNCTION("""COMPUTED_VALUE"""),3.785)</f>
        <v>3.7850000000000001</v>
      </c>
      <c r="C42" s="1">
        <f ca="1">IFERROR(__xludf.DUMMYFUNCTION("""COMPUTED_VALUE"""),10.069)</f>
        <v>10.069000000000001</v>
      </c>
      <c r="D42" s="1">
        <f ca="1">IFERROR(__xludf.DUMMYFUNCTION("""COMPUTED_VALUE"""),59.783)</f>
        <v>59.783000000000001</v>
      </c>
    </row>
    <row r="43" spans="1:4" ht="15.75" customHeight="1" x14ac:dyDescent="0.15">
      <c r="A43" s="1">
        <f ca="1">IFERROR(__xludf.DUMMYFUNCTION("""COMPUTED_VALUE"""),221)</f>
        <v>221</v>
      </c>
      <c r="B43" s="1">
        <f ca="1">IFERROR(__xludf.DUMMYFUNCTION("""COMPUTED_VALUE"""),7.266)</f>
        <v>7.266</v>
      </c>
      <c r="C43" s="1">
        <f ca="1">IFERROR(__xludf.DUMMYFUNCTION("""COMPUTED_VALUE"""),16.807)</f>
        <v>16.806999999999999</v>
      </c>
      <c r="D43" s="1">
        <f ca="1">IFERROR(__xludf.DUMMYFUNCTION("""COMPUTED_VALUE"""),97.449)</f>
        <v>97.448999999999998</v>
      </c>
    </row>
    <row r="44" spans="1:4" ht="15.75" customHeight="1" x14ac:dyDescent="0.15">
      <c r="A44" s="1">
        <f ca="1">IFERROR(__xludf.DUMMYFUNCTION("""COMPUTED_VALUE"""),213)</f>
        <v>213</v>
      </c>
      <c r="B44" s="1">
        <f ca="1">IFERROR(__xludf.DUMMYFUNCTION("""COMPUTED_VALUE"""),7.751)</f>
        <v>7.7510000000000003</v>
      </c>
      <c r="C44" s="1">
        <f ca="1">IFERROR(__xludf.DUMMYFUNCTION("""COMPUTED_VALUE"""),10.555)</f>
        <v>10.555</v>
      </c>
      <c r="D44" s="1">
        <f ca="1">IFERROR(__xludf.DUMMYFUNCTION("""COMPUTED_VALUE"""),64.744)</f>
        <v>64.744</v>
      </c>
    </row>
    <row r="45" spans="1:4" ht="15.75" customHeight="1" x14ac:dyDescent="0.15">
      <c r="A45" s="1">
        <f ca="1">IFERROR(__xludf.DUMMYFUNCTION("""COMPUTED_VALUE"""),296)</f>
        <v>296</v>
      </c>
      <c r="B45" s="1">
        <f ca="1">IFERROR(__xludf.DUMMYFUNCTION("""COMPUTED_VALUE"""),7.094)</f>
        <v>7.0940000000000003</v>
      </c>
      <c r="C45" s="1">
        <f ca="1">IFERROR(__xludf.DUMMYFUNCTION("""COMPUTED_VALUE"""),8.599)</f>
        <v>8.5990000000000002</v>
      </c>
      <c r="D45" s="1">
        <f ca="1">IFERROR(__xludf.DUMMYFUNCTION("""COMPUTED_VALUE"""),51.785)</f>
        <v>51.784999999999997</v>
      </c>
    </row>
    <row r="46" spans="1:4" ht="15.75" customHeight="1" x14ac:dyDescent="0.15">
      <c r="A46" s="1">
        <f ca="1">IFERROR(__xludf.DUMMYFUNCTION("""COMPUTED_VALUE"""),302)</f>
        <v>302</v>
      </c>
      <c r="B46" s="1">
        <f ca="1">IFERROR(__xludf.DUMMYFUNCTION("""COMPUTED_VALUE"""),4.135)</f>
        <v>4.1349999999999998</v>
      </c>
      <c r="C46" s="1">
        <f ca="1">IFERROR(__xludf.DUMMYFUNCTION("""COMPUTED_VALUE"""),9.927)</f>
        <v>9.9269999999999996</v>
      </c>
      <c r="D46" s="1">
        <f ca="1">IFERROR(__xludf.DUMMYFUNCTION("""COMPUTED_VALUE"""),59.862)</f>
        <v>59.862000000000002</v>
      </c>
    </row>
    <row r="47" spans="1:4" ht="15.75" customHeight="1" x14ac:dyDescent="0.15">
      <c r="A47" s="1">
        <f ca="1">IFERROR(__xludf.DUMMYFUNCTION("""COMPUTED_VALUE"""),296)</f>
        <v>296</v>
      </c>
      <c r="B47" s="1">
        <f ca="1">IFERROR(__xludf.DUMMYFUNCTION("""COMPUTED_VALUE"""),6.666)</f>
        <v>6.6660000000000004</v>
      </c>
      <c r="C47" s="1">
        <f ca="1">IFERROR(__xludf.DUMMYFUNCTION("""COMPUTED_VALUE"""),8.311)</f>
        <v>8.3109999999999999</v>
      </c>
      <c r="D47" s="1">
        <f ca="1">IFERROR(__xludf.DUMMYFUNCTION("""COMPUTED_VALUE"""),55.989)</f>
        <v>55.988999999999997</v>
      </c>
    </row>
    <row r="48" spans="1:4" ht="15.75" customHeight="1" x14ac:dyDescent="0.15">
      <c r="A48" s="1">
        <f ca="1">IFERROR(__xludf.DUMMYFUNCTION("""COMPUTED_VALUE"""),878)</f>
        <v>878</v>
      </c>
      <c r="B48" s="1">
        <f ca="1">IFERROR(__xludf.DUMMYFUNCTION("""COMPUTED_VALUE"""),4.48)</f>
        <v>4.4800000000000004</v>
      </c>
      <c r="C48" s="1">
        <f ca="1">IFERROR(__xludf.DUMMYFUNCTION("""COMPUTED_VALUE"""),15.841)</f>
        <v>15.840999999999999</v>
      </c>
      <c r="D48" s="1">
        <f ca="1">IFERROR(__xludf.DUMMYFUNCTION("""COMPUTED_VALUE"""),123.786)</f>
        <v>123.786</v>
      </c>
    </row>
    <row r="49" spans="1:4" ht="15.75" customHeight="1" x14ac:dyDescent="0.15">
      <c r="A49" s="1">
        <f ca="1">IFERROR(__xludf.DUMMYFUNCTION("""COMPUTED_VALUE"""),771)</f>
        <v>771</v>
      </c>
      <c r="B49" s="1">
        <f ca="1">IFERROR(__xludf.DUMMYFUNCTION("""COMPUTED_VALUE"""),6.265)</f>
        <v>6.2649999999999997</v>
      </c>
      <c r="C49" s="1">
        <f ca="1">IFERROR(__xludf.DUMMYFUNCTION("""COMPUTED_VALUE"""),9.611)</f>
        <v>9.6110000000000007</v>
      </c>
      <c r="D49" s="1">
        <f ca="1">IFERROR(__xludf.DUMMYFUNCTION("""COMPUTED_VALUE"""),70.416)</f>
        <v>70.415999999999997</v>
      </c>
    </row>
    <row r="50" spans="1:4" ht="15.75" customHeight="1" x14ac:dyDescent="0.15">
      <c r="A50" s="1">
        <f ca="1">IFERROR(__xludf.DUMMYFUNCTION("""COMPUTED_VALUE"""),454)</f>
        <v>454</v>
      </c>
      <c r="B50" s="1">
        <f ca="1">IFERROR(__xludf.DUMMYFUNCTION("""COMPUTED_VALUE"""),5.966)</f>
        <v>5.9660000000000002</v>
      </c>
      <c r="C50" s="1">
        <f ca="1">IFERROR(__xludf.DUMMYFUNCTION("""COMPUTED_VALUE"""),10.514)</f>
        <v>10.513999999999999</v>
      </c>
      <c r="D50" s="1">
        <f ca="1">IFERROR(__xludf.DUMMYFUNCTION("""COMPUTED_VALUE"""),65.271)</f>
        <v>65.271000000000001</v>
      </c>
    </row>
    <row r="51" spans="1:4" ht="15.75" customHeight="1" x14ac:dyDescent="0.15">
      <c r="A51" s="1">
        <f ca="1">IFERROR(__xludf.DUMMYFUNCTION("""COMPUTED_VALUE"""),571)</f>
        <v>571</v>
      </c>
      <c r="B51" s="1">
        <f ca="1">IFERROR(__xludf.DUMMYFUNCTION("""COMPUTED_VALUE"""),5.693)</f>
        <v>5.6929999999999996</v>
      </c>
      <c r="C51" s="1">
        <f ca="1">IFERROR(__xludf.DUMMYFUNCTION("""COMPUTED_VALUE"""),9.179)</f>
        <v>9.1790000000000003</v>
      </c>
      <c r="D51" s="1">
        <f ca="1">IFERROR(__xludf.DUMMYFUNCTION("""COMPUTED_VALUE"""),55.494)</f>
        <v>55.494</v>
      </c>
    </row>
    <row r="52" spans="1:4" ht="15.75" customHeight="1" x14ac:dyDescent="0.15">
      <c r="A52" s="1">
        <f ca="1">IFERROR(__xludf.DUMMYFUNCTION("""COMPUTED_VALUE"""),1779)</f>
        <v>1779</v>
      </c>
      <c r="B52" s="1">
        <f ca="1">IFERROR(__xludf.DUMMYFUNCTION("""COMPUTED_VALUE"""),6.546)</f>
        <v>6.5460000000000003</v>
      </c>
      <c r="C52" s="1">
        <f ca="1">IFERROR(__xludf.DUMMYFUNCTION("""COMPUTED_VALUE"""),9.297)</f>
        <v>9.2970000000000006</v>
      </c>
      <c r="D52" s="1">
        <f ca="1">IFERROR(__xludf.DUMMYFUNCTION("""COMPUTED_VALUE"""),58.839)</f>
        <v>58.838999999999999</v>
      </c>
    </row>
    <row r="53" spans="1:4" ht="15.75" customHeight="1" x14ac:dyDescent="0.15">
      <c r="A53" s="1">
        <f ca="1">IFERROR(__xludf.DUMMYFUNCTION("""COMPUTED_VALUE"""),1407)</f>
        <v>1407</v>
      </c>
      <c r="B53" s="1">
        <f ca="1">IFERROR(__xludf.DUMMYFUNCTION("""COMPUTED_VALUE"""),73.943)</f>
        <v>73.942999999999998</v>
      </c>
      <c r="C53" s="1">
        <f ca="1">IFERROR(__xludf.DUMMYFUNCTION("""COMPUTED_VALUE"""),136.06)</f>
        <v>136.06</v>
      </c>
      <c r="D53" s="1">
        <f ca="1">IFERROR(__xludf.DUMMYFUNCTION("""COMPUTED_VALUE"""),727.011)</f>
        <v>727.01099999999997</v>
      </c>
    </row>
    <row r="54" spans="1:4" ht="15.75" customHeight="1" x14ac:dyDescent="0.15">
      <c r="A54" s="1">
        <f ca="1">IFERROR(__xludf.DUMMYFUNCTION("""COMPUTED_VALUE"""),358)</f>
        <v>358</v>
      </c>
      <c r="B54" s="1">
        <f ca="1">IFERROR(__xludf.DUMMYFUNCTION("""COMPUTED_VALUE"""),27.513)</f>
        <v>27.513000000000002</v>
      </c>
      <c r="C54" s="1">
        <f ca="1">IFERROR(__xludf.DUMMYFUNCTION("""COMPUTED_VALUE"""),51.918)</f>
        <v>51.917999999999999</v>
      </c>
      <c r="D54" s="1">
        <f ca="1">IFERROR(__xludf.DUMMYFUNCTION("""COMPUTED_VALUE"""),543.591)</f>
        <v>543.59100000000001</v>
      </c>
    </row>
    <row r="55" spans="1:4" ht="15.75" customHeight="1" x14ac:dyDescent="0.15">
      <c r="A55" s="1">
        <f ca="1">IFERROR(__xludf.DUMMYFUNCTION("""COMPUTED_VALUE"""),643)</f>
        <v>643</v>
      </c>
      <c r="B55" s="1">
        <f ca="1">IFERROR(__xludf.DUMMYFUNCTION("""COMPUTED_VALUE"""),147.652)</f>
        <v>147.65199999999999</v>
      </c>
      <c r="C55" s="1">
        <f ca="1">IFERROR(__xludf.DUMMYFUNCTION("""COMPUTED_VALUE"""),391.602)</f>
        <v>391.60199999999998</v>
      </c>
      <c r="D55" s="1">
        <f ca="1">IFERROR(__xludf.DUMMYFUNCTION("""COMPUTED_VALUE"""),1769.605)</f>
        <v>1769.605</v>
      </c>
    </row>
    <row r="56" spans="1:4" ht="15.75" customHeight="1" x14ac:dyDescent="0.15">
      <c r="A56" s="1">
        <f ca="1">IFERROR(__xludf.DUMMYFUNCTION("""COMPUTED_VALUE"""),599)</f>
        <v>599</v>
      </c>
      <c r="B56" s="1">
        <f ca="1">IFERROR(__xludf.DUMMYFUNCTION("""COMPUTED_VALUE"""),24.641)</f>
        <v>24.640999999999998</v>
      </c>
      <c r="C56" s="1">
        <f ca="1">IFERROR(__xludf.DUMMYFUNCTION("""COMPUTED_VALUE"""),95.021)</f>
        <v>95.021000000000001</v>
      </c>
      <c r="D56" s="1">
        <f ca="1">IFERROR(__xludf.DUMMYFUNCTION("""COMPUTED_VALUE"""),676.856)</f>
        <v>676.85599999999999</v>
      </c>
    </row>
    <row r="57" spans="1:4" ht="15.75" customHeight="1" x14ac:dyDescent="0.15">
      <c r="A57" s="1">
        <f ca="1">IFERROR(__xludf.DUMMYFUNCTION("""COMPUTED_VALUE"""),1380)</f>
        <v>1380</v>
      </c>
      <c r="B57" s="1">
        <f ca="1">IFERROR(__xludf.DUMMYFUNCTION("""COMPUTED_VALUE"""),54.296)</f>
        <v>54.295999999999999</v>
      </c>
      <c r="C57" s="1">
        <f ca="1">IFERROR(__xludf.DUMMYFUNCTION("""COMPUTED_VALUE"""),69.906)</f>
        <v>69.906000000000006</v>
      </c>
      <c r="D57" s="1">
        <f ca="1">IFERROR(__xludf.DUMMYFUNCTION("""COMPUTED_VALUE"""),597.514)</f>
        <v>597.51400000000001</v>
      </c>
    </row>
    <row r="58" spans="1:4" ht="15.75" customHeight="1" x14ac:dyDescent="0.15">
      <c r="A58" s="1">
        <f ca="1">IFERROR(__xludf.DUMMYFUNCTION("""COMPUTED_VALUE"""),221)</f>
        <v>221</v>
      </c>
      <c r="B58" s="1">
        <f ca="1">IFERROR(__xludf.DUMMYFUNCTION("""COMPUTED_VALUE"""),46.42)</f>
        <v>46.42</v>
      </c>
      <c r="C58" s="1">
        <f ca="1">IFERROR(__xludf.DUMMYFUNCTION("""COMPUTED_VALUE"""),103.93)</f>
        <v>103.93</v>
      </c>
      <c r="D58" s="1">
        <f ca="1">IFERROR(__xludf.DUMMYFUNCTION("""COMPUTED_VALUE"""),719.229)</f>
        <v>719.22900000000004</v>
      </c>
    </row>
    <row r="59" spans="1:4" ht="15.75" customHeight="1" x14ac:dyDescent="0.15">
      <c r="A59" s="1">
        <f ca="1">IFERROR(__xludf.DUMMYFUNCTION("""COMPUTED_VALUE"""),213)</f>
        <v>213</v>
      </c>
      <c r="B59" s="1">
        <f ca="1">IFERROR(__xludf.DUMMYFUNCTION("""COMPUTED_VALUE"""),95.23)</f>
        <v>95.23</v>
      </c>
      <c r="C59" s="1">
        <f ca="1">IFERROR(__xludf.DUMMYFUNCTION("""COMPUTED_VALUE"""),207.579)</f>
        <v>207.57900000000001</v>
      </c>
      <c r="D59" s="1">
        <f ca="1">IFERROR(__xludf.DUMMYFUNCTION("""COMPUTED_VALUE"""),1290.953)</f>
        <v>1290.953</v>
      </c>
    </row>
    <row r="60" spans="1:4" ht="15.75" customHeight="1" x14ac:dyDescent="0.15">
      <c r="A60" s="1">
        <f ca="1">IFERROR(__xludf.DUMMYFUNCTION("""COMPUTED_VALUE"""),290)</f>
        <v>290</v>
      </c>
      <c r="B60" s="1">
        <f ca="1">IFERROR(__xludf.DUMMYFUNCTION("""COMPUTED_VALUE"""),61.05)</f>
        <v>61.05</v>
      </c>
      <c r="C60" s="1">
        <f ca="1">IFERROR(__xludf.DUMMYFUNCTION("""COMPUTED_VALUE"""),138.835)</f>
        <v>138.83500000000001</v>
      </c>
      <c r="D60" s="1">
        <f ca="1">IFERROR(__xludf.DUMMYFUNCTION("""COMPUTED_VALUE"""),1074.701)</f>
        <v>1074.701</v>
      </c>
    </row>
    <row r="61" spans="1:4" ht="15.75" customHeight="1" x14ac:dyDescent="0.15">
      <c r="A61" s="1">
        <f ca="1">IFERROR(__xludf.DUMMYFUNCTION("""COMPUTED_VALUE"""),219)</f>
        <v>219</v>
      </c>
      <c r="B61" s="1">
        <f ca="1">IFERROR(__xludf.DUMMYFUNCTION("""COMPUTED_VALUE"""),31.444)</f>
        <v>31.443999999999999</v>
      </c>
      <c r="C61" s="1">
        <f ca="1">IFERROR(__xludf.DUMMYFUNCTION("""COMPUTED_VALUE"""),174.433)</f>
        <v>174.43299999999999</v>
      </c>
      <c r="D61" s="1">
        <f ca="1">IFERROR(__xludf.DUMMYFUNCTION("""COMPUTED_VALUE"""),1101.827)</f>
        <v>1101.827</v>
      </c>
    </row>
    <row r="62" spans="1:4" ht="15.75" customHeight="1" x14ac:dyDescent="0.15">
      <c r="A62" s="1">
        <f ca="1">IFERROR(__xludf.DUMMYFUNCTION("""COMPUTED_VALUE"""),281)</f>
        <v>281</v>
      </c>
      <c r="B62" s="1">
        <f ca="1">IFERROR(__xludf.DUMMYFUNCTION("""COMPUTED_VALUE"""),49.101)</f>
        <v>49.100999999999999</v>
      </c>
      <c r="C62" s="1">
        <f ca="1">IFERROR(__xludf.DUMMYFUNCTION("""COMPUTED_VALUE"""),90.491)</f>
        <v>90.491</v>
      </c>
      <c r="D62" s="1">
        <f ca="1">IFERROR(__xludf.DUMMYFUNCTION("""COMPUTED_VALUE"""),734.154)</f>
        <v>734.154</v>
      </c>
    </row>
    <row r="63" spans="1:4" ht="15.75" customHeight="1" x14ac:dyDescent="0.15">
      <c r="A63" s="1">
        <f ca="1">IFERROR(__xludf.DUMMYFUNCTION("""COMPUTED_VALUE"""),534)</f>
        <v>534</v>
      </c>
      <c r="B63" s="1">
        <f ca="1">IFERROR(__xludf.DUMMYFUNCTION("""COMPUTED_VALUE"""),44.962)</f>
        <v>44.962000000000003</v>
      </c>
      <c r="C63" s="1">
        <f ca="1">IFERROR(__xludf.DUMMYFUNCTION("""COMPUTED_VALUE"""),77.269)</f>
        <v>77.269000000000005</v>
      </c>
      <c r="D63" s="1">
        <f ca="1">IFERROR(__xludf.DUMMYFUNCTION("""COMPUTED_VALUE"""),643.415)</f>
        <v>643.41499999999996</v>
      </c>
    </row>
    <row r="64" spans="1:4" ht="15.75" customHeight="1" x14ac:dyDescent="0.15">
      <c r="A64" s="1">
        <f ca="1">IFERROR(__xludf.DUMMYFUNCTION("""COMPUTED_VALUE"""),524)</f>
        <v>524</v>
      </c>
      <c r="B64" s="1">
        <f ca="1">IFERROR(__xludf.DUMMYFUNCTION("""COMPUTED_VALUE"""),26.278)</f>
        <v>26.277999999999999</v>
      </c>
      <c r="C64" s="1">
        <f ca="1">IFERROR(__xludf.DUMMYFUNCTION("""COMPUTED_VALUE"""),191.264)</f>
        <v>191.26400000000001</v>
      </c>
      <c r="D64" s="1">
        <f ca="1">IFERROR(__xludf.DUMMYFUNCTION("""COMPUTED_VALUE"""),1497.835)</f>
        <v>1497.835</v>
      </c>
    </row>
    <row r="65" spans="1:4" ht="13" x14ac:dyDescent="0.15">
      <c r="A65" s="1">
        <f ca="1">IFERROR(__xludf.DUMMYFUNCTION("""COMPUTED_VALUE"""),761)</f>
        <v>761</v>
      </c>
      <c r="B65" s="1">
        <f ca="1">IFERROR(__xludf.DUMMYFUNCTION("""COMPUTED_VALUE"""),70.654)</f>
        <v>70.653999999999996</v>
      </c>
      <c r="C65" s="1">
        <f ca="1">IFERROR(__xludf.DUMMYFUNCTION("""COMPUTED_VALUE"""),126.219)</f>
        <v>126.21899999999999</v>
      </c>
      <c r="D65" s="1">
        <f ca="1">IFERROR(__xludf.DUMMYFUNCTION("""COMPUTED_VALUE"""),991.844)</f>
        <v>991.84400000000005</v>
      </c>
    </row>
    <row r="66" spans="1:4" ht="13" x14ac:dyDescent="0.15">
      <c r="A66" s="1">
        <f ca="1">IFERROR(__xludf.DUMMYFUNCTION("""COMPUTED_VALUE"""),454)</f>
        <v>454</v>
      </c>
      <c r="B66" s="1">
        <f ca="1">IFERROR(__xludf.DUMMYFUNCTION("""COMPUTED_VALUE"""),56.487)</f>
        <v>56.487000000000002</v>
      </c>
      <c r="C66" s="1">
        <f ca="1">IFERROR(__xludf.DUMMYFUNCTION("""COMPUTED_VALUE"""),102.261)</f>
        <v>102.261</v>
      </c>
      <c r="D66" s="1">
        <f ca="1">IFERROR(__xludf.DUMMYFUNCTION("""COMPUTED_VALUE"""),779.437)</f>
        <v>779.43700000000001</v>
      </c>
    </row>
    <row r="67" spans="1:4" ht="13" x14ac:dyDescent="0.15">
      <c r="A67" s="1">
        <f ca="1">IFERROR(__xludf.DUMMYFUNCTION("""COMPUTED_VALUE"""),571)</f>
        <v>571</v>
      </c>
      <c r="B67" s="1">
        <f ca="1">IFERROR(__xludf.DUMMYFUNCTION("""COMPUTED_VALUE"""),57.484)</f>
        <v>57.484000000000002</v>
      </c>
      <c r="C67" s="1">
        <f ca="1">IFERROR(__xludf.DUMMYFUNCTION("""COMPUTED_VALUE"""),98.795)</f>
        <v>98.795000000000002</v>
      </c>
      <c r="D67" s="1">
        <f ca="1">IFERROR(__xludf.DUMMYFUNCTION("""COMPUTED_VALUE"""),664.932)</f>
        <v>664.93200000000002</v>
      </c>
    </row>
    <row r="68" spans="1:4" ht="13" x14ac:dyDescent="0.15">
      <c r="A68" s="1">
        <f ca="1">IFERROR(__xludf.DUMMYFUNCTION("""COMPUTED_VALUE"""),1216)</f>
        <v>1216</v>
      </c>
      <c r="B68" s="1">
        <f ca="1">IFERROR(__xludf.DUMMYFUNCTION("""COMPUTED_VALUE"""),62.01)</f>
        <v>62.01</v>
      </c>
      <c r="C68" s="1">
        <f ca="1">IFERROR(__xludf.DUMMYFUNCTION("""COMPUTED_VALUE"""),92.413)</f>
        <v>92.412999999999997</v>
      </c>
      <c r="D68" s="1">
        <f ca="1">IFERROR(__xludf.DUMMYFUNCTION("""COMPUTED_VALUE"""),758.652)</f>
        <v>758.65200000000004</v>
      </c>
    </row>
    <row r="69" spans="1:4" ht="13" x14ac:dyDescent="0.15">
      <c r="A69" s="1">
        <f ca="1">IFERROR(__xludf.DUMMYFUNCTION("""COMPUTED_VALUE"""),599)</f>
        <v>599</v>
      </c>
      <c r="B69" s="1">
        <f ca="1">IFERROR(__xludf.DUMMYFUNCTION("""COMPUTED_VALUE"""),372.327)</f>
        <v>372.327</v>
      </c>
      <c r="C69" s="1">
        <f ca="1">IFERROR(__xludf.DUMMYFUNCTION("""COMPUTED_VALUE"""),990.705)</f>
        <v>990.70500000000004</v>
      </c>
      <c r="D69" s="1">
        <f ca="1">IFERROR(__xludf.DUMMYFUNCTION("""COMPUTED_VALUE"""),5228.667)</f>
        <v>5228.6670000000004</v>
      </c>
    </row>
    <row r="70" spans="1:4" ht="13" x14ac:dyDescent="0.15">
      <c r="A70" s="1">
        <f ca="1">IFERROR(__xludf.DUMMYFUNCTION("""COMPUTED_VALUE"""),1407)</f>
        <v>1407</v>
      </c>
      <c r="B70" s="1">
        <f ca="1">IFERROR(__xludf.DUMMYFUNCTION("""COMPUTED_VALUE"""),305.464)</f>
        <v>305.464</v>
      </c>
      <c r="C70" s="1">
        <f ca="1">IFERROR(__xludf.DUMMYFUNCTION("""COMPUTED_VALUE"""),497.306)</f>
        <v>497.30599999999998</v>
      </c>
      <c r="D70" s="1">
        <f ca="1">IFERROR(__xludf.DUMMYFUNCTION("""COMPUTED_VALUE"""),4804.423)</f>
        <v>4804.4229999999998</v>
      </c>
    </row>
    <row r="71" spans="1:4" ht="13" x14ac:dyDescent="0.15">
      <c r="A71" s="1">
        <f ca="1">IFERROR(__xludf.DUMMYFUNCTION("""COMPUTED_VALUE"""),878)</f>
        <v>878</v>
      </c>
      <c r="B71" s="1">
        <f ca="1">IFERROR(__xludf.DUMMYFUNCTION("""COMPUTED_VALUE"""),190.761)</f>
        <v>190.761</v>
      </c>
      <c r="C71" s="1">
        <f ca="1">IFERROR(__xludf.DUMMYFUNCTION("""COMPUTED_VALUE"""),2319.044)</f>
        <v>2319.0439999999999</v>
      </c>
      <c r="D71" s="1">
        <f ca="1">IFERROR(__xludf.DUMMYFUNCTION("""COMPUTED_VALUE"""),10015.02)</f>
        <v>10015.02</v>
      </c>
    </row>
    <row r="72" spans="1:4" ht="13" x14ac:dyDescent="0.15">
      <c r="A72" s="1">
        <f ca="1">IFERROR(__xludf.DUMMYFUNCTION("""COMPUTED_VALUE"""),555)</f>
        <v>555</v>
      </c>
      <c r="B72" s="1">
        <f ca="1">IFERROR(__xludf.DUMMYFUNCTION("""COMPUTED_VALUE"""),99.817)</f>
        <v>99.816999999999993</v>
      </c>
      <c r="C72" s="1">
        <f ca="1">IFERROR(__xludf.DUMMYFUNCTION("""COMPUTED_VALUE"""),483.319)</f>
        <v>483.31900000000002</v>
      </c>
      <c r="D72" s="1">
        <f ca="1">IFERROR(__xludf.DUMMYFUNCTION("""COMPUTED_VALUE"""),4555.12)</f>
        <v>4555.12</v>
      </c>
    </row>
    <row r="73" spans="1:4" ht="13" x14ac:dyDescent="0.15">
      <c r="A73" s="1">
        <f ca="1">IFERROR(__xludf.DUMMYFUNCTION("""COMPUTED_VALUE"""),761)</f>
        <v>761</v>
      </c>
      <c r="B73" s="1">
        <f ca="1">IFERROR(__xludf.DUMMYFUNCTION("""COMPUTED_VALUE"""),350.332)</f>
        <v>350.33199999999999</v>
      </c>
      <c r="C73" s="1">
        <f ca="1">IFERROR(__xludf.DUMMYFUNCTION("""COMPUTED_VALUE"""),464.317)</f>
        <v>464.31700000000001</v>
      </c>
      <c r="D73" s="1">
        <f ca="1">IFERROR(__xludf.DUMMYFUNCTION("""COMPUTED_VALUE"""),4449.3)</f>
        <v>4449.3</v>
      </c>
    </row>
    <row r="74" spans="1:4" ht="13" x14ac:dyDescent="0.15">
      <c r="A74" s="1">
        <f ca="1">IFERROR(__xludf.DUMMYFUNCTION("""COMPUTED_VALUE"""),550)</f>
        <v>550</v>
      </c>
      <c r="B74" s="1">
        <f ca="1">IFERROR(__xludf.DUMMYFUNCTION("""COMPUTED_VALUE"""),561.639)</f>
        <v>561.63900000000001</v>
      </c>
      <c r="C74" s="1">
        <f ca="1">IFERROR(__xludf.DUMMYFUNCTION("""COMPUTED_VALUE"""),1226.731)</f>
        <v>1226.731</v>
      </c>
      <c r="D74" s="1">
        <f ca="1">IFERROR(__xludf.DUMMYFUNCTION("""COMPUTED_VALUE"""),8846.907)</f>
        <v>8846.9069999999992</v>
      </c>
    </row>
    <row r="75" spans="1:4" ht="13" x14ac:dyDescent="0.15">
      <c r="A75" s="1">
        <f ca="1">IFERROR(__xludf.DUMMYFUNCTION("""COMPUTED_VALUE"""),737)</f>
        <v>737</v>
      </c>
      <c r="B75" s="1">
        <f ca="1">IFERROR(__xludf.DUMMYFUNCTION("""COMPUTED_VALUE"""),721.825)</f>
        <v>721.82500000000005</v>
      </c>
      <c r="C75" s="1">
        <f ca="1">IFERROR(__xludf.DUMMYFUNCTION("""COMPUTED_VALUE"""),2003.601)</f>
        <v>2003.6010000000001</v>
      </c>
      <c r="D75" s="1">
        <f ca="1">IFERROR(__xludf.DUMMYFUNCTION("""COMPUTED_VALUE"""),12469.47)</f>
        <v>12469.47</v>
      </c>
    </row>
    <row r="76" spans="1:4" ht="13" x14ac:dyDescent="0.15">
      <c r="A76" s="1">
        <f ca="1">IFERROR(__xludf.DUMMYFUNCTION("""COMPUTED_VALUE"""),1004)</f>
        <v>1004</v>
      </c>
      <c r="B76" s="1">
        <f ca="1">IFERROR(__xludf.DUMMYFUNCTION("""COMPUTED_VALUE"""),534.505)</f>
        <v>534.505</v>
      </c>
      <c r="C76" s="1">
        <f ca="1">IFERROR(__xludf.DUMMYFUNCTION("""COMPUTED_VALUE"""),1352.206)</f>
        <v>1352.2059999999999</v>
      </c>
      <c r="D76" s="1">
        <f ca="1">IFERROR(__xludf.DUMMYFUNCTION("""COMPUTED_VALUE"""),10078.276)</f>
        <v>10078.276</v>
      </c>
    </row>
    <row r="77" spans="1:4" ht="13" x14ac:dyDescent="0.15">
      <c r="A77" s="1">
        <f ca="1">IFERROR(__xludf.DUMMYFUNCTION("""COMPUTED_VALUE"""),1216)</f>
        <v>1216</v>
      </c>
      <c r="B77" s="1">
        <f ca="1">IFERROR(__xludf.DUMMYFUNCTION("""COMPUTED_VALUE"""),115.3)</f>
        <v>115.3</v>
      </c>
      <c r="C77" s="1">
        <f ca="1">IFERROR(__xludf.DUMMYFUNCTION("""COMPUTED_VALUE"""),978.472)</f>
        <v>978.47199999999998</v>
      </c>
      <c r="D77" s="1">
        <f ca="1">IFERROR(__xludf.DUMMYFUNCTION("""COMPUTED_VALUE"""),6806.567)</f>
        <v>6806.567</v>
      </c>
    </row>
    <row r="78" spans="1:4" ht="13" x14ac:dyDescent="0.15">
      <c r="A78" s="1">
        <f ca="1">IFERROR(__xludf.DUMMYFUNCTION("""COMPUTED_VALUE"""),1004)</f>
        <v>1004</v>
      </c>
      <c r="B78" s="1">
        <f ca="1">IFERROR(__xludf.DUMMYFUNCTION("""COMPUTED_VALUE"""),505.978)</f>
        <v>505.97800000000001</v>
      </c>
      <c r="C78" s="1">
        <f ca="1">IFERROR(__xludf.DUMMYFUNCTION("""COMPUTED_VALUE"""),889.887)</f>
        <v>889.88699999999994</v>
      </c>
      <c r="D78" s="1">
        <f ca="1">IFERROR(__xludf.DUMMYFUNCTION("""COMPUTED_VALUE"""),6438.542)</f>
        <v>6438.5420000000004</v>
      </c>
    </row>
    <row r="79" spans="1:4" ht="13" x14ac:dyDescent="0.15">
      <c r="A79" s="1">
        <f ca="1">IFERROR(__xludf.DUMMYFUNCTION("""COMPUTED_VALUE"""),1216)</f>
        <v>1216</v>
      </c>
      <c r="B79" s="1">
        <f ca="1">IFERROR(__xludf.DUMMYFUNCTION("""COMPUTED_VALUE"""),241.295)</f>
        <v>241.29499999999999</v>
      </c>
      <c r="C79" s="1">
        <f ca="1">IFERROR(__xludf.DUMMYFUNCTION("""COMPUTED_VALUE"""),550.696)</f>
        <v>550.69600000000003</v>
      </c>
      <c r="D79" s="1">
        <f ca="1">IFERROR(__xludf.DUMMYFUNCTION("""COMPUTED_VALUE"""),4240.28)</f>
        <v>4240.28</v>
      </c>
    </row>
    <row r="80" spans="1:4" ht="13" x14ac:dyDescent="0.15">
      <c r="A80" s="1">
        <f ca="1">IFERROR(__xludf.DUMMYFUNCTION("""COMPUTED_VALUE"""),27)</f>
        <v>27</v>
      </c>
      <c r="B80" s="1">
        <f ca="1">IFERROR(__xludf.DUMMYFUNCTION("""COMPUTED_VALUE"""),183.463)</f>
        <v>183.46299999999999</v>
      </c>
      <c r="C80" s="1">
        <f ca="1">IFERROR(__xludf.DUMMYFUNCTION("""COMPUTED_VALUE"""),1378.834)</f>
        <v>1378.8340000000001</v>
      </c>
      <c r="D80" s="1">
        <f ca="1">IFERROR(__xludf.DUMMYFUNCTION("""COMPUTED_VALUE"""),10477.496)</f>
        <v>10477.495999999999</v>
      </c>
    </row>
    <row r="81" spans="1:4" ht="13" x14ac:dyDescent="0.15">
      <c r="A81" s="1">
        <f ca="1">IFERROR(__xludf.DUMMYFUNCTION("""COMPUTED_VALUE"""),131)</f>
        <v>131</v>
      </c>
      <c r="B81" s="1">
        <f ca="1">IFERROR(__xludf.DUMMYFUNCTION("""COMPUTED_VALUE"""),527.695)</f>
        <v>527.69500000000005</v>
      </c>
      <c r="C81" s="1">
        <f ca="1">IFERROR(__xludf.DUMMYFUNCTION("""COMPUTED_VALUE"""),886.554)</f>
        <v>886.55399999999997</v>
      </c>
      <c r="D81" s="1">
        <f ca="1">IFERROR(__xludf.DUMMYFUNCTION("""COMPUTED_VALUE"""),6012.968)</f>
        <v>6012.9679999999998</v>
      </c>
    </row>
    <row r="82" spans="1:4" ht="13" x14ac:dyDescent="0.15">
      <c r="A82" s="1">
        <f ca="1">IFERROR(__xludf.DUMMYFUNCTION("""COMPUTED_VALUE"""),379)</f>
        <v>379</v>
      </c>
      <c r="B82" s="1">
        <f ca="1">IFERROR(__xludf.DUMMYFUNCTION("""COMPUTED_VALUE"""),447.537)</f>
        <v>447.53699999999998</v>
      </c>
      <c r="C82" s="1">
        <f ca="1">IFERROR(__xludf.DUMMYFUNCTION("""COMPUTED_VALUE"""),616.524)</f>
        <v>616.524</v>
      </c>
      <c r="D82" s="1">
        <f ca="1">IFERROR(__xludf.DUMMYFUNCTION("""COMPUTED_VALUE"""),5262.46)</f>
        <v>5262.46</v>
      </c>
    </row>
    <row r="83" spans="1:4" ht="13" x14ac:dyDescent="0.15">
      <c r="A83" s="1">
        <f ca="1">IFERROR(__xludf.DUMMYFUNCTION("""COMPUTED_VALUE"""),678)</f>
        <v>678</v>
      </c>
      <c r="B83" s="1">
        <f ca="1">IFERROR(__xludf.DUMMYFUNCTION("""COMPUTED_VALUE"""),2047.652)</f>
        <v>2047.652</v>
      </c>
      <c r="C83" s="1">
        <f ca="1">IFERROR(__xludf.DUMMYFUNCTION("""COMPUTED_VALUE"""),5472.439)</f>
        <v>5472.4390000000003</v>
      </c>
      <c r="D83" s="1">
        <f ca="1">IFERROR(__xludf.DUMMYFUNCTION("""COMPUTED_VALUE"""),27766.151)</f>
        <v>27766.151000000002</v>
      </c>
    </row>
    <row r="84" spans="1:4" ht="13" x14ac:dyDescent="0.15">
      <c r="A84" s="1">
        <f ca="1">IFERROR(__xludf.DUMMYFUNCTION("""COMPUTED_VALUE"""),746)</f>
        <v>746</v>
      </c>
      <c r="B84" s="1">
        <f ca="1">IFERROR(__xludf.DUMMYFUNCTION("""COMPUTED_VALUE"""),1888.165)</f>
        <v>1888.165</v>
      </c>
      <c r="C84" s="1">
        <f ca="1">IFERROR(__xludf.DUMMYFUNCTION("""COMPUTED_VALUE"""),3236.462)</f>
        <v>3236.462</v>
      </c>
      <c r="D84" s="1">
        <f ca="1">IFERROR(__xludf.DUMMYFUNCTION("""COMPUTED_VALUE"""),30240.045)</f>
        <v>30240.044999999998</v>
      </c>
    </row>
    <row r="85" spans="1:4" ht="13" x14ac:dyDescent="0.15">
      <c r="A85" s="1">
        <f ca="1">IFERROR(__xludf.DUMMYFUNCTION("""COMPUTED_VALUE"""),1380)</f>
        <v>1380</v>
      </c>
      <c r="B85" s="1">
        <f ca="1">IFERROR(__xludf.DUMMYFUNCTION("""COMPUTED_VALUE"""),674.791)</f>
        <v>674.79100000000005</v>
      </c>
      <c r="C85" s="1">
        <f ca="1">IFERROR(__xludf.DUMMYFUNCTION("""COMPUTED_VALUE"""),10288.889)</f>
        <v>10288.888999999999</v>
      </c>
      <c r="D85" s="1">
        <f ca="1">IFERROR(__xludf.DUMMYFUNCTION("""COMPUTED_VALUE"""),46661.527)</f>
        <v>46661.527000000002</v>
      </c>
    </row>
    <row r="86" spans="1:4" ht="13" x14ac:dyDescent="0.15">
      <c r="A86" s="1">
        <f ca="1">IFERROR(__xludf.DUMMYFUNCTION("""COMPUTED_VALUE"""),27)</f>
        <v>27</v>
      </c>
      <c r="B86" s="1">
        <f ca="1">IFERROR(__xludf.DUMMYFUNCTION("""COMPUTED_VALUE"""),496.189)</f>
        <v>496.18900000000002</v>
      </c>
      <c r="C86" s="1">
        <f ca="1">IFERROR(__xludf.DUMMYFUNCTION("""COMPUTED_VALUE"""),2987.034)</f>
        <v>2987.0340000000001</v>
      </c>
      <c r="D86" s="1">
        <f ca="1">IFERROR(__xludf.DUMMYFUNCTION("""COMPUTED_VALUE"""),23529.73)</f>
        <v>23529.73</v>
      </c>
    </row>
    <row r="87" spans="1:4" ht="13" x14ac:dyDescent="0.15">
      <c r="A87" s="1">
        <f ca="1">IFERROR(__xludf.DUMMYFUNCTION("""COMPUTED_VALUE"""),15)</f>
        <v>15</v>
      </c>
      <c r="B87" s="1">
        <f ca="1">IFERROR(__xludf.DUMMYFUNCTION("""COMPUTED_VALUE"""),1811.126)</f>
        <v>1811.126</v>
      </c>
      <c r="C87" s="1">
        <f ca="1">IFERROR(__xludf.DUMMYFUNCTION("""COMPUTED_VALUE"""),3115.233)</f>
        <v>3115.2330000000002</v>
      </c>
      <c r="D87" s="1">
        <f ca="1">IFERROR(__xludf.DUMMYFUNCTION("""COMPUTED_VALUE"""),26318.432)</f>
        <v>26318.432000000001</v>
      </c>
    </row>
    <row r="88" spans="1:4" ht="13" x14ac:dyDescent="0.15">
      <c r="A88" s="1">
        <f ca="1">IFERROR(__xludf.DUMMYFUNCTION("""COMPUTED_VALUE"""),21)</f>
        <v>21</v>
      </c>
      <c r="B88" s="1">
        <f ca="1">IFERROR(__xludf.DUMMYFUNCTION("""COMPUTED_VALUE"""),1439.798)</f>
        <v>1439.798</v>
      </c>
      <c r="C88" s="1">
        <f ca="1">IFERROR(__xludf.DUMMYFUNCTION("""COMPUTED_VALUE"""),5426.317)</f>
        <v>5426.317</v>
      </c>
      <c r="D88" s="1">
        <f ca="1">IFERROR(__xludf.DUMMYFUNCTION("""COMPUTED_VALUE"""),36732.095)</f>
        <v>36732.095000000001</v>
      </c>
    </row>
    <row r="89" spans="1:4" ht="13" x14ac:dyDescent="0.15">
      <c r="A89" s="1">
        <f ca="1">IFERROR(__xludf.DUMMYFUNCTION("""COMPUTED_VALUE"""),15)</f>
        <v>15</v>
      </c>
      <c r="B89" s="1">
        <f ca="1">IFERROR(__xludf.DUMMYFUNCTION("""COMPUTED_VALUE"""),23.527)</f>
        <v>23.527000000000001</v>
      </c>
      <c r="C89" s="1">
        <f ca="1">IFERROR(__xludf.DUMMYFUNCTION("""COMPUTED_VALUE"""),35.611)</f>
        <v>35.610999999999997</v>
      </c>
      <c r="D89" s="1">
        <f ca="1">IFERROR(__xludf.DUMMYFUNCTION("""COMPUTED_VALUE"""),187.371)</f>
        <v>187.37100000000001</v>
      </c>
    </row>
    <row r="90" spans="1:4" ht="13" x14ac:dyDescent="0.15">
      <c r="A90" s="1">
        <f ca="1">IFERROR(__xludf.DUMMYFUNCTION("""COMPUTED_VALUE"""),15)</f>
        <v>15</v>
      </c>
      <c r="B90" s="1">
        <f ca="1">IFERROR(__xludf.DUMMYFUNCTION("""COMPUTED_VALUE"""),19.202)</f>
        <v>19.202000000000002</v>
      </c>
      <c r="C90" s="1">
        <f ca="1">IFERROR(__xludf.DUMMYFUNCTION("""COMPUTED_VALUE"""),22.24)</f>
        <v>22.24</v>
      </c>
      <c r="D90" s="1">
        <f ca="1">IFERROR(__xludf.DUMMYFUNCTION("""COMPUTED_VALUE"""),106.152)</f>
        <v>106.152</v>
      </c>
    </row>
    <row r="91" spans="1:4" ht="13" x14ac:dyDescent="0.15">
      <c r="A91" s="1">
        <f ca="1">IFERROR(__xludf.DUMMYFUNCTION("""COMPUTED_VALUE"""),16)</f>
        <v>16</v>
      </c>
      <c r="B91" s="1">
        <f ca="1">IFERROR(__xludf.DUMMYFUNCTION("""COMPUTED_VALUE"""),14.651)</f>
        <v>14.651</v>
      </c>
      <c r="C91" s="1">
        <f ca="1">IFERROR(__xludf.DUMMYFUNCTION("""COMPUTED_VALUE"""),22.081)</f>
        <v>22.081</v>
      </c>
      <c r="D91" s="1">
        <f ca="1">IFERROR(__xludf.DUMMYFUNCTION("""COMPUTED_VALUE"""),127.487)</f>
        <v>127.48699999999999</v>
      </c>
    </row>
    <row r="92" spans="1:4" ht="13" x14ac:dyDescent="0.15">
      <c r="A92" s="1">
        <f ca="1">IFERROR(__xludf.DUMMYFUNCTION("""COMPUTED_VALUE"""),130)</f>
        <v>130</v>
      </c>
      <c r="B92" s="1">
        <f ca="1">IFERROR(__xludf.DUMMYFUNCTION("""COMPUTED_VALUE"""),245.266)</f>
        <v>245.26599999999999</v>
      </c>
      <c r="C92" s="1">
        <f ca="1">IFERROR(__xludf.DUMMYFUNCTION("""COMPUTED_VALUE"""),318.262)</f>
        <v>318.262</v>
      </c>
      <c r="D92" s="1">
        <f ca="1">IFERROR(__xludf.DUMMYFUNCTION("""COMPUTED_VALUE"""),2104.054)</f>
        <v>2104.0540000000001</v>
      </c>
    </row>
    <row r="93" spans="1:4" ht="13" x14ac:dyDescent="0.15">
      <c r="A93" s="1">
        <f ca="1">IFERROR(__xludf.DUMMYFUNCTION("""COMPUTED_VALUE"""),74)</f>
        <v>74</v>
      </c>
      <c r="B93" s="1">
        <f ca="1">IFERROR(__xludf.DUMMYFUNCTION("""COMPUTED_VALUE"""),121.134)</f>
        <v>121.134</v>
      </c>
      <c r="C93" s="1">
        <f ca="1">IFERROR(__xludf.DUMMYFUNCTION("""COMPUTED_VALUE"""),180.582)</f>
        <v>180.58199999999999</v>
      </c>
      <c r="D93" s="1">
        <f ca="1">IFERROR(__xludf.DUMMYFUNCTION("""COMPUTED_VALUE"""),1196.405)</f>
        <v>1196.405</v>
      </c>
    </row>
    <row r="94" spans="1:4" ht="13" x14ac:dyDescent="0.15">
      <c r="A94" s="1">
        <f ca="1">IFERROR(__xludf.DUMMYFUNCTION("""COMPUTED_VALUE"""),107)</f>
        <v>107</v>
      </c>
      <c r="B94" s="1">
        <f ca="1">IFERROR(__xludf.DUMMYFUNCTION("""COMPUTED_VALUE"""),318.421)</f>
        <v>318.42099999999999</v>
      </c>
      <c r="C94" s="1">
        <f ca="1">IFERROR(__xludf.DUMMYFUNCTION("""COMPUTED_VALUE"""),536.8)</f>
        <v>536.79999999999995</v>
      </c>
      <c r="D94" s="1">
        <f ca="1">IFERROR(__xludf.DUMMYFUNCTION("""COMPUTED_VALUE"""),2474.87)</f>
        <v>2474.87</v>
      </c>
    </row>
    <row r="95" spans="1:4" ht="13" x14ac:dyDescent="0.15">
      <c r="A95" s="1">
        <f ca="1">IFERROR(__xludf.DUMMYFUNCTION("""COMPUTED_VALUE"""),83)</f>
        <v>83</v>
      </c>
      <c r="B95" s="1">
        <f ca="1">IFERROR(__xludf.DUMMYFUNCTION("""COMPUTED_VALUE"""),182.741)</f>
        <v>182.74100000000001</v>
      </c>
      <c r="C95" s="1">
        <f ca="1">IFERROR(__xludf.DUMMYFUNCTION("""COMPUTED_VALUE"""),223.654)</f>
        <v>223.654</v>
      </c>
      <c r="D95" s="1">
        <f ca="1">IFERROR(__xludf.DUMMYFUNCTION("""COMPUTED_VALUE"""),1160.802)</f>
        <v>1160.8019999999999</v>
      </c>
    </row>
    <row r="96" spans="1:4" ht="13" x14ac:dyDescent="0.15">
      <c r="A96" s="1">
        <f ca="1">IFERROR(__xludf.DUMMYFUNCTION("""COMPUTED_VALUE"""),84)</f>
        <v>84</v>
      </c>
      <c r="B96" s="1">
        <f ca="1">IFERROR(__xludf.DUMMYFUNCTION("""COMPUTED_VALUE"""),78.001)</f>
        <v>78.001000000000005</v>
      </c>
      <c r="C96" s="1">
        <f ca="1">IFERROR(__xludf.DUMMYFUNCTION("""COMPUTED_VALUE"""),283.494)</f>
        <v>283.49400000000003</v>
      </c>
      <c r="D96" s="1">
        <f ca="1">IFERROR(__xludf.DUMMYFUNCTION("""COMPUTED_VALUE"""),1847.17)</f>
        <v>1847.17</v>
      </c>
    </row>
    <row r="97" spans="1:4" ht="13" x14ac:dyDescent="0.15">
      <c r="A97" s="1">
        <f ca="1">IFERROR(__xludf.DUMMYFUNCTION("""COMPUTED_VALUE"""),231)</f>
        <v>231</v>
      </c>
      <c r="B97" s="1">
        <f ca="1">IFERROR(__xludf.DUMMYFUNCTION("""COMPUTED_VALUE"""),147.501)</f>
        <v>147.501</v>
      </c>
      <c r="C97" s="1">
        <f ca="1">IFERROR(__xludf.DUMMYFUNCTION("""COMPUTED_VALUE"""),224.509)</f>
        <v>224.50899999999999</v>
      </c>
      <c r="D97" s="1">
        <f ca="1">IFERROR(__xludf.DUMMYFUNCTION("""COMPUTED_VALUE"""),1305.12)</f>
        <v>1305.1199999999999</v>
      </c>
    </row>
    <row r="98" spans="1:4" ht="13" x14ac:dyDescent="0.15">
      <c r="A98" s="1">
        <f ca="1">IFERROR(__xludf.DUMMYFUNCTION("""COMPUTED_VALUE"""),216)</f>
        <v>216</v>
      </c>
      <c r="B98" s="1">
        <f ca="1">IFERROR(__xludf.DUMMYFUNCTION("""COMPUTED_VALUE"""),1444.449)</f>
        <v>1444.4490000000001</v>
      </c>
      <c r="C98" s="1">
        <f ca="1">IFERROR(__xludf.DUMMYFUNCTION("""COMPUTED_VALUE"""),1964.799)</f>
        <v>1964.799</v>
      </c>
      <c r="D98" s="1">
        <f ca="1">IFERROR(__xludf.DUMMYFUNCTION("""COMPUTED_VALUE"""),13284.917)</f>
        <v>13284.916999999999</v>
      </c>
    </row>
    <row r="99" spans="1:4" ht="13" x14ac:dyDescent="0.15">
      <c r="A99" s="1">
        <f ca="1">IFERROR(__xludf.DUMMYFUNCTION("""COMPUTED_VALUE"""),364)</f>
        <v>364</v>
      </c>
      <c r="B99" s="1">
        <f ca="1">IFERROR(__xludf.DUMMYFUNCTION("""COMPUTED_VALUE"""),1027.164)</f>
        <v>1027.164</v>
      </c>
      <c r="C99" s="1">
        <f ca="1">IFERROR(__xludf.DUMMYFUNCTION("""COMPUTED_VALUE"""),1534.392)</f>
        <v>1534.3920000000001</v>
      </c>
      <c r="D99" s="1">
        <f ca="1">IFERROR(__xludf.DUMMYFUNCTION("""COMPUTED_VALUE"""),10771.245)</f>
        <v>10771.245000000001</v>
      </c>
    </row>
    <row r="100" spans="1:4" ht="13" x14ac:dyDescent="0.15">
      <c r="A100" s="1">
        <f ca="1">IFERROR(__xludf.DUMMYFUNCTION("""COMPUTED_VALUE"""),219)</f>
        <v>219</v>
      </c>
      <c r="B100" s="1">
        <f ca="1">IFERROR(__xludf.DUMMYFUNCTION("""COMPUTED_VALUE"""),1432.858)</f>
        <v>1432.8579999999999</v>
      </c>
      <c r="C100" s="1">
        <f ca="1">IFERROR(__xludf.DUMMYFUNCTION("""COMPUTED_VALUE"""),2483.288)</f>
        <v>2483.288</v>
      </c>
      <c r="D100" s="1">
        <f ca="1">IFERROR(__xludf.DUMMYFUNCTION("""COMPUTED_VALUE"""),16000.784)</f>
        <v>16000.784</v>
      </c>
    </row>
    <row r="101" spans="1:4" ht="13" x14ac:dyDescent="0.15">
      <c r="A101" s="1">
        <f ca="1">IFERROR(__xludf.DUMMYFUNCTION("""COMPUTED_VALUE"""),259)</f>
        <v>259</v>
      </c>
      <c r="B101" s="1">
        <f ca="1">IFERROR(__xludf.DUMMYFUNCTION("""COMPUTED_VALUE"""),973.279)</f>
        <v>973.279</v>
      </c>
      <c r="C101" s="1">
        <f ca="1">IFERROR(__xludf.DUMMYFUNCTION("""COMPUTED_VALUE"""),1537.683)</f>
        <v>1537.683</v>
      </c>
      <c r="D101" s="1">
        <f ca="1">IFERROR(__xludf.DUMMYFUNCTION("""COMPUTED_VALUE"""),8260.215)</f>
        <v>8260.2150000000001</v>
      </c>
    </row>
    <row r="102" spans="1:4" ht="13" x14ac:dyDescent="0.15">
      <c r="A102" s="1">
        <f ca="1">IFERROR(__xludf.DUMMYFUNCTION("""COMPUTED_VALUE"""),296)</f>
        <v>296</v>
      </c>
      <c r="B102" s="1">
        <f ca="1">IFERROR(__xludf.DUMMYFUNCTION("""COMPUTED_VALUE"""),306.069)</f>
        <v>306.06900000000002</v>
      </c>
      <c r="C102" s="1">
        <f ca="1">IFERROR(__xludf.DUMMYFUNCTION("""COMPUTED_VALUE"""),1492.833)</f>
        <v>1492.8330000000001</v>
      </c>
      <c r="D102" s="1">
        <f ca="1">IFERROR(__xludf.DUMMYFUNCTION("""COMPUTED_VALUE"""),10303.136)</f>
        <v>10303.136</v>
      </c>
    </row>
    <row r="103" spans="1:4" ht="13" x14ac:dyDescent="0.15">
      <c r="A103" s="1">
        <f ca="1">IFERROR(__xludf.DUMMYFUNCTION("""COMPUTED_VALUE"""),878)</f>
        <v>878</v>
      </c>
      <c r="B103" s="1">
        <f ca="1">IFERROR(__xludf.DUMMYFUNCTION("""COMPUTED_VALUE"""),836.672)</f>
        <v>836.67200000000003</v>
      </c>
      <c r="C103" s="1">
        <f ca="1">IFERROR(__xludf.DUMMYFUNCTION("""COMPUTED_VALUE"""),1494.406)</f>
        <v>1494.4059999999999</v>
      </c>
      <c r="D103" s="1">
        <f ca="1">IFERROR(__xludf.DUMMYFUNCTION("""COMPUTED_VALUE"""),11878.087)</f>
        <v>11878.087</v>
      </c>
    </row>
    <row r="104" spans="1:4" ht="13" x14ac:dyDescent="0.15">
      <c r="A104" s="1">
        <f ca="1">IFERROR(__xludf.DUMMYFUNCTION("""COMPUTED_VALUE"""),643)</f>
        <v>643</v>
      </c>
      <c r="B104" s="1">
        <f ca="1">IFERROR(__xludf.DUMMYFUNCTION("""COMPUTED_VALUE"""),970.095)</f>
        <v>970.09500000000003</v>
      </c>
      <c r="C104" s="1">
        <f ca="1">IFERROR(__xludf.DUMMYFUNCTION("""COMPUTED_VALUE"""),1515.298)</f>
        <v>1515.298</v>
      </c>
      <c r="D104" s="1">
        <f ca="1">IFERROR(__xludf.DUMMYFUNCTION("""COMPUTED_VALUE"""),9915.759)</f>
        <v>9915.759</v>
      </c>
    </row>
    <row r="105" spans="1:4" ht="13" x14ac:dyDescent="0.15">
      <c r="A105" s="1">
        <f ca="1">IFERROR(__xludf.DUMMYFUNCTION("""COMPUTED_VALUE"""),550)</f>
        <v>550</v>
      </c>
      <c r="B105" s="1">
        <f ca="1">IFERROR(__xludf.DUMMYFUNCTION("""COMPUTED_VALUE"""),399.747)</f>
        <v>399.74700000000001</v>
      </c>
      <c r="C105" s="1">
        <f ca="1">IFERROR(__xludf.DUMMYFUNCTION("""COMPUTED_VALUE"""),1403.253)</f>
        <v>1403.2529999999999</v>
      </c>
      <c r="D105" s="1">
        <f ca="1">IFERROR(__xludf.DUMMYFUNCTION("""COMPUTED_VALUE"""),8589.881)</f>
        <v>8589.8809999999994</v>
      </c>
    </row>
    <row r="106" spans="1:4" ht="13" x14ac:dyDescent="0.15">
      <c r="A106" s="1">
        <f ca="1">IFERROR(__xludf.DUMMYFUNCTION("""COMPUTED_VALUE"""),761)</f>
        <v>761</v>
      </c>
      <c r="B106" s="1">
        <f ca="1">IFERROR(__xludf.DUMMYFUNCTION("""COMPUTED_VALUE"""),5460.712)</f>
        <v>5460.7120000000004</v>
      </c>
      <c r="C106" s="1">
        <f ca="1">IFERROR(__xludf.DUMMYFUNCTION("""COMPUTED_VALUE"""),8754.626)</f>
        <v>8754.6260000000002</v>
      </c>
      <c r="D106" s="1">
        <f ca="1">IFERROR(__xludf.DUMMYFUNCTION("""COMPUTED_VALUE"""),59299.092)</f>
        <v>59299.091999999997</v>
      </c>
    </row>
    <row r="107" spans="1:4" ht="13" x14ac:dyDescent="0.15">
      <c r="A107" s="1">
        <f ca="1">IFERROR(__xludf.DUMMYFUNCTION("""COMPUTED_VALUE"""),1378)</f>
        <v>1378</v>
      </c>
      <c r="B107" s="1">
        <f ca="1">IFERROR(__xludf.DUMMYFUNCTION("""COMPUTED_VALUE"""),11.634)</f>
        <v>11.634</v>
      </c>
      <c r="C107" s="1">
        <f ca="1">IFERROR(__xludf.DUMMYFUNCTION("""COMPUTED_VALUE"""),20.94)</f>
        <v>20.94</v>
      </c>
      <c r="D107" s="1">
        <f ca="1">IFERROR(__xludf.DUMMYFUNCTION("""COMPUTED_VALUE"""),108.713)</f>
        <v>108.71299999999999</v>
      </c>
    </row>
    <row r="108" spans="1:4" ht="13" x14ac:dyDescent="0.15">
      <c r="A108" s="1">
        <f ca="1">IFERROR(__xludf.DUMMYFUNCTION("""COMPUTED_VALUE"""),1216)</f>
        <v>1216</v>
      </c>
      <c r="B108" s="1">
        <f ca="1">IFERROR(__xludf.DUMMYFUNCTION("""COMPUTED_VALUE"""),5.93)</f>
        <v>5.93</v>
      </c>
      <c r="C108" s="1">
        <f ca="1">IFERROR(__xludf.DUMMYFUNCTION("""COMPUTED_VALUE"""),8.091)</f>
        <v>8.0909999999999993</v>
      </c>
      <c r="D108" s="1">
        <f ca="1">IFERROR(__xludf.DUMMYFUNCTION("""COMPUTED_VALUE"""),49.48)</f>
        <v>49.48</v>
      </c>
    </row>
    <row r="109" spans="1:4" ht="13" x14ac:dyDescent="0.15">
      <c r="A109" s="1">
        <f ca="1">IFERROR(__xludf.DUMMYFUNCTION("""COMPUTED_VALUE"""),119)</f>
        <v>119</v>
      </c>
      <c r="B109" s="1">
        <f ca="1">IFERROR(__xludf.DUMMYFUNCTION("""COMPUTED_VALUE"""),14.578)</f>
        <v>14.577999999999999</v>
      </c>
      <c r="C109" s="1">
        <f ca="1">IFERROR(__xludf.DUMMYFUNCTION("""COMPUTED_VALUE"""),30.807)</f>
        <v>30.806999999999999</v>
      </c>
      <c r="D109" s="1">
        <f ca="1">IFERROR(__xludf.DUMMYFUNCTION("""COMPUTED_VALUE"""),149.21)</f>
        <v>149.21</v>
      </c>
    </row>
    <row r="110" spans="1:4" ht="13" x14ac:dyDescent="0.15">
      <c r="A110" s="1">
        <f ca="1">IFERROR(__xludf.DUMMYFUNCTION("""COMPUTED_VALUE"""),314)</f>
        <v>314</v>
      </c>
      <c r="B110" s="1">
        <f ca="1">IFERROR(__xludf.DUMMYFUNCTION("""COMPUTED_VALUE"""),5.262)</f>
        <v>5.2619999999999996</v>
      </c>
      <c r="C110" s="1">
        <f ca="1">IFERROR(__xludf.DUMMYFUNCTION("""COMPUTED_VALUE"""),8.188)</f>
        <v>8.1880000000000006</v>
      </c>
      <c r="D110" s="1">
        <f ca="1">IFERROR(__xludf.DUMMYFUNCTION("""COMPUTED_VALUE"""),49.778)</f>
        <v>49.777999999999999</v>
      </c>
    </row>
    <row r="111" spans="1:4" ht="13" x14ac:dyDescent="0.15">
      <c r="A111" s="1">
        <f ca="1">IFERROR(__xludf.DUMMYFUNCTION("""COMPUTED_VALUE"""),358)</f>
        <v>358</v>
      </c>
      <c r="B111" s="1">
        <f ca="1">IFERROR(__xludf.DUMMYFUNCTION("""COMPUTED_VALUE"""),5.055)</f>
        <v>5.0549999999999997</v>
      </c>
      <c r="C111" s="1">
        <f ca="1">IFERROR(__xludf.DUMMYFUNCTION("""COMPUTED_VALUE"""),6.736)</f>
        <v>6.7359999999999998</v>
      </c>
      <c r="D111" s="1">
        <f ca="1">IFERROR(__xludf.DUMMYFUNCTION("""COMPUTED_VALUE"""),36.404)</f>
        <v>36.404000000000003</v>
      </c>
    </row>
    <row r="112" spans="1:4" ht="13" x14ac:dyDescent="0.15">
      <c r="A112" s="1">
        <f ca="1">IFERROR(__xludf.DUMMYFUNCTION("""COMPUTED_VALUE"""),678)</f>
        <v>678</v>
      </c>
      <c r="B112" s="1">
        <f ca="1">IFERROR(__xludf.DUMMYFUNCTION("""COMPUTED_VALUE"""),5.597)</f>
        <v>5.5970000000000004</v>
      </c>
      <c r="C112" s="1">
        <f ca="1">IFERROR(__xludf.DUMMYFUNCTION("""COMPUTED_VALUE"""),6.248)</f>
        <v>6.2480000000000002</v>
      </c>
      <c r="D112" s="1">
        <f ca="1">IFERROR(__xludf.DUMMYFUNCTION("""COMPUTED_VALUE"""),40.168)</f>
        <v>40.167999999999999</v>
      </c>
    </row>
    <row r="113" spans="1:4" ht="13" x14ac:dyDescent="0.15">
      <c r="A113" s="1">
        <f ca="1">IFERROR(__xludf.DUMMYFUNCTION("""COMPUTED_VALUE"""),814)</f>
        <v>814</v>
      </c>
      <c r="B113" s="1">
        <f ca="1">IFERROR(__xludf.DUMMYFUNCTION("""COMPUTED_VALUE"""),6.132)</f>
        <v>6.1319999999999997</v>
      </c>
      <c r="C113" s="1">
        <f ca="1">IFERROR(__xludf.DUMMYFUNCTION("""COMPUTED_VALUE"""),11.259)</f>
        <v>11.259</v>
      </c>
      <c r="D113" s="1">
        <f ca="1">IFERROR(__xludf.DUMMYFUNCTION("""COMPUTED_VALUE"""),62.779)</f>
        <v>62.779000000000003</v>
      </c>
    </row>
    <row r="114" spans="1:4" ht="13" x14ac:dyDescent="0.15">
      <c r="A114" s="1">
        <f ca="1">IFERROR(__xludf.DUMMYFUNCTION("""COMPUTED_VALUE"""),661)</f>
        <v>661</v>
      </c>
      <c r="B114" s="1">
        <f ca="1">IFERROR(__xludf.DUMMYFUNCTION("""COMPUTED_VALUE"""),5.746)</f>
        <v>5.7460000000000004</v>
      </c>
      <c r="C114" s="1">
        <f ca="1">IFERROR(__xludf.DUMMYFUNCTION("""COMPUTED_VALUE"""),10.302)</f>
        <v>10.302</v>
      </c>
      <c r="D114" s="1">
        <f ca="1">IFERROR(__xludf.DUMMYFUNCTION("""COMPUTED_VALUE"""),61.91)</f>
        <v>61.91</v>
      </c>
    </row>
    <row r="115" spans="1:4" ht="13" x14ac:dyDescent="0.15">
      <c r="A115" s="1">
        <f ca="1">IFERROR(__xludf.DUMMYFUNCTION("""COMPUTED_VALUE"""),84)</f>
        <v>84</v>
      </c>
      <c r="B115" s="1">
        <f ca="1">IFERROR(__xludf.DUMMYFUNCTION("""COMPUTED_VALUE"""),7.309)</f>
        <v>7.3090000000000002</v>
      </c>
      <c r="C115" s="1">
        <f ca="1">IFERROR(__xludf.DUMMYFUNCTION("""COMPUTED_VALUE"""),20.143)</f>
        <v>20.143000000000001</v>
      </c>
      <c r="D115" s="1">
        <f ca="1">IFERROR(__xludf.DUMMYFUNCTION("""COMPUTED_VALUE"""),110.703)</f>
        <v>110.703</v>
      </c>
    </row>
    <row r="116" spans="1:4" ht="13" x14ac:dyDescent="0.15">
      <c r="A116" s="1">
        <f ca="1">IFERROR(__xludf.DUMMYFUNCTION("""COMPUTED_VALUE"""),102)</f>
        <v>102</v>
      </c>
      <c r="B116" s="1">
        <f ca="1">IFERROR(__xludf.DUMMYFUNCTION("""COMPUTED_VALUE"""),9.256)</f>
        <v>9.2560000000000002</v>
      </c>
      <c r="C116" s="1">
        <f ca="1">IFERROR(__xludf.DUMMYFUNCTION("""COMPUTED_VALUE"""),12.024)</f>
        <v>12.023999999999999</v>
      </c>
      <c r="D116" s="1">
        <f ca="1">IFERROR(__xludf.DUMMYFUNCTION("""COMPUTED_VALUE"""),67.83)</f>
        <v>67.83</v>
      </c>
    </row>
    <row r="117" spans="1:4" ht="13" x14ac:dyDescent="0.15">
      <c r="A117" s="1">
        <f ca="1">IFERROR(__xludf.DUMMYFUNCTION("""COMPUTED_VALUE"""),92)</f>
        <v>92</v>
      </c>
      <c r="B117" s="1">
        <f ca="1">IFERROR(__xludf.DUMMYFUNCTION("""COMPUTED_VALUE"""),7.267)</f>
        <v>7.2670000000000003</v>
      </c>
      <c r="C117" s="1">
        <f ca="1">IFERROR(__xludf.DUMMYFUNCTION("""COMPUTED_VALUE"""),8.629)</f>
        <v>8.6289999999999996</v>
      </c>
      <c r="D117" s="1">
        <f ca="1">IFERROR(__xludf.DUMMYFUNCTION("""COMPUTED_VALUE"""),51.231)</f>
        <v>51.231000000000002</v>
      </c>
    </row>
    <row r="118" spans="1:4" ht="13" x14ac:dyDescent="0.15">
      <c r="A118" s="1">
        <f ca="1">IFERROR(__xludf.DUMMYFUNCTION("""COMPUTED_VALUE"""),107)</f>
        <v>107</v>
      </c>
      <c r="B118" s="1">
        <f ca="1">IFERROR(__xludf.DUMMYFUNCTION("""COMPUTED_VALUE"""),3.325)</f>
        <v>3.3250000000000002</v>
      </c>
      <c r="C118" s="1">
        <f ca="1">IFERROR(__xludf.DUMMYFUNCTION("""COMPUTED_VALUE"""),8.961)</f>
        <v>8.9610000000000003</v>
      </c>
      <c r="D118" s="1">
        <f ca="1">IFERROR(__xludf.DUMMYFUNCTION("""COMPUTED_VALUE"""),53.754)</f>
        <v>53.753999999999998</v>
      </c>
    </row>
    <row r="119" spans="1:4" ht="13" x14ac:dyDescent="0.15">
      <c r="A119" s="1">
        <f ca="1">IFERROR(__xludf.DUMMYFUNCTION("""COMPUTED_VALUE"""),83)</f>
        <v>83</v>
      </c>
      <c r="B119" s="1">
        <f ca="1">IFERROR(__xludf.DUMMYFUNCTION("""COMPUTED_VALUE"""),6.289)</f>
        <v>6.2889999999999997</v>
      </c>
      <c r="C119" s="1">
        <f ca="1">IFERROR(__xludf.DUMMYFUNCTION("""COMPUTED_VALUE"""),7.818)</f>
        <v>7.8179999999999996</v>
      </c>
      <c r="D119" s="1">
        <f ca="1">IFERROR(__xludf.DUMMYFUNCTION("""COMPUTED_VALUE"""),54.895)</f>
        <v>54.895000000000003</v>
      </c>
    </row>
    <row r="120" spans="1:4" ht="13" x14ac:dyDescent="0.15">
      <c r="A120" s="1">
        <f ca="1">IFERROR(__xludf.DUMMYFUNCTION("""COMPUTED_VALUE"""),84)</f>
        <v>84</v>
      </c>
      <c r="B120" s="1">
        <f ca="1">IFERROR(__xludf.DUMMYFUNCTION("""COMPUTED_VALUE"""),3.58)</f>
        <v>3.58</v>
      </c>
      <c r="C120" s="1">
        <f ca="1">IFERROR(__xludf.DUMMYFUNCTION("""COMPUTED_VALUE"""),12.289)</f>
        <v>12.289</v>
      </c>
      <c r="D120" s="1">
        <f ca="1">IFERROR(__xludf.DUMMYFUNCTION("""COMPUTED_VALUE"""),84.071)</f>
        <v>84.070999999999998</v>
      </c>
    </row>
    <row r="121" spans="1:4" ht="13" x14ac:dyDescent="0.15">
      <c r="A121" s="1">
        <f ca="1">IFERROR(__xludf.DUMMYFUNCTION("""COMPUTED_VALUE"""),221)</f>
        <v>221</v>
      </c>
      <c r="B121" s="1">
        <f ca="1">IFERROR(__xludf.DUMMYFUNCTION("""COMPUTED_VALUE"""),6.438)</f>
        <v>6.4379999999999997</v>
      </c>
      <c r="C121" s="1">
        <f ca="1">IFERROR(__xludf.DUMMYFUNCTION("""COMPUTED_VALUE"""),9.049)</f>
        <v>9.0489999999999995</v>
      </c>
      <c r="D121" s="1">
        <f ca="1">IFERROR(__xludf.DUMMYFUNCTION("""COMPUTED_VALUE"""),70.813)</f>
        <v>70.813000000000002</v>
      </c>
    </row>
    <row r="122" spans="1:4" ht="13" x14ac:dyDescent="0.15">
      <c r="A122" s="1">
        <f ca="1">IFERROR(__xludf.DUMMYFUNCTION("""COMPUTED_VALUE"""),213)</f>
        <v>213</v>
      </c>
      <c r="B122" s="1">
        <f ca="1">IFERROR(__xludf.DUMMYFUNCTION("""COMPUTED_VALUE"""),6.331)</f>
        <v>6.3310000000000004</v>
      </c>
      <c r="C122" s="1">
        <f ca="1">IFERROR(__xludf.DUMMYFUNCTION("""COMPUTED_VALUE"""),10.916)</f>
        <v>10.916</v>
      </c>
      <c r="D122" s="1">
        <f ca="1">IFERROR(__xludf.DUMMYFUNCTION("""COMPUTED_VALUE"""),65.096)</f>
        <v>65.096000000000004</v>
      </c>
    </row>
    <row r="123" spans="1:4" ht="13" x14ac:dyDescent="0.15">
      <c r="A123" s="1">
        <f ca="1">IFERROR(__xludf.DUMMYFUNCTION("""COMPUTED_VALUE"""),296)</f>
        <v>296</v>
      </c>
      <c r="B123" s="1">
        <f ca="1">IFERROR(__xludf.DUMMYFUNCTION("""COMPUTED_VALUE"""),11.07)</f>
        <v>11.07</v>
      </c>
      <c r="C123" s="1">
        <f ca="1">IFERROR(__xludf.DUMMYFUNCTION("""COMPUTED_VALUE"""),12.37)</f>
        <v>12.37</v>
      </c>
      <c r="D123" s="1">
        <f ca="1">IFERROR(__xludf.DUMMYFUNCTION("""COMPUTED_VALUE"""),77.342)</f>
        <v>77.341999999999999</v>
      </c>
    </row>
    <row r="124" spans="1:4" ht="13" x14ac:dyDescent="0.15">
      <c r="A124" s="1">
        <f ca="1">IFERROR(__xludf.DUMMYFUNCTION("""COMPUTED_VALUE"""),302)</f>
        <v>302</v>
      </c>
      <c r="B124" s="1">
        <f ca="1">IFERROR(__xludf.DUMMYFUNCTION("""COMPUTED_VALUE"""),137.662)</f>
        <v>137.66200000000001</v>
      </c>
      <c r="C124" s="1">
        <f ca="1">IFERROR(__xludf.DUMMYFUNCTION("""COMPUTED_VALUE"""),233.896)</f>
        <v>233.89599999999999</v>
      </c>
      <c r="D124" s="1">
        <f ca="1">IFERROR(__xludf.DUMMYFUNCTION("""COMPUTED_VALUE"""),1321.1)</f>
        <v>1321.1</v>
      </c>
    </row>
    <row r="125" spans="1:4" ht="13" x14ac:dyDescent="0.15">
      <c r="A125" s="1">
        <f ca="1">IFERROR(__xludf.DUMMYFUNCTION("""COMPUTED_VALUE"""),296)</f>
        <v>296</v>
      </c>
      <c r="B125" s="1">
        <f ca="1">IFERROR(__xludf.DUMMYFUNCTION("""COMPUTED_VALUE"""),48.78)</f>
        <v>48.78</v>
      </c>
      <c r="C125" s="1">
        <f ca="1">IFERROR(__xludf.DUMMYFUNCTION("""COMPUTED_VALUE"""),70.284)</f>
        <v>70.284000000000006</v>
      </c>
      <c r="D125" s="1">
        <f ca="1">IFERROR(__xludf.DUMMYFUNCTION("""COMPUTED_VALUE"""),667.221)</f>
        <v>667.221</v>
      </c>
    </row>
    <row r="126" spans="1:4" ht="13" x14ac:dyDescent="0.15">
      <c r="A126" s="1">
        <f ca="1">IFERROR(__xludf.DUMMYFUNCTION("""COMPUTED_VALUE"""),878)</f>
        <v>878</v>
      </c>
      <c r="B126" s="1">
        <f ca="1">IFERROR(__xludf.DUMMYFUNCTION("""COMPUTED_VALUE"""),153.834)</f>
        <v>153.834</v>
      </c>
      <c r="C126" s="1">
        <f ca="1">IFERROR(__xludf.DUMMYFUNCTION("""COMPUTED_VALUE"""),390.645)</f>
        <v>390.64499999999998</v>
      </c>
      <c r="D126" s="1">
        <f ca="1">IFERROR(__xludf.DUMMYFUNCTION("""COMPUTED_VALUE"""),1828.112)</f>
        <v>1828.1120000000001</v>
      </c>
    </row>
    <row r="127" spans="1:4" ht="13" x14ac:dyDescent="0.15">
      <c r="A127" s="1">
        <f ca="1">IFERROR(__xludf.DUMMYFUNCTION("""COMPUTED_VALUE"""),771)</f>
        <v>771</v>
      </c>
      <c r="B127" s="1">
        <f ca="1">IFERROR(__xludf.DUMMYFUNCTION("""COMPUTED_VALUE"""),52.512)</f>
        <v>52.512</v>
      </c>
      <c r="C127" s="1">
        <f ca="1">IFERROR(__xludf.DUMMYFUNCTION("""COMPUTED_VALUE"""),121.318)</f>
        <v>121.318</v>
      </c>
      <c r="D127" s="1">
        <f ca="1">IFERROR(__xludf.DUMMYFUNCTION("""COMPUTED_VALUE"""),814.63)</f>
        <v>814.63</v>
      </c>
    </row>
    <row r="128" spans="1:4" ht="13" x14ac:dyDescent="0.15">
      <c r="A128" s="1">
        <f ca="1">IFERROR(__xludf.DUMMYFUNCTION("""COMPUTED_VALUE"""),454)</f>
        <v>454</v>
      </c>
      <c r="B128" s="1">
        <f ca="1">IFERROR(__xludf.DUMMYFUNCTION("""COMPUTED_VALUE"""),52.937)</f>
        <v>52.936999999999998</v>
      </c>
      <c r="C128" s="1">
        <f ca="1">IFERROR(__xludf.DUMMYFUNCTION("""COMPUTED_VALUE"""),69.478)</f>
        <v>69.477999999999994</v>
      </c>
      <c r="D128" s="1">
        <f ca="1">IFERROR(__xludf.DUMMYFUNCTION("""COMPUTED_VALUE"""),631.931)</f>
        <v>631.93100000000004</v>
      </c>
    </row>
    <row r="129" spans="1:4" ht="13" x14ac:dyDescent="0.15">
      <c r="A129" s="1">
        <f ca="1">IFERROR(__xludf.DUMMYFUNCTION("""COMPUTED_VALUE"""),571)</f>
        <v>571</v>
      </c>
      <c r="B129" s="1">
        <f ca="1">IFERROR(__xludf.DUMMYFUNCTION("""COMPUTED_VALUE"""),127.221)</f>
        <v>127.221</v>
      </c>
      <c r="C129" s="1">
        <f ca="1">IFERROR(__xludf.DUMMYFUNCTION("""COMPUTED_VALUE"""),219.606)</f>
        <v>219.60599999999999</v>
      </c>
      <c r="D129" s="1">
        <f ca="1">IFERROR(__xludf.DUMMYFUNCTION("""COMPUTED_VALUE"""),1237.484)</f>
        <v>1237.4839999999999</v>
      </c>
    </row>
    <row r="130" spans="1:4" ht="13" x14ac:dyDescent="0.15">
      <c r="A130" s="1">
        <f ca="1">IFERROR(__xludf.DUMMYFUNCTION("""COMPUTED_VALUE"""),1779)</f>
        <v>1779</v>
      </c>
      <c r="B130" s="1">
        <f ca="1">IFERROR(__xludf.DUMMYFUNCTION("""COMPUTED_VALUE"""),117.947)</f>
        <v>117.947</v>
      </c>
      <c r="C130" s="1">
        <f ca="1">IFERROR(__xludf.DUMMYFUNCTION("""COMPUTED_VALUE"""),267.899)</f>
        <v>267.899</v>
      </c>
      <c r="D130" s="1">
        <f ca="1">IFERROR(__xludf.DUMMYFUNCTION("""COMPUTED_VALUE"""),1483.554)</f>
        <v>1483.5540000000001</v>
      </c>
    </row>
    <row r="131" spans="1:4" ht="13" x14ac:dyDescent="0.15">
      <c r="A131" s="1">
        <f ca="1">IFERROR(__xludf.DUMMYFUNCTION("""COMPUTED_VALUE"""),1407)</f>
        <v>1407</v>
      </c>
      <c r="B131" s="1">
        <f ca="1">IFERROR(__xludf.DUMMYFUNCTION("""COMPUTED_VALUE"""),65.383)</f>
        <v>65.382999999999996</v>
      </c>
      <c r="C131" s="1">
        <f ca="1">IFERROR(__xludf.DUMMYFUNCTION("""COMPUTED_VALUE"""),141.969)</f>
        <v>141.96899999999999</v>
      </c>
      <c r="D131" s="1">
        <f ca="1">IFERROR(__xludf.DUMMYFUNCTION("""COMPUTED_VALUE"""),1107.158)</f>
        <v>1107.1579999999999</v>
      </c>
    </row>
    <row r="132" spans="1:4" ht="13" x14ac:dyDescent="0.15">
      <c r="A132" s="1">
        <f ca="1">IFERROR(__xludf.DUMMYFUNCTION("""COMPUTED_VALUE"""),358)</f>
        <v>358</v>
      </c>
      <c r="B132" s="1">
        <f ca="1">IFERROR(__xludf.DUMMYFUNCTION("""COMPUTED_VALUE"""),49.131)</f>
        <v>49.131</v>
      </c>
      <c r="C132" s="1">
        <f ca="1">IFERROR(__xludf.DUMMYFUNCTION("""COMPUTED_VALUE"""),99.167)</f>
        <v>99.167000000000002</v>
      </c>
      <c r="D132" s="1">
        <f ca="1">IFERROR(__xludf.DUMMYFUNCTION("""COMPUTED_VALUE"""),903.178)</f>
        <v>903.178</v>
      </c>
    </row>
    <row r="133" spans="1:4" ht="13" x14ac:dyDescent="0.15">
      <c r="A133" s="1">
        <f ca="1">IFERROR(__xludf.DUMMYFUNCTION("""COMPUTED_VALUE"""),643)</f>
        <v>643</v>
      </c>
      <c r="B133" s="1">
        <f ca="1">IFERROR(__xludf.DUMMYFUNCTION("""COMPUTED_VALUE"""),38.844)</f>
        <v>38.844000000000001</v>
      </c>
      <c r="C133" s="1">
        <f ca="1">IFERROR(__xludf.DUMMYFUNCTION("""COMPUTED_VALUE"""),71.502)</f>
        <v>71.501999999999995</v>
      </c>
      <c r="D133" s="1">
        <f ca="1">IFERROR(__xludf.DUMMYFUNCTION("""COMPUTED_VALUE"""),647.075)</f>
        <v>647.07500000000005</v>
      </c>
    </row>
    <row r="134" spans="1:4" ht="13" x14ac:dyDescent="0.15">
      <c r="A134" s="1">
        <f ca="1">IFERROR(__xludf.DUMMYFUNCTION("""COMPUTED_VALUE"""),599)</f>
        <v>599</v>
      </c>
      <c r="B134" s="1">
        <f ca="1">IFERROR(__xludf.DUMMYFUNCTION("""COMPUTED_VALUE"""),23.723)</f>
        <v>23.722999999999999</v>
      </c>
      <c r="C134" s="1">
        <f ca="1">IFERROR(__xludf.DUMMYFUNCTION("""COMPUTED_VALUE"""),121.372)</f>
        <v>121.372</v>
      </c>
      <c r="D134" s="1">
        <f ca="1">IFERROR(__xludf.DUMMYFUNCTION("""COMPUTED_VALUE"""),1047.152)</f>
        <v>1047.152</v>
      </c>
    </row>
    <row r="135" spans="1:4" ht="13" x14ac:dyDescent="0.15">
      <c r="A135" s="1">
        <f ca="1">IFERROR(__xludf.DUMMYFUNCTION("""COMPUTED_VALUE"""),1380)</f>
        <v>1380</v>
      </c>
      <c r="B135" s="1">
        <f ca="1">IFERROR(__xludf.DUMMYFUNCTION("""COMPUTED_VALUE"""),70.389)</f>
        <v>70.388999999999996</v>
      </c>
      <c r="C135" s="1">
        <f ca="1">IFERROR(__xludf.DUMMYFUNCTION("""COMPUTED_VALUE"""),120.866)</f>
        <v>120.866</v>
      </c>
      <c r="D135" s="1">
        <f ca="1">IFERROR(__xludf.DUMMYFUNCTION("""COMPUTED_VALUE"""),982.063)</f>
        <v>982.06299999999999</v>
      </c>
    </row>
    <row r="136" spans="1:4" ht="13" x14ac:dyDescent="0.15">
      <c r="A136" s="1">
        <f ca="1">IFERROR(__xludf.DUMMYFUNCTION("""COMPUTED_VALUE"""),221)</f>
        <v>221</v>
      </c>
      <c r="B136" s="1">
        <f ca="1">IFERROR(__xludf.DUMMYFUNCTION("""COMPUTED_VALUE"""),70.089)</f>
        <v>70.088999999999999</v>
      </c>
      <c r="C136" s="1">
        <f ca="1">IFERROR(__xludf.DUMMYFUNCTION("""COMPUTED_VALUE"""),106.952)</f>
        <v>106.952</v>
      </c>
      <c r="D136" s="1">
        <f ca="1">IFERROR(__xludf.DUMMYFUNCTION("""COMPUTED_VALUE"""),773.01)</f>
        <v>773.01</v>
      </c>
    </row>
    <row r="137" spans="1:4" ht="13" x14ac:dyDescent="0.15">
      <c r="A137" s="1">
        <f ca="1">IFERROR(__xludf.DUMMYFUNCTION("""COMPUTED_VALUE"""),213)</f>
        <v>213</v>
      </c>
      <c r="B137" s="1">
        <f ca="1">IFERROR(__xludf.DUMMYFUNCTION("""COMPUTED_VALUE"""),103.562)</f>
        <v>103.562</v>
      </c>
      <c r="C137" s="1">
        <f ca="1">IFERROR(__xludf.DUMMYFUNCTION("""COMPUTED_VALUE"""),132.04)</f>
        <v>132.04</v>
      </c>
      <c r="D137" s="1">
        <f ca="1">IFERROR(__xludf.DUMMYFUNCTION("""COMPUTED_VALUE"""),982.887)</f>
        <v>982.88699999999994</v>
      </c>
    </row>
    <row r="138" spans="1:4" ht="13" x14ac:dyDescent="0.15">
      <c r="A138" s="1">
        <f ca="1">IFERROR(__xludf.DUMMYFUNCTION("""COMPUTED_VALUE"""),290)</f>
        <v>290</v>
      </c>
      <c r="B138" s="1">
        <f ca="1">IFERROR(__xludf.DUMMYFUNCTION("""COMPUTED_VALUE"""),670.48)</f>
        <v>670.48</v>
      </c>
      <c r="C138" s="1">
        <f ca="1">IFERROR(__xludf.DUMMYFUNCTION("""COMPUTED_VALUE"""),1715.386)</f>
        <v>1715.386</v>
      </c>
      <c r="D138" s="1">
        <f ca="1">IFERROR(__xludf.DUMMYFUNCTION("""COMPUTED_VALUE"""),9272.02)</f>
        <v>9272.02</v>
      </c>
    </row>
    <row r="139" spans="1:4" ht="13" x14ac:dyDescent="0.15">
      <c r="A139" s="1">
        <f ca="1">IFERROR(__xludf.DUMMYFUNCTION("""COMPUTED_VALUE"""),219)</f>
        <v>219</v>
      </c>
      <c r="B139" s="1">
        <f ca="1">IFERROR(__xludf.DUMMYFUNCTION("""COMPUTED_VALUE"""),395.471)</f>
        <v>395.471</v>
      </c>
      <c r="C139" s="1">
        <f ca="1">IFERROR(__xludf.DUMMYFUNCTION("""COMPUTED_VALUE"""),555.754)</f>
        <v>555.75400000000002</v>
      </c>
      <c r="D139" s="1">
        <f ca="1">IFERROR(__xludf.DUMMYFUNCTION("""COMPUTED_VALUE"""),5209.923)</f>
        <v>5209.9229999999998</v>
      </c>
    </row>
    <row r="140" spans="1:4" ht="13" x14ac:dyDescent="0.15">
      <c r="A140" s="1">
        <f ca="1">IFERROR(__xludf.DUMMYFUNCTION("""COMPUTED_VALUE"""),281)</f>
        <v>281</v>
      </c>
      <c r="B140" s="1">
        <f ca="1">IFERROR(__xludf.DUMMYFUNCTION("""COMPUTED_VALUE"""),330.708)</f>
        <v>330.70800000000003</v>
      </c>
      <c r="C140" s="1">
        <f ca="1">IFERROR(__xludf.DUMMYFUNCTION("""COMPUTED_VALUE"""),2546.365)</f>
        <v>2546.3649999999998</v>
      </c>
      <c r="D140" s="1">
        <f ca="1">IFERROR(__xludf.DUMMYFUNCTION("""COMPUTED_VALUE"""),11432.892)</f>
        <v>11432.892</v>
      </c>
    </row>
    <row r="141" spans="1:4" ht="13" x14ac:dyDescent="0.15">
      <c r="A141" s="1">
        <f ca="1">IFERROR(__xludf.DUMMYFUNCTION("""COMPUTED_VALUE"""),534)</f>
        <v>534</v>
      </c>
      <c r="B141" s="1">
        <f ca="1">IFERROR(__xludf.DUMMYFUNCTION("""COMPUTED_VALUE"""),247.777)</f>
        <v>247.77699999999999</v>
      </c>
      <c r="C141" s="1">
        <f ca="1">IFERROR(__xludf.DUMMYFUNCTION("""COMPUTED_VALUE"""),712.577)</f>
        <v>712.577</v>
      </c>
      <c r="D141" s="1">
        <f ca="1">IFERROR(__xludf.DUMMYFUNCTION("""COMPUTED_VALUE"""),5348.334)</f>
        <v>5348.3339999999998</v>
      </c>
    </row>
    <row r="142" spans="1:4" ht="13" x14ac:dyDescent="0.15">
      <c r="A142" s="1">
        <f ca="1">IFERROR(__xludf.DUMMYFUNCTION("""COMPUTED_VALUE"""),524)</f>
        <v>524</v>
      </c>
      <c r="B142" s="1">
        <f ca="1">IFERROR(__xludf.DUMMYFUNCTION("""COMPUTED_VALUE"""),407.58)</f>
        <v>407.58</v>
      </c>
      <c r="C142" s="1">
        <f ca="1">IFERROR(__xludf.DUMMYFUNCTION("""COMPUTED_VALUE"""),560.572)</f>
        <v>560.572</v>
      </c>
      <c r="D142" s="1">
        <f ca="1">IFERROR(__xludf.DUMMYFUNCTION("""COMPUTED_VALUE"""),5270.692)</f>
        <v>5270.692</v>
      </c>
    </row>
    <row r="143" spans="1:4" ht="13" x14ac:dyDescent="0.15">
      <c r="A143" s="1">
        <f ca="1">IFERROR(__xludf.DUMMYFUNCTION("""COMPUTED_VALUE"""),761)</f>
        <v>761</v>
      </c>
      <c r="B143" s="1">
        <f ca="1">IFERROR(__xludf.DUMMYFUNCTION("""COMPUTED_VALUE"""),955.695)</f>
        <v>955.69500000000005</v>
      </c>
      <c r="C143" s="1">
        <f ca="1">IFERROR(__xludf.DUMMYFUNCTION("""COMPUTED_VALUE"""),2217.305)</f>
        <v>2217.3049999999998</v>
      </c>
      <c r="D143" s="1">
        <f ca="1">IFERROR(__xludf.DUMMYFUNCTION("""COMPUTED_VALUE"""),13563.586)</f>
        <v>13563.585999999999</v>
      </c>
    </row>
    <row r="144" spans="1:4" ht="13" x14ac:dyDescent="0.15">
      <c r="A144" s="1">
        <f ca="1">IFERROR(__xludf.DUMMYFUNCTION("""COMPUTED_VALUE"""),454)</f>
        <v>454</v>
      </c>
      <c r="B144" s="1">
        <f ca="1">IFERROR(__xludf.DUMMYFUNCTION("""COMPUTED_VALUE"""),914.965)</f>
        <v>914.96500000000003</v>
      </c>
      <c r="C144" s="1">
        <f ca="1">IFERROR(__xludf.DUMMYFUNCTION("""COMPUTED_VALUE"""),2221.845)</f>
        <v>2221.8449999999998</v>
      </c>
      <c r="D144" s="1">
        <f ca="1">IFERROR(__xludf.DUMMYFUNCTION("""COMPUTED_VALUE"""),11603.525)</f>
        <v>11603.525</v>
      </c>
    </row>
    <row r="145" spans="1:4" ht="13" x14ac:dyDescent="0.15">
      <c r="A145" s="1">
        <f ca="1">IFERROR(__xludf.DUMMYFUNCTION("""COMPUTED_VALUE"""),571)</f>
        <v>571</v>
      </c>
      <c r="B145" s="1">
        <f ca="1">IFERROR(__xludf.DUMMYFUNCTION("""COMPUTED_VALUE"""),580.143)</f>
        <v>580.14300000000003</v>
      </c>
      <c r="C145" s="1">
        <f ca="1">IFERROR(__xludf.DUMMYFUNCTION("""COMPUTED_VALUE"""),1570.964)</f>
        <v>1570.9639999999999</v>
      </c>
      <c r="D145" s="1">
        <f ca="1">IFERROR(__xludf.DUMMYFUNCTION("""COMPUTED_VALUE"""),11557.334)</f>
        <v>11557.334000000001</v>
      </c>
    </row>
    <row r="146" spans="1:4" ht="13" x14ac:dyDescent="0.15">
      <c r="A146" s="1">
        <f ca="1">IFERROR(__xludf.DUMMYFUNCTION("""COMPUTED_VALUE"""),1216)</f>
        <v>1216</v>
      </c>
      <c r="B146" s="1">
        <f ca="1">IFERROR(__xludf.DUMMYFUNCTION("""COMPUTED_VALUE"""),208.629)</f>
        <v>208.62899999999999</v>
      </c>
      <c r="C146" s="1">
        <f ca="1">IFERROR(__xludf.DUMMYFUNCTION("""COMPUTED_VALUE"""),497.335)</f>
        <v>497.33499999999998</v>
      </c>
      <c r="D146" s="1">
        <f ca="1">IFERROR(__xludf.DUMMYFUNCTION("""COMPUTED_VALUE"""),4475.164)</f>
        <v>4475.1639999999998</v>
      </c>
    </row>
    <row r="147" spans="1:4" ht="13" x14ac:dyDescent="0.15">
      <c r="A147" s="1">
        <f ca="1">IFERROR(__xludf.DUMMYFUNCTION("""COMPUTED_VALUE"""),599)</f>
        <v>599</v>
      </c>
      <c r="B147" s="1">
        <f ca="1">IFERROR(__xludf.DUMMYFUNCTION("""COMPUTED_VALUE"""),171.937)</f>
        <v>171.93700000000001</v>
      </c>
      <c r="C147" s="1">
        <f ca="1">IFERROR(__xludf.DUMMYFUNCTION("""COMPUTED_VALUE"""),1121.269)</f>
        <v>1121.269</v>
      </c>
      <c r="D147" s="1">
        <f ca="1">IFERROR(__xludf.DUMMYFUNCTION("""COMPUTED_VALUE"""),9813.583)</f>
        <v>9813.5830000000005</v>
      </c>
    </row>
    <row r="148" spans="1:4" ht="13" x14ac:dyDescent="0.15">
      <c r="A148" s="1">
        <f ca="1">IFERROR(__xludf.DUMMYFUNCTION("""COMPUTED_VALUE"""),1407)</f>
        <v>1407</v>
      </c>
      <c r="B148" s="1">
        <f ca="1">IFERROR(__xludf.DUMMYFUNCTION("""COMPUTED_VALUE"""),609.923)</f>
        <v>609.923</v>
      </c>
      <c r="C148" s="1">
        <f ca="1">IFERROR(__xludf.DUMMYFUNCTION("""COMPUTED_VALUE"""),953.304)</f>
        <v>953.30399999999997</v>
      </c>
      <c r="D148" s="1">
        <f ca="1">IFERROR(__xludf.DUMMYFUNCTION("""COMPUTED_VALUE"""),6195.536)</f>
        <v>6195.5360000000001</v>
      </c>
    </row>
    <row r="149" spans="1:4" ht="13" x14ac:dyDescent="0.15">
      <c r="A149" s="1">
        <f ca="1">IFERROR(__xludf.DUMMYFUNCTION("""COMPUTED_VALUE"""),878)</f>
        <v>878</v>
      </c>
      <c r="B149" s="1">
        <f ca="1">IFERROR(__xludf.DUMMYFUNCTION("""COMPUTED_VALUE"""),776.193)</f>
        <v>776.19299999999998</v>
      </c>
      <c r="C149" s="1">
        <f ca="1">IFERROR(__xludf.DUMMYFUNCTION("""COMPUTED_VALUE"""),981.124)</f>
        <v>981.12400000000002</v>
      </c>
      <c r="D149" s="1">
        <f ca="1">IFERROR(__xludf.DUMMYFUNCTION("""COMPUTED_VALUE"""),7099.266)</f>
        <v>7099.2659999999996</v>
      </c>
    </row>
    <row r="150" spans="1:4" ht="13" x14ac:dyDescent="0.15">
      <c r="A150" s="1">
        <f ca="1">IFERROR(__xludf.DUMMYFUNCTION("""COMPUTED_VALUE"""),555)</f>
        <v>555</v>
      </c>
      <c r="B150" s="1">
        <f ca="1">IFERROR(__xludf.DUMMYFUNCTION("""COMPUTED_VALUE"""),4037.22)</f>
        <v>4037.22</v>
      </c>
      <c r="C150" s="1">
        <f ca="1">IFERROR(__xludf.DUMMYFUNCTION("""COMPUTED_VALUE"""),10321.3)</f>
        <v>10321.299999999999</v>
      </c>
      <c r="D150" s="1">
        <f ca="1">IFERROR(__xludf.DUMMYFUNCTION("""COMPUTED_VALUE"""),51752.344)</f>
        <v>51752.343999999997</v>
      </c>
    </row>
    <row r="151" spans="1:4" ht="13" x14ac:dyDescent="0.15">
      <c r="A151" s="1">
        <f ca="1">IFERROR(__xludf.DUMMYFUNCTION("""COMPUTED_VALUE"""),761)</f>
        <v>761</v>
      </c>
      <c r="B151" s="1">
        <f ca="1">IFERROR(__xludf.DUMMYFUNCTION("""COMPUTED_VALUE"""),2638.928)</f>
        <v>2638.9279999999999</v>
      </c>
      <c r="C151" s="1">
        <f ca="1">IFERROR(__xludf.DUMMYFUNCTION("""COMPUTED_VALUE"""),3950.994)</f>
        <v>3950.9940000000001</v>
      </c>
      <c r="D151" s="1">
        <f ca="1">IFERROR(__xludf.DUMMYFUNCTION("""COMPUTED_VALUE"""),33767.185)</f>
        <v>33767.184999999998</v>
      </c>
    </row>
    <row r="152" spans="1:4" ht="13" x14ac:dyDescent="0.15">
      <c r="A152" s="1">
        <f ca="1">IFERROR(__xludf.DUMMYFUNCTION("""COMPUTED_VALUE"""),550)</f>
        <v>550</v>
      </c>
      <c r="B152" s="1">
        <f ca="1">IFERROR(__xludf.DUMMYFUNCTION("""COMPUTED_VALUE"""),1161.55)</f>
        <v>1161.55</v>
      </c>
      <c r="C152" s="1">
        <f ca="1">IFERROR(__xludf.DUMMYFUNCTION("""COMPUTED_VALUE"""),12774.398)</f>
        <v>12774.397999999999</v>
      </c>
      <c r="D152" s="1">
        <f ca="1">IFERROR(__xludf.DUMMYFUNCTION("""COMPUTED_VALUE"""),56212.906)</f>
        <v>56212.906000000003</v>
      </c>
    </row>
    <row r="153" spans="1:4" ht="13" x14ac:dyDescent="0.15">
      <c r="A153" s="1">
        <f ca="1">IFERROR(__xludf.DUMMYFUNCTION("""COMPUTED_VALUE"""),737)</f>
        <v>737</v>
      </c>
      <c r="B153" s="1">
        <f ca="1">IFERROR(__xludf.DUMMYFUNCTION("""COMPUTED_VALUE"""),1057.862)</f>
        <v>1057.8620000000001</v>
      </c>
      <c r="C153" s="1">
        <f ca="1">IFERROR(__xludf.DUMMYFUNCTION("""COMPUTED_VALUE"""),4333.058)</f>
        <v>4333.058</v>
      </c>
      <c r="D153" s="1">
        <f ca="1">IFERROR(__xludf.DUMMYFUNCTION("""COMPUTED_VALUE"""),28561.835)</f>
        <v>28561.834999999999</v>
      </c>
    </row>
    <row r="154" spans="1:4" ht="13" x14ac:dyDescent="0.15">
      <c r="A154" s="1">
        <f ca="1">IFERROR(__xludf.DUMMYFUNCTION("""COMPUTED_VALUE"""),1004)</f>
        <v>1004</v>
      </c>
      <c r="B154" s="1">
        <f ca="1">IFERROR(__xludf.DUMMYFUNCTION("""COMPUTED_VALUE"""),2429.118)</f>
        <v>2429.1179999999999</v>
      </c>
      <c r="C154" s="1">
        <f ca="1">IFERROR(__xludf.DUMMYFUNCTION("""COMPUTED_VALUE"""),3684.145)</f>
        <v>3684.145</v>
      </c>
      <c r="D154" s="1">
        <f ca="1">IFERROR(__xludf.DUMMYFUNCTION("""COMPUTED_VALUE"""),30874.688)</f>
        <v>30874.687999999998</v>
      </c>
    </row>
    <row r="155" spans="1:4" ht="13" x14ac:dyDescent="0.15">
      <c r="A155" s="1">
        <f ca="1">IFERROR(__xludf.DUMMYFUNCTION("""COMPUTED_VALUE"""),1216)</f>
        <v>1216</v>
      </c>
      <c r="B155" s="1">
        <f ca="1">IFERROR(__xludf.DUMMYFUNCTION("""COMPUTED_VALUE"""),2687.501)</f>
        <v>2687.5010000000002</v>
      </c>
      <c r="C155" s="1">
        <f ca="1">IFERROR(__xludf.DUMMYFUNCTION("""COMPUTED_VALUE"""),7592.154)</f>
        <v>7592.1540000000005</v>
      </c>
      <c r="D155" s="1">
        <f ca="1">IFERROR(__xludf.DUMMYFUNCTION("""COMPUTED_VALUE"""),50145.966)</f>
        <v>50145.966</v>
      </c>
    </row>
    <row r="156" spans="1:4" ht="13" x14ac:dyDescent="0.15">
      <c r="A156" s="1">
        <f ca="1">IFERROR(__xludf.DUMMYFUNCTION("""COMPUTED_VALUE"""),1004)</f>
        <v>1004</v>
      </c>
      <c r="B156" s="1">
        <f ca="1">IFERROR(__xludf.DUMMYFUNCTION("""COMPUTED_VALUE"""),209.439)</f>
        <v>209.43899999999999</v>
      </c>
      <c r="C156" s="1">
        <f ca="1">IFERROR(__xludf.DUMMYFUNCTION("""COMPUTED_VALUE"""),274.448)</f>
        <v>274.44799999999998</v>
      </c>
      <c r="D156" s="1">
        <f ca="1">IFERROR(__xludf.DUMMYFUNCTION("""COMPUTED_VALUE"""),1887.079)</f>
        <v>1887.079</v>
      </c>
    </row>
    <row r="157" spans="1:4" ht="13" x14ac:dyDescent="0.15">
      <c r="A157" s="1">
        <f ca="1">IFERROR(__xludf.DUMMYFUNCTION("""COMPUTED_VALUE"""),1216)</f>
        <v>1216</v>
      </c>
      <c r="B157" s="1">
        <f ca="1">IFERROR(__xludf.DUMMYFUNCTION("""COMPUTED_VALUE"""),95.817)</f>
        <v>95.816999999999993</v>
      </c>
      <c r="C157" s="1">
        <f ca="1">IFERROR(__xludf.DUMMYFUNCTION("""COMPUTED_VALUE"""),184.38)</f>
        <v>184.38</v>
      </c>
      <c r="D157" s="1">
        <f ca="1">IFERROR(__xludf.DUMMYFUNCTION("""COMPUTED_VALUE"""),1196.084)</f>
        <v>1196.0840000000001</v>
      </c>
    </row>
    <row r="158" spans="1:4" ht="13" x14ac:dyDescent="0.15">
      <c r="A158" s="1">
        <f ca="1">IFERROR(__xludf.DUMMYFUNCTION("""COMPUTED_VALUE"""),27)</f>
        <v>27</v>
      </c>
      <c r="B158" s="1">
        <f ca="1">IFERROR(__xludf.DUMMYFUNCTION("""COMPUTED_VALUE"""),106.07)</f>
        <v>106.07</v>
      </c>
      <c r="C158" s="1">
        <f ca="1">IFERROR(__xludf.DUMMYFUNCTION("""COMPUTED_VALUE"""),145.899)</f>
        <v>145.899</v>
      </c>
      <c r="D158" s="1">
        <f ca="1">IFERROR(__xludf.DUMMYFUNCTION("""COMPUTED_VALUE"""),781.049)</f>
        <v>781.04899999999998</v>
      </c>
    </row>
    <row r="159" spans="1:4" ht="13" x14ac:dyDescent="0.15">
      <c r="A159" s="1">
        <f ca="1">IFERROR(__xludf.DUMMYFUNCTION("""COMPUTED_VALUE"""),131)</f>
        <v>131</v>
      </c>
      <c r="B159" s="1">
        <f ca="1">IFERROR(__xludf.DUMMYFUNCTION("""COMPUTED_VALUE"""),45.741)</f>
        <v>45.741</v>
      </c>
      <c r="C159" s="1">
        <f ca="1">IFERROR(__xludf.DUMMYFUNCTION("""COMPUTED_VALUE"""),257.298)</f>
        <v>257.298</v>
      </c>
      <c r="D159" s="1">
        <f ca="1">IFERROR(__xludf.DUMMYFUNCTION("""COMPUTED_VALUE"""),1799.707)</f>
        <v>1799.7070000000001</v>
      </c>
    </row>
    <row r="160" spans="1:4" ht="13" x14ac:dyDescent="0.15">
      <c r="A160" s="1">
        <f ca="1">IFERROR(__xludf.DUMMYFUNCTION("""COMPUTED_VALUE"""),379)</f>
        <v>379</v>
      </c>
      <c r="B160" s="1">
        <f ca="1">IFERROR(__xludf.DUMMYFUNCTION("""COMPUTED_VALUE"""),1480.844)</f>
        <v>1480.8440000000001</v>
      </c>
      <c r="C160" s="1">
        <f ca="1">IFERROR(__xludf.DUMMYFUNCTION("""COMPUTED_VALUE"""),1934.586)</f>
        <v>1934.586</v>
      </c>
      <c r="D160" s="1">
        <f ca="1">IFERROR(__xludf.DUMMYFUNCTION("""COMPUTED_VALUE"""),13625.417)</f>
        <v>13625.416999999999</v>
      </c>
    </row>
    <row r="161" spans="1:4" ht="13" x14ac:dyDescent="0.15">
      <c r="A161" s="1">
        <f ca="1">IFERROR(__xludf.DUMMYFUNCTION("""COMPUTED_VALUE"""),678)</f>
        <v>678</v>
      </c>
      <c r="B161" s="1">
        <f ca="1">IFERROR(__xludf.DUMMYFUNCTION("""COMPUTED_VALUE"""),1040.47)</f>
        <v>1040.47</v>
      </c>
      <c r="C161" s="1">
        <f ca="1">IFERROR(__xludf.DUMMYFUNCTION("""COMPUTED_VALUE"""),1803.452)</f>
        <v>1803.452</v>
      </c>
      <c r="D161" s="1">
        <f ca="1">IFERROR(__xludf.DUMMYFUNCTION("""COMPUTED_VALUE"""),11231.122)</f>
        <v>11231.121999999999</v>
      </c>
    </row>
    <row r="162" spans="1:4" ht="13" x14ac:dyDescent="0.15">
      <c r="A162" s="1">
        <f ca="1">IFERROR(__xludf.DUMMYFUNCTION("""COMPUTED_VALUE"""),746)</f>
        <v>746</v>
      </c>
      <c r="B162" s="1">
        <f ca="1">IFERROR(__xludf.DUMMYFUNCTION("""COMPUTED_VALUE"""),805.822)</f>
        <v>805.822</v>
      </c>
      <c r="C162" s="1">
        <f ca="1">IFERROR(__xludf.DUMMYFUNCTION("""COMPUTED_VALUE"""),1362.437)</f>
        <v>1362.4369999999999</v>
      </c>
      <c r="D162" s="1">
        <f ca="1">IFERROR(__xludf.DUMMYFUNCTION("""COMPUTED_VALUE"""),7181.943)</f>
        <v>7181.9430000000002</v>
      </c>
    </row>
    <row r="163" spans="1:4" ht="13" x14ac:dyDescent="0.15">
      <c r="A163" s="1">
        <f ca="1">IFERROR(__xludf.DUMMYFUNCTION("""COMPUTED_VALUE"""),1380)</f>
        <v>1380</v>
      </c>
      <c r="B163" s="1">
        <f ca="1">IFERROR(__xludf.DUMMYFUNCTION("""COMPUTED_VALUE"""),283.981)</f>
        <v>283.98099999999999</v>
      </c>
      <c r="C163" s="1">
        <f ca="1">IFERROR(__xludf.DUMMYFUNCTION("""COMPUTED_VALUE"""),1615.327)</f>
        <v>1615.327</v>
      </c>
      <c r="D163" s="1">
        <f ca="1">IFERROR(__xludf.DUMMYFUNCTION("""COMPUTED_VALUE"""),11350.545)</f>
        <v>11350.545</v>
      </c>
    </row>
    <row r="164" spans="1:4" ht="13" x14ac:dyDescent="0.15">
      <c r="A164" s="1">
        <f ca="1">IFERROR(__xludf.DUMMYFUNCTION("""COMPUTED_VALUE"""),27)</f>
        <v>27</v>
      </c>
      <c r="B164" s="1">
        <f ca="1">IFERROR(__xludf.DUMMYFUNCTION("""COMPUTED_VALUE"""),685.979)</f>
        <v>685.97900000000004</v>
      </c>
      <c r="C164" s="1">
        <f ca="1">IFERROR(__xludf.DUMMYFUNCTION("""COMPUTED_VALUE"""),1384.845)</f>
        <v>1384.845</v>
      </c>
      <c r="D164" s="1">
        <f ca="1">IFERROR(__xludf.DUMMYFUNCTION("""COMPUTED_VALUE"""),11554.954)</f>
        <v>11554.954</v>
      </c>
    </row>
    <row r="165" spans="1:4" ht="13" x14ac:dyDescent="0.15">
      <c r="A165" s="1">
        <f ca="1">IFERROR(__xludf.DUMMYFUNCTION("""COMPUTED_VALUE"""),15)</f>
        <v>15</v>
      </c>
      <c r="B165" s="1">
        <f ca="1">IFERROR(__xludf.DUMMYFUNCTION("""COMPUTED_VALUE"""),1177.779)</f>
        <v>1177.779</v>
      </c>
      <c r="C165" s="1">
        <f ca="1">IFERROR(__xludf.DUMMYFUNCTION("""COMPUTED_VALUE"""),1763.003)</f>
        <v>1763.0029999999999</v>
      </c>
      <c r="D165" s="1">
        <f ca="1">IFERROR(__xludf.DUMMYFUNCTION("""COMPUTED_VALUE"""),12964.103)</f>
        <v>12964.102999999999</v>
      </c>
    </row>
    <row r="166" spans="1:4" ht="13" x14ac:dyDescent="0.15">
      <c r="A166" s="1">
        <f ca="1">IFERROR(__xludf.DUMMYFUNCTION("""COMPUTED_VALUE"""),21)</f>
        <v>21</v>
      </c>
      <c r="B166" s="1">
        <f ca="1">IFERROR(__xludf.DUMMYFUNCTION("""COMPUTED_VALUE"""),429.803)</f>
        <v>429.803</v>
      </c>
      <c r="C166" s="1">
        <f ca="1">IFERROR(__xludf.DUMMYFUNCTION("""COMPUTED_VALUE"""),1439.882)</f>
        <v>1439.8820000000001</v>
      </c>
      <c r="D166" s="1">
        <f ca="1">IFERROR(__xludf.DUMMYFUNCTION("""COMPUTED_VALUE"""),8425.059)</f>
        <v>8425.0589999999993</v>
      </c>
    </row>
    <row r="167" spans="1:4" ht="13" x14ac:dyDescent="0.15">
      <c r="A167" s="1">
        <f ca="1">IFERROR(__xludf.DUMMYFUNCTION("""COMPUTED_VALUE"""),15)</f>
        <v>15</v>
      </c>
      <c r="B167" s="1">
        <f ca="1">IFERROR(__xludf.DUMMYFUNCTION("""COMPUTED_VALUE"""),5833.552)</f>
        <v>5833.5519999999997</v>
      </c>
      <c r="C167" s="1">
        <f ca="1">IFERROR(__xludf.DUMMYFUNCTION("""COMPUTED_VALUE"""),8992.053)</f>
        <v>8992.0529999999999</v>
      </c>
      <c r="D167" s="1">
        <f ca="1">IFERROR(__xludf.DUMMYFUNCTION("""COMPUTED_VALUE"""),60603.009)</f>
        <v>60603.008999999998</v>
      </c>
    </row>
    <row r="168" spans="1:4" ht="13" x14ac:dyDescent="0.15">
      <c r="A168" s="1">
        <f ca="1">IFERROR(__xludf.DUMMYFUNCTION("""COMPUTED_VALUE"""),15)</f>
        <v>15</v>
      </c>
      <c r="B168" s="1">
        <f ca="1">IFERROR(__xludf.DUMMYFUNCTION("""COMPUTED_VALUE"""),5794.083)</f>
        <v>5794.0829999999996</v>
      </c>
      <c r="C168" s="1">
        <f ca="1">IFERROR(__xludf.DUMMYFUNCTION("""COMPUTED_VALUE"""),9798.507)</f>
        <v>9798.5069999999996</v>
      </c>
      <c r="D168" s="1">
        <f ca="1">IFERROR(__xludf.DUMMYFUNCTION("""COMPUTED_VALUE"""),60767.994)</f>
        <v>60767.993999999999</v>
      </c>
    </row>
    <row r="169" spans="1:4" ht="13" x14ac:dyDescent="0.15">
      <c r="A169" s="1">
        <f ca="1">IFERROR(__xludf.DUMMYFUNCTION("""COMPUTED_VALUE"""),16)</f>
        <v>16</v>
      </c>
      <c r="B169" s="1">
        <f ca="1">IFERROR(__xludf.DUMMYFUNCTION("""COMPUTED_VALUE"""),71.686)</f>
        <v>71.686000000000007</v>
      </c>
      <c r="C169" s="1">
        <f ca="1">IFERROR(__xludf.DUMMYFUNCTION("""COMPUTED_VALUE"""),131.862)</f>
        <v>131.86199999999999</v>
      </c>
      <c r="D169" s="1">
        <f ca="1">IFERROR(__xludf.DUMMYFUNCTION("""COMPUTED_VALUE"""),730.068)</f>
        <v>730.06799999999998</v>
      </c>
    </row>
    <row r="170" spans="1:4" ht="13" x14ac:dyDescent="0.15">
      <c r="A170" s="1">
        <f ca="1">IFERROR(__xludf.DUMMYFUNCTION("""COMPUTED_VALUE"""),130)</f>
        <v>130</v>
      </c>
      <c r="B170" s="1">
        <f ca="1">IFERROR(__xludf.DUMMYFUNCTION("""COMPUTED_VALUE"""),28.742)</f>
        <v>28.742000000000001</v>
      </c>
      <c r="C170" s="1">
        <f ca="1">IFERROR(__xludf.DUMMYFUNCTION("""COMPUTED_VALUE"""),50.441)</f>
        <v>50.441000000000003</v>
      </c>
      <c r="D170" s="1">
        <f ca="1">IFERROR(__xludf.DUMMYFUNCTION("""COMPUTED_VALUE"""),481.783)</f>
        <v>481.78300000000002</v>
      </c>
    </row>
    <row r="171" spans="1:4" ht="13" x14ac:dyDescent="0.15">
      <c r="A171" s="1">
        <f ca="1">IFERROR(__xludf.DUMMYFUNCTION("""COMPUTED_VALUE"""),74)</f>
        <v>74</v>
      </c>
      <c r="B171" s="1">
        <f ca="1">IFERROR(__xludf.DUMMYFUNCTION("""COMPUTED_VALUE"""),54.309)</f>
        <v>54.308999999999997</v>
      </c>
      <c r="C171" s="1">
        <f ca="1">IFERROR(__xludf.DUMMYFUNCTION("""COMPUTED_VALUE"""),232.119)</f>
        <v>232.119</v>
      </c>
      <c r="D171" s="1">
        <f ca="1">IFERROR(__xludf.DUMMYFUNCTION("""COMPUTED_VALUE"""),1010.744)</f>
        <v>1010.744</v>
      </c>
    </row>
    <row r="172" spans="1:4" ht="13" x14ac:dyDescent="0.15">
      <c r="A172" s="1">
        <f ca="1">IFERROR(__xludf.DUMMYFUNCTION("""COMPUTED_VALUE"""),107)</f>
        <v>107</v>
      </c>
      <c r="B172" s="1">
        <f ca="1">IFERROR(__xludf.DUMMYFUNCTION("""COMPUTED_VALUE"""),36.497)</f>
        <v>36.497</v>
      </c>
      <c r="C172" s="1">
        <f ca="1">IFERROR(__xludf.DUMMYFUNCTION("""COMPUTED_VALUE"""),132.727)</f>
        <v>132.727</v>
      </c>
      <c r="D172" s="1">
        <f ca="1">IFERROR(__xludf.DUMMYFUNCTION("""COMPUTED_VALUE"""),909.825)</f>
        <v>909.82500000000005</v>
      </c>
    </row>
    <row r="173" spans="1:4" ht="13" x14ac:dyDescent="0.15">
      <c r="A173" s="1">
        <f ca="1">IFERROR(__xludf.DUMMYFUNCTION("""COMPUTED_VALUE"""),83)</f>
        <v>83</v>
      </c>
      <c r="B173" s="1">
        <f ca="1">IFERROR(__xludf.DUMMYFUNCTION("""COMPUTED_VALUE"""),57.505)</f>
        <v>57.505000000000003</v>
      </c>
      <c r="C173" s="1">
        <f ca="1">IFERROR(__xludf.DUMMYFUNCTION("""COMPUTED_VALUE"""),70.132)</f>
        <v>70.132000000000005</v>
      </c>
      <c r="D173" s="1">
        <f ca="1">IFERROR(__xludf.DUMMYFUNCTION("""COMPUTED_VALUE"""),605.799)</f>
        <v>605.79899999999998</v>
      </c>
    </row>
    <row r="174" spans="1:4" ht="13" x14ac:dyDescent="0.15">
      <c r="A174" s="1">
        <f ca="1">IFERROR(__xludf.DUMMYFUNCTION("""COMPUTED_VALUE"""),84)</f>
        <v>84</v>
      </c>
      <c r="B174" s="1">
        <f ca="1">IFERROR(__xludf.DUMMYFUNCTION("""COMPUTED_VALUE"""),102.792)</f>
        <v>102.792</v>
      </c>
      <c r="C174" s="1">
        <f ca="1">IFERROR(__xludf.DUMMYFUNCTION("""COMPUTED_VALUE"""),181.371)</f>
        <v>181.37100000000001</v>
      </c>
      <c r="D174" s="1">
        <f ca="1">IFERROR(__xludf.DUMMYFUNCTION("""COMPUTED_VALUE"""),1025.458)</f>
        <v>1025.4580000000001</v>
      </c>
    </row>
    <row r="175" spans="1:4" ht="13" x14ac:dyDescent="0.15">
      <c r="A175" s="1">
        <f ca="1">IFERROR(__xludf.DUMMYFUNCTION("""COMPUTED_VALUE"""),231)</f>
        <v>231</v>
      </c>
      <c r="B175" s="1">
        <f ca="1">IFERROR(__xludf.DUMMYFUNCTION("""COMPUTED_VALUE"""),151.369)</f>
        <v>151.369</v>
      </c>
      <c r="C175" s="1">
        <f ca="1">IFERROR(__xludf.DUMMYFUNCTION("""COMPUTED_VALUE"""),361.624)</f>
        <v>361.62400000000002</v>
      </c>
      <c r="D175" s="1">
        <f ca="1">IFERROR(__xludf.DUMMYFUNCTION("""COMPUTED_VALUE"""),1697.223)</f>
        <v>1697.223</v>
      </c>
    </row>
    <row r="176" spans="1:4" ht="13" x14ac:dyDescent="0.15">
      <c r="A176" s="1">
        <f ca="1">IFERROR(__xludf.DUMMYFUNCTION("""COMPUTED_VALUE"""),216)</f>
        <v>216</v>
      </c>
      <c r="B176" s="1">
        <f ca="1">IFERROR(__xludf.DUMMYFUNCTION("""COMPUTED_VALUE"""),115.645)</f>
        <v>115.645</v>
      </c>
      <c r="C176" s="1">
        <f ca="1">IFERROR(__xludf.DUMMYFUNCTION("""COMPUTED_VALUE"""),221.192)</f>
        <v>221.19200000000001</v>
      </c>
      <c r="D176" s="1">
        <f ca="1">IFERROR(__xludf.DUMMYFUNCTION("""COMPUTED_VALUE"""),1161.139)</f>
        <v>1161.1389999999999</v>
      </c>
    </row>
    <row r="177" spans="1:4" ht="13" x14ac:dyDescent="0.15">
      <c r="A177" s="1">
        <f ca="1">IFERROR(__xludf.DUMMYFUNCTION("""COMPUTED_VALUE"""),364)</f>
        <v>364</v>
      </c>
      <c r="B177" s="1">
        <f ca="1">IFERROR(__xludf.DUMMYFUNCTION("""COMPUTED_VALUE"""),67.838)</f>
        <v>67.837999999999994</v>
      </c>
      <c r="C177" s="1">
        <f ca="1">IFERROR(__xludf.DUMMYFUNCTION("""COMPUTED_VALUE"""),106.983)</f>
        <v>106.983</v>
      </c>
      <c r="D177" s="1">
        <f ca="1">IFERROR(__xludf.DUMMYFUNCTION("""COMPUTED_VALUE"""),852.187)</f>
        <v>852.18700000000001</v>
      </c>
    </row>
    <row r="178" spans="1:4" ht="13" x14ac:dyDescent="0.15">
      <c r="A178" s="1">
        <f ca="1">IFERROR(__xludf.DUMMYFUNCTION("""COMPUTED_VALUE"""),219)</f>
        <v>219</v>
      </c>
      <c r="B178" s="1">
        <f ca="1">IFERROR(__xludf.DUMMYFUNCTION("""COMPUTED_VALUE"""),28.948)</f>
        <v>28.948</v>
      </c>
      <c r="C178" s="1">
        <f ca="1">IFERROR(__xludf.DUMMYFUNCTION("""COMPUTED_VALUE"""),82.792)</f>
        <v>82.792000000000002</v>
      </c>
      <c r="D178" s="1">
        <f ca="1">IFERROR(__xludf.DUMMYFUNCTION("""COMPUTED_VALUE"""),830.444)</f>
        <v>830.44399999999996</v>
      </c>
    </row>
    <row r="179" spans="1:4" ht="13" x14ac:dyDescent="0.15">
      <c r="A179" s="1">
        <f ca="1">IFERROR(__xludf.DUMMYFUNCTION("""COMPUTED_VALUE"""),259)</f>
        <v>259</v>
      </c>
      <c r="B179" s="1">
        <f ca="1">IFERROR(__xludf.DUMMYFUNCTION("""COMPUTED_VALUE"""),43.419)</f>
        <v>43.418999999999997</v>
      </c>
      <c r="C179" s="1">
        <f ca="1">IFERROR(__xludf.DUMMYFUNCTION("""COMPUTED_VALUE"""),81.616)</f>
        <v>81.616</v>
      </c>
      <c r="D179" s="1">
        <f ca="1">IFERROR(__xludf.DUMMYFUNCTION("""COMPUTED_VALUE"""),652.536)</f>
        <v>652.53599999999994</v>
      </c>
    </row>
    <row r="180" spans="1:4" ht="13" x14ac:dyDescent="0.15">
      <c r="A180" s="1">
        <f ca="1">IFERROR(__xludf.DUMMYFUNCTION("""COMPUTED_VALUE"""),296)</f>
        <v>296</v>
      </c>
      <c r="B180" s="1">
        <f ca="1">IFERROR(__xludf.DUMMYFUNCTION("""COMPUTED_VALUE"""),15.431)</f>
        <v>15.430999999999999</v>
      </c>
      <c r="C180" s="1">
        <f ca="1">IFERROR(__xludf.DUMMYFUNCTION("""COMPUTED_VALUE"""),93.559)</f>
        <v>93.558999999999997</v>
      </c>
      <c r="D180" s="1">
        <f ca="1">IFERROR(__xludf.DUMMYFUNCTION("""COMPUTED_VALUE"""),786.704)</f>
        <v>786.70399999999995</v>
      </c>
    </row>
    <row r="181" spans="1:4" ht="13" x14ac:dyDescent="0.15">
      <c r="A181" s="1">
        <f ca="1">IFERROR(__xludf.DUMMYFUNCTION("""COMPUTED_VALUE"""),878)</f>
        <v>878</v>
      </c>
      <c r="B181" s="1">
        <f ca="1">IFERROR(__xludf.DUMMYFUNCTION("""COMPUTED_VALUE"""),97.8)</f>
        <v>97.8</v>
      </c>
      <c r="C181" s="1">
        <f ca="1">IFERROR(__xludf.DUMMYFUNCTION("""COMPUTED_VALUE"""),162.401)</f>
        <v>162.40100000000001</v>
      </c>
      <c r="D181" s="1">
        <f ca="1">IFERROR(__xludf.DUMMYFUNCTION("""COMPUTED_VALUE"""),1538.037)</f>
        <v>1538.037</v>
      </c>
    </row>
    <row r="182" spans="1:4" ht="13" x14ac:dyDescent="0.15">
      <c r="A182" s="1">
        <f ca="1">IFERROR(__xludf.DUMMYFUNCTION("""COMPUTED_VALUE"""),643)</f>
        <v>643</v>
      </c>
      <c r="B182" s="1">
        <f ca="1">IFERROR(__xludf.DUMMYFUNCTION("""COMPUTED_VALUE"""),72.896)</f>
        <v>72.896000000000001</v>
      </c>
      <c r="C182" s="1">
        <f ca="1">IFERROR(__xludf.DUMMYFUNCTION("""COMPUTED_VALUE"""),110.64)</f>
        <v>110.64</v>
      </c>
      <c r="D182" s="1">
        <f ca="1">IFERROR(__xludf.DUMMYFUNCTION("""COMPUTED_VALUE"""),749.901)</f>
        <v>749.90099999999995</v>
      </c>
    </row>
    <row r="183" spans="1:4" ht="13" x14ac:dyDescent="0.15">
      <c r="A183" s="1">
        <f ca="1">IFERROR(__xludf.DUMMYFUNCTION("""COMPUTED_VALUE"""),550)</f>
        <v>550</v>
      </c>
      <c r="B183" s="1">
        <f ca="1">IFERROR(__xludf.DUMMYFUNCTION("""COMPUTED_VALUE"""),98.254)</f>
        <v>98.254000000000005</v>
      </c>
      <c r="C183" s="1">
        <f ca="1">IFERROR(__xludf.DUMMYFUNCTION("""COMPUTED_VALUE"""),174.088)</f>
        <v>174.08799999999999</v>
      </c>
      <c r="D183" s="1">
        <f ca="1">IFERROR(__xludf.DUMMYFUNCTION("""COMPUTED_VALUE"""),1109.962)</f>
        <v>1109.962</v>
      </c>
    </row>
    <row r="184" spans="1:4" ht="13" x14ac:dyDescent="0.15">
      <c r="A184" s="1">
        <f ca="1">IFERROR(__xludf.DUMMYFUNCTION("""COMPUTED_VALUE"""),761)</f>
        <v>761</v>
      </c>
      <c r="B184" s="1">
        <f ca="1">IFERROR(__xludf.DUMMYFUNCTION("""COMPUTED_VALUE"""),98.361)</f>
        <v>98.361000000000004</v>
      </c>
      <c r="C184" s="1">
        <f ca="1">IFERROR(__xludf.DUMMYFUNCTION("""COMPUTED_VALUE"""),126.649)</f>
        <v>126.649</v>
      </c>
      <c r="D184" s="1">
        <f ca="1">IFERROR(__xludf.DUMMYFUNCTION("""COMPUTED_VALUE"""),1006.34)</f>
        <v>1006.34</v>
      </c>
    </row>
    <row r="185" spans="1:4" ht="13" x14ac:dyDescent="0.15">
      <c r="A185" s="1">
        <f ca="1">IFERROR(__xludf.DUMMYFUNCTION("""COMPUTED_VALUE"""),1378)</f>
        <v>1378</v>
      </c>
      <c r="B185" s="1">
        <f ca="1">IFERROR(__xludf.DUMMYFUNCTION("""COMPUTED_VALUE"""),453.496)</f>
        <v>453.49599999999998</v>
      </c>
      <c r="C185" s="1">
        <f ca="1">IFERROR(__xludf.DUMMYFUNCTION("""COMPUTED_VALUE"""),1074.277)</f>
        <v>1074.277</v>
      </c>
      <c r="D185" s="1">
        <f ca="1">IFERROR(__xludf.DUMMYFUNCTION("""COMPUTED_VALUE"""),5928.149)</f>
        <v>5928.1490000000003</v>
      </c>
    </row>
    <row r="186" spans="1:4" ht="13" x14ac:dyDescent="0.15">
      <c r="A186" s="1">
        <f ca="1">IFERROR(__xludf.DUMMYFUNCTION("""COMPUTED_VALUE"""),1216)</f>
        <v>1216</v>
      </c>
      <c r="B186" s="1">
        <f ca="1">IFERROR(__xludf.DUMMYFUNCTION("""COMPUTED_VALUE"""),233.203)</f>
        <v>233.203</v>
      </c>
      <c r="C186" s="1">
        <f ca="1">IFERROR(__xludf.DUMMYFUNCTION("""COMPUTED_VALUE"""),369.912)</f>
        <v>369.91199999999998</v>
      </c>
      <c r="D186" s="1">
        <f ca="1">IFERROR(__xludf.DUMMYFUNCTION("""COMPUTED_VALUE"""),4208.389)</f>
        <v>4208.3890000000001</v>
      </c>
    </row>
    <row r="187" spans="1:4" ht="13" x14ac:dyDescent="0.15">
      <c r="A187" s="1">
        <f ca="1">IFERROR(__xludf.DUMMYFUNCTION("""COMPUTED_VALUE"""),119)</f>
        <v>119</v>
      </c>
      <c r="B187" s="1">
        <f ca="1">IFERROR(__xludf.DUMMYFUNCTION("""COMPUTED_VALUE"""),421.538)</f>
        <v>421.53800000000001</v>
      </c>
      <c r="C187" s="1">
        <f ca="1">IFERROR(__xludf.DUMMYFUNCTION("""COMPUTED_VALUE"""),2926.894)</f>
        <v>2926.8939999999998</v>
      </c>
      <c r="D187" s="1">
        <f ca="1">IFERROR(__xludf.DUMMYFUNCTION("""COMPUTED_VALUE"""),14023.951)</f>
        <v>14023.950999999999</v>
      </c>
    </row>
    <row r="188" spans="1:4" ht="13" x14ac:dyDescent="0.15">
      <c r="A188" s="1">
        <f ca="1">IFERROR(__xludf.DUMMYFUNCTION("""COMPUTED_VALUE"""),314)</f>
        <v>314</v>
      </c>
      <c r="B188" s="1">
        <f ca="1">IFERROR(__xludf.DUMMYFUNCTION("""COMPUTED_VALUE"""),233.231)</f>
        <v>233.23099999999999</v>
      </c>
      <c r="C188" s="1">
        <f ca="1">IFERROR(__xludf.DUMMYFUNCTION("""COMPUTED_VALUE"""),858.254)</f>
        <v>858.25400000000002</v>
      </c>
      <c r="D188" s="1">
        <f ca="1">IFERROR(__xludf.DUMMYFUNCTION("""COMPUTED_VALUE"""),6653.857)</f>
        <v>6653.857</v>
      </c>
    </row>
    <row r="189" spans="1:4" ht="13" x14ac:dyDescent="0.15">
      <c r="A189" s="1">
        <f ca="1">IFERROR(__xludf.DUMMYFUNCTION("""COMPUTED_VALUE"""),358)</f>
        <v>358</v>
      </c>
      <c r="B189" s="1">
        <f ca="1">IFERROR(__xludf.DUMMYFUNCTION("""COMPUTED_VALUE"""),408.886)</f>
        <v>408.88600000000002</v>
      </c>
      <c r="C189" s="1">
        <f ca="1">IFERROR(__xludf.DUMMYFUNCTION("""COMPUTED_VALUE"""),553.946)</f>
        <v>553.94600000000003</v>
      </c>
      <c r="D189" s="1">
        <f ca="1">IFERROR(__xludf.DUMMYFUNCTION("""COMPUTED_VALUE"""),5205.527)</f>
        <v>5205.527</v>
      </c>
    </row>
    <row r="190" spans="1:4" ht="13" x14ac:dyDescent="0.15">
      <c r="A190" s="1">
        <f ca="1">IFERROR(__xludf.DUMMYFUNCTION("""COMPUTED_VALUE"""),678)</f>
        <v>678</v>
      </c>
      <c r="B190" s="1">
        <f ca="1">IFERROR(__xludf.DUMMYFUNCTION("""COMPUTED_VALUE"""),816.228)</f>
        <v>816.22799999999995</v>
      </c>
      <c r="C190" s="1">
        <f ca="1">IFERROR(__xludf.DUMMYFUNCTION("""COMPUTED_VALUE"""),1792.293)</f>
        <v>1792.2929999999999</v>
      </c>
      <c r="D190" s="1">
        <f ca="1">IFERROR(__xludf.DUMMYFUNCTION("""COMPUTED_VALUE"""),10595.495)</f>
        <v>10595.495000000001</v>
      </c>
    </row>
    <row r="191" spans="1:4" ht="13" x14ac:dyDescent="0.15">
      <c r="A191" s="1">
        <f ca="1">IFERROR(__xludf.DUMMYFUNCTION("""COMPUTED_VALUE"""),814)</f>
        <v>814</v>
      </c>
      <c r="B191" s="1">
        <f ca="1">IFERROR(__xludf.DUMMYFUNCTION("""COMPUTED_VALUE"""),777.313)</f>
        <v>777.31299999999999</v>
      </c>
      <c r="C191" s="1">
        <f ca="1">IFERROR(__xludf.DUMMYFUNCTION("""COMPUTED_VALUE"""),1701.875)</f>
        <v>1701.875</v>
      </c>
      <c r="D191" s="1">
        <f ca="1">IFERROR(__xludf.DUMMYFUNCTION("""COMPUTED_VALUE"""),11520.89)</f>
        <v>11520.89</v>
      </c>
    </row>
    <row r="192" spans="1:4" ht="13" x14ac:dyDescent="0.15">
      <c r="A192" s="1">
        <f ca="1">IFERROR(__xludf.DUMMYFUNCTION("""COMPUTED_VALUE"""),661)</f>
        <v>661</v>
      </c>
      <c r="B192" s="1">
        <f ca="1">IFERROR(__xludf.DUMMYFUNCTION("""COMPUTED_VALUE"""),1026.713)</f>
        <v>1026.713</v>
      </c>
      <c r="C192" s="1">
        <f ca="1">IFERROR(__xludf.DUMMYFUNCTION("""COMPUTED_VALUE"""),2190.521)</f>
        <v>2190.5210000000002</v>
      </c>
      <c r="D192" s="1">
        <f ca="1">IFERROR(__xludf.DUMMYFUNCTION("""COMPUTED_VALUE"""),11414.863)</f>
        <v>11414.862999999999</v>
      </c>
    </row>
    <row r="193" spans="1:4" ht="13" x14ac:dyDescent="0.15">
      <c r="A193" s="1">
        <f ca="1">IFERROR(__xludf.DUMMYFUNCTION("""COMPUTED_VALUE"""),84)</f>
        <v>84</v>
      </c>
      <c r="B193" s="1">
        <f ca="1">IFERROR(__xludf.DUMMYFUNCTION("""COMPUTED_VALUE"""),651.11)</f>
        <v>651.11</v>
      </c>
      <c r="C193" s="1">
        <f ca="1">IFERROR(__xludf.DUMMYFUNCTION("""COMPUTED_VALUE"""),1231.772)</f>
        <v>1231.7719999999999</v>
      </c>
      <c r="D193" s="1">
        <f ca="1">IFERROR(__xludf.DUMMYFUNCTION("""COMPUTED_VALUE"""),9978.669)</f>
        <v>9978.6689999999999</v>
      </c>
    </row>
    <row r="194" spans="1:4" ht="13" x14ac:dyDescent="0.15">
      <c r="A194" s="1">
        <f ca="1">IFERROR(__xludf.DUMMYFUNCTION("""COMPUTED_VALUE"""),102)</f>
        <v>102</v>
      </c>
      <c r="B194" s="1">
        <f ca="1">IFERROR(__xludf.DUMMYFUNCTION("""COMPUTED_VALUE"""),254.062)</f>
        <v>254.06200000000001</v>
      </c>
      <c r="C194" s="1">
        <f ca="1">IFERROR(__xludf.DUMMYFUNCTION("""COMPUTED_VALUE"""),518.368)</f>
        <v>518.36800000000005</v>
      </c>
      <c r="D194" s="1">
        <f ca="1">IFERROR(__xludf.DUMMYFUNCTION("""COMPUTED_VALUE"""),4437.446)</f>
        <v>4437.4459999999999</v>
      </c>
    </row>
    <row r="195" spans="1:4" ht="13" x14ac:dyDescent="0.15">
      <c r="A195" s="1">
        <f ca="1">IFERROR(__xludf.DUMMYFUNCTION("""COMPUTED_VALUE"""),92)</f>
        <v>92</v>
      </c>
      <c r="B195" s="1">
        <f ca="1">IFERROR(__xludf.DUMMYFUNCTION("""COMPUTED_VALUE"""),157.14)</f>
        <v>157.13999999999999</v>
      </c>
      <c r="C195" s="1">
        <f ca="1">IFERROR(__xludf.DUMMYFUNCTION("""COMPUTED_VALUE"""),914.144)</f>
        <v>914.14400000000001</v>
      </c>
      <c r="D195" s="1">
        <f ca="1">IFERROR(__xludf.DUMMYFUNCTION("""COMPUTED_VALUE"""),7954.756)</f>
        <v>7954.7560000000003</v>
      </c>
    </row>
    <row r="196" spans="1:4" ht="13" x14ac:dyDescent="0.15">
      <c r="A196" s="1">
        <f ca="1">IFERROR(__xludf.DUMMYFUNCTION("""COMPUTED_VALUE"""),107)</f>
        <v>107</v>
      </c>
      <c r="B196" s="1">
        <f ca="1">IFERROR(__xludf.DUMMYFUNCTION("""COMPUTED_VALUE"""),1330.162)</f>
        <v>1330.162</v>
      </c>
      <c r="C196" s="1">
        <f ca="1">IFERROR(__xludf.DUMMYFUNCTION("""COMPUTED_VALUE"""),1917.792)</f>
        <v>1917.7919999999999</v>
      </c>
      <c r="D196" s="1">
        <f ca="1">IFERROR(__xludf.DUMMYFUNCTION("""COMPUTED_VALUE"""),11383.41)</f>
        <v>11383.41</v>
      </c>
    </row>
    <row r="197" spans="1:4" ht="13" x14ac:dyDescent="0.15">
      <c r="A197" s="1">
        <f ca="1">IFERROR(__xludf.DUMMYFUNCTION("""COMPUTED_VALUE"""),83)</f>
        <v>83</v>
      </c>
      <c r="B197" s="1">
        <f ca="1">IFERROR(__xludf.DUMMYFUNCTION("""COMPUTED_VALUE"""),697.078)</f>
        <v>697.07799999999997</v>
      </c>
      <c r="C197" s="1">
        <f ca="1">IFERROR(__xludf.DUMMYFUNCTION("""COMPUTED_VALUE"""),931.064)</f>
        <v>931.06399999999996</v>
      </c>
      <c r="D197" s="1">
        <f ca="1">IFERROR(__xludf.DUMMYFUNCTION("""COMPUTED_VALUE"""),7301.567)</f>
        <v>7301.567</v>
      </c>
    </row>
    <row r="198" spans="1:4" ht="13" x14ac:dyDescent="0.15">
      <c r="A198" s="1">
        <f ca="1">IFERROR(__xludf.DUMMYFUNCTION("""COMPUTED_VALUE"""),84)</f>
        <v>84</v>
      </c>
      <c r="B198" s="1">
        <f ca="1">IFERROR(__xludf.DUMMYFUNCTION("""COMPUTED_VALUE"""),3786.658)</f>
        <v>3786.6579999999999</v>
      </c>
      <c r="C198" s="1">
        <f ca="1">IFERROR(__xludf.DUMMYFUNCTION("""COMPUTED_VALUE"""),8935.849)</f>
        <v>8935.8490000000002</v>
      </c>
      <c r="D198" s="1">
        <f ca="1">IFERROR(__xludf.DUMMYFUNCTION("""COMPUTED_VALUE"""),43972.362)</f>
        <v>43972.362000000001</v>
      </c>
    </row>
    <row r="199" spans="1:4" ht="13" x14ac:dyDescent="0.15">
      <c r="A199" s="1">
        <f ca="1">IFERROR(__xludf.DUMMYFUNCTION("""COMPUTED_VALUE"""),221)</f>
        <v>221</v>
      </c>
      <c r="B199" s="1">
        <f ca="1">IFERROR(__xludf.DUMMYFUNCTION("""COMPUTED_VALUE"""),2130.934)</f>
        <v>2130.9340000000002</v>
      </c>
      <c r="C199" s="1">
        <f ca="1">IFERROR(__xludf.DUMMYFUNCTION("""COMPUTED_VALUE"""),3185.428)</f>
        <v>3185.4279999999999</v>
      </c>
      <c r="D199" s="1">
        <f ca="1">IFERROR(__xludf.DUMMYFUNCTION("""COMPUTED_VALUE"""),29642.946)</f>
        <v>29642.946</v>
      </c>
    </row>
    <row r="200" spans="1:4" ht="13" x14ac:dyDescent="0.15">
      <c r="A200" s="1">
        <f ca="1">IFERROR(__xludf.DUMMYFUNCTION("""COMPUTED_VALUE"""),213)</f>
        <v>213</v>
      </c>
      <c r="B200" s="1">
        <f ca="1">IFERROR(__xludf.DUMMYFUNCTION("""COMPUTED_VALUE"""),1254.298)</f>
        <v>1254.298</v>
      </c>
      <c r="C200" s="1">
        <f ca="1">IFERROR(__xludf.DUMMYFUNCTION("""COMPUTED_VALUE"""),5257.038)</f>
        <v>5257.0379999999996</v>
      </c>
      <c r="D200" s="1">
        <f ca="1">IFERROR(__xludf.DUMMYFUNCTION("""COMPUTED_VALUE"""),38841.214)</f>
        <v>38841.214</v>
      </c>
    </row>
    <row r="201" spans="1:4" ht="13" x14ac:dyDescent="0.15">
      <c r="A201" s="1">
        <f ca="1">IFERROR(__xludf.DUMMYFUNCTION("""COMPUTED_VALUE"""),296)</f>
        <v>296</v>
      </c>
      <c r="B201" s="1">
        <f ca="1">IFERROR(__xludf.DUMMYFUNCTION("""COMPUTED_VALUE"""),2973.054)</f>
        <v>2973.0540000000001</v>
      </c>
      <c r="C201" s="1">
        <f ca="1">IFERROR(__xludf.DUMMYFUNCTION("""COMPUTED_VALUE"""),4290.855)</f>
        <v>4290.8549999999996</v>
      </c>
      <c r="D201" s="1">
        <f ca="1">IFERROR(__xludf.DUMMYFUNCTION("""COMPUTED_VALUE"""),33491.709)</f>
        <v>33491.709000000003</v>
      </c>
    </row>
    <row r="202" spans="1:4" ht="13" x14ac:dyDescent="0.15">
      <c r="A202" s="1">
        <f ca="1">IFERROR(__xludf.DUMMYFUNCTION("""COMPUTED_VALUE"""),302)</f>
        <v>302</v>
      </c>
      <c r="B202" s="1">
        <f ca="1">IFERROR(__xludf.DUMMYFUNCTION("""COMPUTED_VALUE"""),688.048)</f>
        <v>688.048</v>
      </c>
      <c r="C202" s="1">
        <f ca="1">IFERROR(__xludf.DUMMYFUNCTION("""COMPUTED_VALUE"""),1115.999)</f>
        <v>1115.999</v>
      </c>
      <c r="D202" s="1">
        <f ca="1">IFERROR(__xludf.DUMMYFUNCTION("""COMPUTED_VALUE"""),5743.927)</f>
        <v>5743.9269999999997</v>
      </c>
    </row>
    <row r="203" spans="1:4" ht="13" x14ac:dyDescent="0.15">
      <c r="A203" s="1">
        <f ca="1">IFERROR(__xludf.DUMMYFUNCTION("""COMPUTED_VALUE"""),296)</f>
        <v>296</v>
      </c>
      <c r="B203" s="1">
        <f ca="1">IFERROR(__xludf.DUMMYFUNCTION("""COMPUTED_VALUE"""),667.583)</f>
        <v>667.58299999999997</v>
      </c>
      <c r="C203" s="1">
        <f ca="1">IFERROR(__xludf.DUMMYFUNCTION("""COMPUTED_VALUE"""),1252.441)</f>
        <v>1252.441</v>
      </c>
      <c r="D203" s="1">
        <f ca="1">IFERROR(__xludf.DUMMYFUNCTION("""COMPUTED_VALUE"""),9871.921)</f>
        <v>9871.9210000000003</v>
      </c>
    </row>
    <row r="204" spans="1:4" ht="13" x14ac:dyDescent="0.15">
      <c r="A204" s="1">
        <f ca="1">IFERROR(__xludf.DUMMYFUNCTION("""COMPUTED_VALUE"""),878)</f>
        <v>878</v>
      </c>
      <c r="B204" s="1">
        <f ca="1">IFERROR(__xludf.DUMMYFUNCTION("""COMPUTED_VALUE"""),689.316)</f>
        <v>689.31600000000003</v>
      </c>
      <c r="C204" s="1">
        <f ca="1">IFERROR(__xludf.DUMMYFUNCTION("""COMPUTED_VALUE"""),1171.01)</f>
        <v>1171.01</v>
      </c>
      <c r="D204" s="1">
        <f ca="1">IFERROR(__xludf.DUMMYFUNCTION("""COMPUTED_VALUE"""),7863.903)</f>
        <v>7863.9030000000002</v>
      </c>
    </row>
    <row r="205" spans="1:4" ht="13" x14ac:dyDescent="0.15">
      <c r="A205" s="1">
        <f ca="1">IFERROR(__xludf.DUMMYFUNCTION("""COMPUTED_VALUE"""),771)</f>
        <v>771</v>
      </c>
      <c r="B205" s="1">
        <f ca="1">IFERROR(__xludf.DUMMYFUNCTION("""COMPUTED_VALUE"""),313.889)</f>
        <v>313.88900000000001</v>
      </c>
      <c r="C205" s="1">
        <f ca="1">IFERROR(__xludf.DUMMYFUNCTION("""COMPUTED_VALUE"""),1311.176)</f>
        <v>1311.1759999999999</v>
      </c>
      <c r="D205" s="1">
        <f ca="1">IFERROR(__xludf.DUMMYFUNCTION("""COMPUTED_VALUE"""),8082.044)</f>
        <v>8082.0439999999999</v>
      </c>
    </row>
    <row r="206" spans="1:4" ht="13" x14ac:dyDescent="0.15">
      <c r="A206" s="1">
        <f ca="1">IFERROR(__xludf.DUMMYFUNCTION("""COMPUTED_VALUE"""),454)</f>
        <v>454</v>
      </c>
      <c r="B206" s="1">
        <f ca="1">IFERROR(__xludf.DUMMYFUNCTION("""COMPUTED_VALUE"""),5519.001)</f>
        <v>5519.0010000000002</v>
      </c>
      <c r="C206" s="1">
        <f ca="1">IFERROR(__xludf.DUMMYFUNCTION("""COMPUTED_VALUE"""),10206.713)</f>
        <v>10206.713</v>
      </c>
      <c r="D206" s="1">
        <f ca="1">IFERROR(__xludf.DUMMYFUNCTION("""COMPUTED_VALUE"""),60782.079)</f>
        <v>60782.078999999998</v>
      </c>
    </row>
    <row r="207" spans="1:4" ht="13" x14ac:dyDescent="0.15">
      <c r="A207" s="1">
        <f ca="1">IFERROR(__xludf.DUMMYFUNCTION("""COMPUTED_VALUE"""),571)</f>
        <v>571</v>
      </c>
      <c r="B207" s="1">
        <f ca="1">IFERROR(__xludf.DUMMYFUNCTION("""COMPUTED_VALUE"""),438.373)</f>
        <v>438.37299999999999</v>
      </c>
      <c r="C207" s="1">
        <f ca="1">IFERROR(__xludf.DUMMYFUNCTION("""COMPUTED_VALUE"""),1053.542)</f>
        <v>1053.5419999999999</v>
      </c>
      <c r="D207" s="1">
        <f ca="1">IFERROR(__xludf.DUMMYFUNCTION("""COMPUTED_VALUE"""),5531.743)</f>
        <v>5531.7430000000004</v>
      </c>
    </row>
    <row r="208" spans="1:4" ht="13" x14ac:dyDescent="0.15">
      <c r="A208" s="1">
        <f ca="1">IFERROR(__xludf.DUMMYFUNCTION("""COMPUTED_VALUE"""),1779)</f>
        <v>1779</v>
      </c>
      <c r="B208" s="1">
        <f ca="1">IFERROR(__xludf.DUMMYFUNCTION("""COMPUTED_VALUE"""),227.736)</f>
        <v>227.73599999999999</v>
      </c>
      <c r="C208" s="1">
        <f ca="1">IFERROR(__xludf.DUMMYFUNCTION("""COMPUTED_VALUE"""),389.079)</f>
        <v>389.07900000000001</v>
      </c>
      <c r="D208" s="1">
        <f ca="1">IFERROR(__xludf.DUMMYFUNCTION("""COMPUTED_VALUE"""),4038.417)</f>
        <v>4038.4169999999999</v>
      </c>
    </row>
    <row r="209" spans="1:4" ht="13" x14ac:dyDescent="0.15">
      <c r="A209" s="1">
        <f ca="1">IFERROR(__xludf.DUMMYFUNCTION("""COMPUTED_VALUE"""),1407)</f>
        <v>1407</v>
      </c>
      <c r="B209" s="1">
        <f ca="1">IFERROR(__xludf.DUMMYFUNCTION("""COMPUTED_VALUE"""),250.986)</f>
        <v>250.98599999999999</v>
      </c>
      <c r="C209" s="1">
        <f ca="1">IFERROR(__xludf.DUMMYFUNCTION("""COMPUTED_VALUE"""),2647.829)</f>
        <v>2647.8290000000002</v>
      </c>
      <c r="D209" s="1">
        <f ca="1">IFERROR(__xludf.DUMMYFUNCTION("""COMPUTED_VALUE"""),13123.438)</f>
        <v>13123.438</v>
      </c>
    </row>
    <row r="210" spans="1:4" ht="13" x14ac:dyDescent="0.15">
      <c r="A210" s="1">
        <f ca="1">IFERROR(__xludf.DUMMYFUNCTION("""COMPUTED_VALUE"""),358)</f>
        <v>358</v>
      </c>
      <c r="B210" s="1">
        <f ca="1">IFERROR(__xludf.DUMMYFUNCTION("""COMPUTED_VALUE"""),318.874)</f>
        <v>318.87400000000002</v>
      </c>
      <c r="C210" s="1">
        <f ca="1">IFERROR(__xludf.DUMMYFUNCTION("""COMPUTED_VALUE"""),867.965)</f>
        <v>867.96500000000003</v>
      </c>
      <c r="D210" s="1">
        <f ca="1">IFERROR(__xludf.DUMMYFUNCTION("""COMPUTED_VALUE"""),6558.27)</f>
        <v>6558.27</v>
      </c>
    </row>
    <row r="211" spans="1:4" ht="13" x14ac:dyDescent="0.15">
      <c r="A211" s="1">
        <f ca="1">IFERROR(__xludf.DUMMYFUNCTION("""COMPUTED_VALUE"""),643)</f>
        <v>643</v>
      </c>
      <c r="B211" s="1">
        <f ca="1">IFERROR(__xludf.DUMMYFUNCTION("""COMPUTED_VALUE"""),99.648)</f>
        <v>99.647999999999996</v>
      </c>
      <c r="C211" s="1">
        <f ca="1">IFERROR(__xludf.DUMMYFUNCTION("""COMPUTED_VALUE"""),652.87)</f>
        <v>652.87</v>
      </c>
      <c r="D211" s="1">
        <f ca="1">IFERROR(__xludf.DUMMYFUNCTION("""COMPUTED_VALUE"""),5519.812)</f>
        <v>5519.8119999999999</v>
      </c>
    </row>
    <row r="212" spans="1:4" ht="13" x14ac:dyDescent="0.15">
      <c r="A212" s="1">
        <f ca="1">IFERROR(__xludf.DUMMYFUNCTION("""COMPUTED_VALUE"""),599)</f>
        <v>599</v>
      </c>
      <c r="B212" s="1">
        <f ca="1">IFERROR(__xludf.DUMMYFUNCTION("""COMPUTED_VALUE"""),462.871)</f>
        <v>462.87099999999998</v>
      </c>
      <c r="C212" s="1">
        <f ca="1">IFERROR(__xludf.DUMMYFUNCTION("""COMPUTED_VALUE"""),583.513)</f>
        <v>583.51300000000003</v>
      </c>
      <c r="D212" s="1">
        <f ca="1">IFERROR(__xludf.DUMMYFUNCTION("""COMPUTED_VALUE"""),5224.135)</f>
        <v>5224.1350000000002</v>
      </c>
    </row>
    <row r="213" spans="1:4" ht="13" x14ac:dyDescent="0.15">
      <c r="A213" s="1">
        <f ca="1">IFERROR(__xludf.DUMMYFUNCTION("""COMPUTED_VALUE"""),1380)</f>
        <v>1380</v>
      </c>
      <c r="B213" s="1">
        <f ca="1">IFERROR(__xludf.DUMMYFUNCTION("""COMPUTED_VALUE"""),664.597)</f>
        <v>664.59699999999998</v>
      </c>
      <c r="C213" s="1">
        <f ca="1">IFERROR(__xludf.DUMMYFUNCTION("""COMPUTED_VALUE"""),1296.769)</f>
        <v>1296.769</v>
      </c>
      <c r="D213" s="1">
        <f ca="1">IFERROR(__xludf.DUMMYFUNCTION("""COMPUTED_VALUE"""),8689.685)</f>
        <v>8689.6849999999995</v>
      </c>
    </row>
    <row r="214" spans="1:4" ht="13" x14ac:dyDescent="0.15">
      <c r="A214" s="1">
        <f ca="1">IFERROR(__xludf.DUMMYFUNCTION("""COMPUTED_VALUE"""),221)</f>
        <v>221</v>
      </c>
      <c r="B214" s="1">
        <f ca="1">IFERROR(__xludf.DUMMYFUNCTION("""COMPUTED_VALUE"""),545.912)</f>
        <v>545.91200000000003</v>
      </c>
      <c r="C214" s="1">
        <f ca="1">IFERROR(__xludf.DUMMYFUNCTION("""COMPUTED_VALUE"""),1293.041)</f>
        <v>1293.0409999999999</v>
      </c>
      <c r="D214" s="1">
        <f ca="1">IFERROR(__xludf.DUMMYFUNCTION("""COMPUTED_VALUE"""),8105.494)</f>
        <v>8105.4939999999997</v>
      </c>
    </row>
    <row r="215" spans="1:4" ht="13" x14ac:dyDescent="0.15">
      <c r="A215" s="1">
        <f ca="1">IFERROR(__xludf.DUMMYFUNCTION("""COMPUTED_VALUE"""),213)</f>
        <v>213</v>
      </c>
      <c r="B215" s="1">
        <f ca="1">IFERROR(__xludf.DUMMYFUNCTION("""COMPUTED_VALUE"""),311.968)</f>
        <v>311.96800000000002</v>
      </c>
      <c r="C215" s="1">
        <f ca="1">IFERROR(__xludf.DUMMYFUNCTION("""COMPUTED_VALUE"""),803.963)</f>
        <v>803.96299999999997</v>
      </c>
      <c r="D215" s="1">
        <f ca="1">IFERROR(__xludf.DUMMYFUNCTION("""COMPUTED_VALUE"""),5818.725)</f>
        <v>5818.7250000000004</v>
      </c>
    </row>
    <row r="216" spans="1:4" ht="13" x14ac:dyDescent="0.15">
      <c r="A216" s="1">
        <f ca="1">IFERROR(__xludf.DUMMYFUNCTION("""COMPUTED_VALUE"""),290)</f>
        <v>290</v>
      </c>
      <c r="B216" s="1">
        <f ca="1">IFERROR(__xludf.DUMMYFUNCTION("""COMPUTED_VALUE"""),717.225)</f>
        <v>717.22500000000002</v>
      </c>
      <c r="C216" s="1">
        <f ca="1">IFERROR(__xludf.DUMMYFUNCTION("""COMPUTED_VALUE"""),1865.887)</f>
        <v>1865.8869999999999</v>
      </c>
      <c r="D216" s="1">
        <f ca="1">IFERROR(__xludf.DUMMYFUNCTION("""COMPUTED_VALUE"""),10136.456)</f>
        <v>10136.456</v>
      </c>
    </row>
    <row r="217" spans="1:4" ht="13" x14ac:dyDescent="0.15">
      <c r="A217" s="1">
        <f ca="1">IFERROR(__xludf.DUMMYFUNCTION("""COMPUTED_VALUE"""),219)</f>
        <v>219</v>
      </c>
      <c r="B217" s="1">
        <f ca="1">IFERROR(__xludf.DUMMYFUNCTION("""COMPUTED_VALUE"""),386.408)</f>
        <v>386.40800000000002</v>
      </c>
      <c r="C217" s="1">
        <f ca="1">IFERROR(__xludf.DUMMYFUNCTION("""COMPUTED_VALUE"""),1132.332)</f>
        <v>1132.3320000000001</v>
      </c>
      <c r="D217" s="1">
        <f ca="1">IFERROR(__xludf.DUMMYFUNCTION("""COMPUTED_VALUE"""),8517.434)</f>
        <v>8517.4339999999993</v>
      </c>
    </row>
    <row r="218" spans="1:4" ht="13" x14ac:dyDescent="0.15">
      <c r="A218" s="1">
        <f ca="1">IFERROR(__xludf.DUMMYFUNCTION("""COMPUTED_VALUE"""),281)</f>
        <v>281</v>
      </c>
      <c r="B218" s="1">
        <f ca="1">IFERROR(__xludf.DUMMYFUNCTION("""COMPUTED_VALUE"""),52.554)</f>
        <v>52.554000000000002</v>
      </c>
      <c r="C218" s="1">
        <f ca="1">IFERROR(__xludf.DUMMYFUNCTION("""COMPUTED_VALUE"""),883.412)</f>
        <v>883.41200000000003</v>
      </c>
      <c r="D218" s="1">
        <f ca="1">IFERROR(__xludf.DUMMYFUNCTION("""COMPUTED_VALUE"""),6572.923)</f>
        <v>6572.9229999999998</v>
      </c>
    </row>
    <row r="219" spans="1:4" ht="13" x14ac:dyDescent="0.15">
      <c r="A219" s="1">
        <f ca="1">IFERROR(__xludf.DUMMYFUNCTION("""COMPUTED_VALUE"""),534)</f>
        <v>534</v>
      </c>
      <c r="B219" s="1">
        <f ca="1">IFERROR(__xludf.DUMMYFUNCTION("""COMPUTED_VALUE"""),433.799)</f>
        <v>433.79899999999998</v>
      </c>
      <c r="C219" s="1">
        <f ca="1">IFERROR(__xludf.DUMMYFUNCTION("""COMPUTED_VALUE"""),791.738)</f>
        <v>791.73800000000006</v>
      </c>
      <c r="D219" s="1">
        <f ca="1">IFERROR(__xludf.DUMMYFUNCTION("""COMPUTED_VALUE"""),6060.78)</f>
        <v>6060.78</v>
      </c>
    </row>
    <row r="220" spans="1:4" ht="13" x14ac:dyDescent="0.15">
      <c r="A220" s="1">
        <f ca="1">IFERROR(__xludf.DUMMYFUNCTION("""COMPUTED_VALUE"""),524)</f>
        <v>524</v>
      </c>
      <c r="B220" s="1">
        <f ca="1">IFERROR(__xludf.DUMMYFUNCTION("""COMPUTED_VALUE"""),75.167)</f>
        <v>75.167000000000002</v>
      </c>
      <c r="C220" s="1">
        <f ca="1">IFERROR(__xludf.DUMMYFUNCTION("""COMPUTED_VALUE"""),801.474)</f>
        <v>801.47400000000005</v>
      </c>
      <c r="D220" s="1">
        <f ca="1">IFERROR(__xludf.DUMMYFUNCTION("""COMPUTED_VALUE"""),6607.986)</f>
        <v>6607.9859999999999</v>
      </c>
    </row>
    <row r="221" spans="1:4" ht="13" x14ac:dyDescent="0.15">
      <c r="A221" s="1">
        <f ca="1">IFERROR(__xludf.DUMMYFUNCTION("""COMPUTED_VALUE"""),761)</f>
        <v>761</v>
      </c>
      <c r="B221" s="1">
        <f ca="1">IFERROR(__xludf.DUMMYFUNCTION("""COMPUTED_VALUE"""),1518.565)</f>
        <v>1518.5650000000001</v>
      </c>
      <c r="C221" s="1">
        <f ca="1">IFERROR(__xludf.DUMMYFUNCTION("""COMPUTED_VALUE"""),2218.93)</f>
        <v>2218.9299999999998</v>
      </c>
      <c r="D221" s="1">
        <f ca="1">IFERROR(__xludf.DUMMYFUNCTION("""COMPUTED_VALUE"""),11982.82)</f>
        <v>11982.82</v>
      </c>
    </row>
    <row r="222" spans="1:4" ht="13" x14ac:dyDescent="0.15">
      <c r="A222" s="1">
        <f ca="1">IFERROR(__xludf.DUMMYFUNCTION("""COMPUTED_VALUE"""),454)</f>
        <v>454</v>
      </c>
      <c r="B222" s="1">
        <f ca="1">IFERROR(__xludf.DUMMYFUNCTION("""COMPUTED_VALUE"""),489.482)</f>
        <v>489.48200000000003</v>
      </c>
      <c r="C222" s="1">
        <f ca="1">IFERROR(__xludf.DUMMYFUNCTION("""COMPUTED_VALUE"""),652.483)</f>
        <v>652.48299999999995</v>
      </c>
      <c r="D222" s="1">
        <f ca="1">IFERROR(__xludf.DUMMYFUNCTION("""COMPUTED_VALUE"""),4934.484)</f>
        <v>4934.4840000000004</v>
      </c>
    </row>
    <row r="223" spans="1:4" ht="13" x14ac:dyDescent="0.15">
      <c r="A223" s="1">
        <f ca="1">IFERROR(__xludf.DUMMYFUNCTION("""COMPUTED_VALUE"""),571)</f>
        <v>571</v>
      </c>
      <c r="B223" s="1">
        <f ca="1">IFERROR(__xludf.DUMMYFUNCTION("""COMPUTED_VALUE"""),3949.084)</f>
        <v>3949.0839999999998</v>
      </c>
      <c r="C223" s="1">
        <f ca="1">IFERROR(__xludf.DUMMYFUNCTION("""COMPUTED_VALUE"""),8425.442)</f>
        <v>8425.4419999999991</v>
      </c>
      <c r="D223" s="1">
        <f ca="1">IFERROR(__xludf.DUMMYFUNCTION("""COMPUTED_VALUE"""),41502.182)</f>
        <v>41502.182000000001</v>
      </c>
    </row>
    <row r="224" spans="1:4" ht="13" x14ac:dyDescent="0.15">
      <c r="A224" s="1">
        <f ca="1">IFERROR(__xludf.DUMMYFUNCTION("""COMPUTED_VALUE"""),1216)</f>
        <v>1216</v>
      </c>
      <c r="B224" s="1">
        <f ca="1">IFERROR(__xludf.DUMMYFUNCTION("""COMPUTED_VALUE"""),2079.856)</f>
        <v>2079.8560000000002</v>
      </c>
      <c r="C224" s="1">
        <f ca="1">IFERROR(__xludf.DUMMYFUNCTION("""COMPUTED_VALUE"""),3335.196)</f>
        <v>3335.1959999999999</v>
      </c>
      <c r="D224" s="1">
        <f ca="1">IFERROR(__xludf.DUMMYFUNCTION("""COMPUTED_VALUE"""),30106.84)</f>
        <v>30106.84</v>
      </c>
    </row>
    <row r="225" spans="1:4" ht="13" x14ac:dyDescent="0.15">
      <c r="A225" s="1">
        <f ca="1">IFERROR(__xludf.DUMMYFUNCTION("""COMPUTED_VALUE"""),599)</f>
        <v>599</v>
      </c>
      <c r="B225" s="1">
        <f ca="1">IFERROR(__xludf.DUMMYFUNCTION("""COMPUTED_VALUE"""),1365.566)</f>
        <v>1365.566</v>
      </c>
      <c r="C225" s="1">
        <f ca="1">IFERROR(__xludf.DUMMYFUNCTION("""COMPUTED_VALUE"""),14727.062)</f>
        <v>14727.062</v>
      </c>
      <c r="D225" s="1">
        <f ca="1">IFERROR(__xludf.DUMMYFUNCTION("""COMPUTED_VALUE"""),68921.29)</f>
        <v>68921.289999999994</v>
      </c>
    </row>
    <row r="226" spans="1:4" ht="13" x14ac:dyDescent="0.15">
      <c r="A226" s="1">
        <f ca="1">IFERROR(__xludf.DUMMYFUNCTION("""COMPUTED_VALUE"""),1407)</f>
        <v>1407</v>
      </c>
      <c r="B226" s="1">
        <f ca="1">IFERROR(__xludf.DUMMYFUNCTION("""COMPUTED_VALUE"""),2466.527)</f>
        <v>2466.527</v>
      </c>
      <c r="C226" s="1">
        <f ca="1">IFERROR(__xludf.DUMMYFUNCTION("""COMPUTED_VALUE"""),6037.88)</f>
        <v>6037.88</v>
      </c>
      <c r="D226" s="1">
        <f ca="1">IFERROR(__xludf.DUMMYFUNCTION("""COMPUTED_VALUE"""),42563.939)</f>
        <v>42563.938999999998</v>
      </c>
    </row>
    <row r="227" spans="1:4" ht="13" x14ac:dyDescent="0.15">
      <c r="A227" s="1">
        <f ca="1">IFERROR(__xludf.DUMMYFUNCTION("""COMPUTED_VALUE"""),878)</f>
        <v>878</v>
      </c>
      <c r="B227" s="1">
        <f ca="1">IFERROR(__xludf.DUMMYFUNCTION("""COMPUTED_VALUE"""),1818.441)</f>
        <v>1818.441</v>
      </c>
      <c r="C227" s="1">
        <f ca="1">IFERROR(__xludf.DUMMYFUNCTION("""COMPUTED_VALUE"""),10191.818)</f>
        <v>10191.817999999999</v>
      </c>
      <c r="D227" s="1">
        <f ca="1">IFERROR(__xludf.DUMMYFUNCTION("""COMPUTED_VALUE"""),65252.527)</f>
        <v>65252.527000000002</v>
      </c>
    </row>
    <row r="228" spans="1:4" ht="13" x14ac:dyDescent="0.15">
      <c r="A228" s="1">
        <f ca="1">IFERROR(__xludf.DUMMYFUNCTION("""COMPUTED_VALUE"""),555)</f>
        <v>555</v>
      </c>
      <c r="B228" s="1">
        <f ca="1">IFERROR(__xludf.DUMMYFUNCTION("""COMPUTED_VALUE"""),3618.373)</f>
        <v>3618.373</v>
      </c>
      <c r="C228" s="1">
        <f ca="1">IFERROR(__xludf.DUMMYFUNCTION("""COMPUTED_VALUE"""),5392.964)</f>
        <v>5392.9639999999999</v>
      </c>
      <c r="D228" s="1">
        <f ca="1">IFERROR(__xludf.DUMMYFUNCTION("""COMPUTED_VALUE"""),39266.382)</f>
        <v>39266.381999999998</v>
      </c>
    </row>
    <row r="229" spans="1:4" ht="13" x14ac:dyDescent="0.15">
      <c r="A229" s="1">
        <f ca="1">IFERROR(__xludf.DUMMYFUNCTION("""COMPUTED_VALUE"""),761)</f>
        <v>761</v>
      </c>
      <c r="B229" s="1">
        <f ca="1">IFERROR(__xludf.DUMMYFUNCTION("""COMPUTED_VALUE"""),2665.209)</f>
        <v>2665.2089999999998</v>
      </c>
      <c r="C229" s="1">
        <f ca="1">IFERROR(__xludf.DUMMYFUNCTION("""COMPUTED_VALUE"""),7344.587)</f>
        <v>7344.5870000000004</v>
      </c>
      <c r="D229" s="1">
        <f ca="1">IFERROR(__xludf.DUMMYFUNCTION("""COMPUTED_VALUE"""),36972.225)</f>
        <v>36972.224999999999</v>
      </c>
    </row>
    <row r="230" spans="1:4" ht="13" x14ac:dyDescent="0.15">
      <c r="A230" s="1">
        <f ca="1">IFERROR(__xludf.DUMMYFUNCTION("""COMPUTED_VALUE"""),550)</f>
        <v>550</v>
      </c>
      <c r="B230" s="1">
        <f ca="1">IFERROR(__xludf.DUMMYFUNCTION("""COMPUTED_VALUE"""),1544.119)</f>
        <v>1544.1189999999999</v>
      </c>
      <c r="C230" s="1">
        <f ca="1">IFERROR(__xludf.DUMMYFUNCTION("""COMPUTED_VALUE"""),2555.166)</f>
        <v>2555.1660000000002</v>
      </c>
      <c r="D230" s="1">
        <f ca="1">IFERROR(__xludf.DUMMYFUNCTION("""COMPUTED_VALUE"""),24462.853)</f>
        <v>24462.852999999999</v>
      </c>
    </row>
    <row r="231" spans="1:4" ht="13" x14ac:dyDescent="0.15">
      <c r="A231" s="1">
        <f ca="1">IFERROR(__xludf.DUMMYFUNCTION("""COMPUTED_VALUE"""),737)</f>
        <v>737</v>
      </c>
      <c r="B231" s="1">
        <f ca="1">IFERROR(__xludf.DUMMYFUNCTION("""COMPUTED_VALUE"""),459.675)</f>
        <v>459.67500000000001</v>
      </c>
      <c r="C231" s="1">
        <f ca="1">IFERROR(__xludf.DUMMYFUNCTION("""COMPUTED_VALUE"""),6826.283)</f>
        <v>6826.2830000000004</v>
      </c>
      <c r="D231" s="1">
        <f ca="1">IFERROR(__xludf.DUMMYFUNCTION("""COMPUTED_VALUE"""),33603.182)</f>
        <v>33603.182000000001</v>
      </c>
    </row>
    <row r="232" spans="1:4" ht="13" x14ac:dyDescent="0.15">
      <c r="A232" s="1">
        <f ca="1">IFERROR(__xludf.DUMMYFUNCTION("""COMPUTED_VALUE"""),1004)</f>
        <v>1004</v>
      </c>
      <c r="B232" s="1">
        <f ca="1">IFERROR(__xludf.DUMMYFUNCTION("""COMPUTED_VALUE"""),1968.607)</f>
        <v>1968.607</v>
      </c>
      <c r="C232" s="1">
        <f ca="1">IFERROR(__xludf.DUMMYFUNCTION("""COMPUTED_VALUE"""),5097.13)</f>
        <v>5097.13</v>
      </c>
      <c r="D232" s="1">
        <f ca="1">IFERROR(__xludf.DUMMYFUNCTION("""COMPUTED_VALUE"""),39390.028)</f>
        <v>39390.027999999998</v>
      </c>
    </row>
    <row r="233" spans="1:4" ht="13" x14ac:dyDescent="0.15">
      <c r="A233" s="1">
        <f ca="1">IFERROR(__xludf.DUMMYFUNCTION("""COMPUTED_VALUE"""),1216)</f>
        <v>1216</v>
      </c>
      <c r="B233" s="1">
        <f ca="1">IFERROR(__xludf.DUMMYFUNCTION("""COMPUTED_VALUE"""),1204.092)</f>
        <v>1204.0920000000001</v>
      </c>
      <c r="C233" s="1">
        <f ca="1">IFERROR(__xludf.DUMMYFUNCTION("""COMPUTED_VALUE"""),8335.314)</f>
        <v>8335.3140000000003</v>
      </c>
      <c r="D233" s="1">
        <f ca="1">IFERROR(__xludf.DUMMYFUNCTION("""COMPUTED_VALUE"""),58256.155)</f>
        <v>58256.154999999999</v>
      </c>
    </row>
    <row r="234" spans="1:4" ht="13" x14ac:dyDescent="0.15">
      <c r="A234" s="1">
        <f ca="1">IFERROR(__xludf.DUMMYFUNCTION("""COMPUTED_VALUE"""),1004)</f>
        <v>1004</v>
      </c>
      <c r="B234" s="1">
        <f ca="1">IFERROR(__xludf.DUMMYFUNCTION("""COMPUTED_VALUE"""),3128.459)</f>
        <v>3128.4589999999998</v>
      </c>
      <c r="C234" s="1">
        <f ca="1">IFERROR(__xludf.DUMMYFUNCTION("""COMPUTED_VALUE"""),4749.452)</f>
        <v>4749.4520000000002</v>
      </c>
      <c r="D234" s="1">
        <f ca="1">IFERROR(__xludf.DUMMYFUNCTION("""COMPUTED_VALUE"""),35081.096)</f>
        <v>35081.095999999998</v>
      </c>
    </row>
    <row r="235" spans="1:4" ht="13" x14ac:dyDescent="0.15">
      <c r="A235" s="1">
        <f ca="1">IFERROR(__xludf.DUMMYFUNCTION("""COMPUTED_VALUE"""),1216)</f>
        <v>1216</v>
      </c>
      <c r="B235" s="1">
        <f ca="1">IFERROR(__xludf.DUMMYFUNCTION("""COMPUTED_VALUE"""),5317.625)</f>
        <v>5317.625</v>
      </c>
      <c r="C235" s="1">
        <f ca="1">IFERROR(__xludf.DUMMYFUNCTION("""COMPUTED_VALUE"""),10170.95)</f>
        <v>10170.950000000001</v>
      </c>
      <c r="D235" s="1">
        <f ca="1">IFERROR(__xludf.DUMMYFUNCTION("""COMPUTED_VALUE"""),60804.473)</f>
        <v>60804.472999999998</v>
      </c>
    </row>
    <row r="236" spans="1:4" ht="13" x14ac:dyDescent="0.15">
      <c r="A236" s="1"/>
    </row>
    <row r="237" spans="1:4" ht="13" x14ac:dyDescent="0.15">
      <c r="A237" s="1"/>
    </row>
    <row r="238" spans="1:4" ht="13" x14ac:dyDescent="0.15">
      <c r="A238" s="1"/>
    </row>
    <row r="239" spans="1:4" ht="13" x14ac:dyDescent="0.15">
      <c r="A239" s="1"/>
    </row>
    <row r="240" spans="1:4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63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19" ht="15.75" customHeight="1" x14ac:dyDescent="0.15">
      <c r="A1" s="1" t="s">
        <v>0</v>
      </c>
      <c r="B1" s="1" t="s">
        <v>1</v>
      </c>
      <c r="C1" s="1" t="s">
        <v>44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J1" s="1" t="s">
        <v>12</v>
      </c>
    </row>
    <row r="2" spans="1:19" ht="15.75" customHeight="1" x14ac:dyDescent="0.15">
      <c r="A2" s="1">
        <v>1</v>
      </c>
      <c r="B2" s="1">
        <v>1</v>
      </c>
      <c r="C2" s="1">
        <f t="shared" ref="C2:C21" si="0">A2+B2</f>
        <v>2</v>
      </c>
      <c r="D2" s="1">
        <v>2.5999999999999999E-2</v>
      </c>
      <c r="E2" s="1">
        <v>0.50700000000000001</v>
      </c>
      <c r="F2" s="1">
        <v>3.1E-2</v>
      </c>
      <c r="G2" s="1">
        <v>0.53800000000000003</v>
      </c>
      <c r="H2" s="1" t="s">
        <v>14</v>
      </c>
      <c r="K2" s="1" t="s">
        <v>44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67</v>
      </c>
      <c r="Q2" s="1" t="s">
        <v>68</v>
      </c>
      <c r="R2" s="1" t="s">
        <v>69</v>
      </c>
      <c r="S2" s="1" t="s">
        <v>68</v>
      </c>
    </row>
    <row r="3" spans="1:19" ht="15.75" customHeight="1" x14ac:dyDescent="0.15">
      <c r="A3" s="1">
        <v>1</v>
      </c>
      <c r="B3" s="1">
        <v>1</v>
      </c>
      <c r="C3" s="1">
        <f t="shared" si="0"/>
        <v>2</v>
      </c>
      <c r="D3" s="1">
        <v>3.5000000000000003E-2</v>
      </c>
      <c r="E3" s="1">
        <v>0.33800000000000002</v>
      </c>
      <c r="F3" s="1">
        <v>4.2999999999999997E-2</v>
      </c>
      <c r="G3" s="1">
        <v>0.38200000000000001</v>
      </c>
      <c r="H3" s="1" t="s">
        <v>14</v>
      </c>
      <c r="K3" s="1">
        <v>2</v>
      </c>
      <c r="L3" s="1">
        <f>D22</f>
        <v>0.11005000000000002</v>
      </c>
      <c r="M3" s="1">
        <f>D23</f>
        <v>0.11370158310243528</v>
      </c>
      <c r="N3" s="1">
        <f>E22</f>
        <v>0.37229999999999991</v>
      </c>
      <c r="O3" s="1">
        <f>E23</f>
        <v>6.2183175927425366E-2</v>
      </c>
      <c r="P3" s="1">
        <f>F22</f>
        <v>0.12575</v>
      </c>
      <c r="Q3" s="1">
        <f>F23</f>
        <v>0.11831620212046415</v>
      </c>
      <c r="R3" s="1">
        <f>G22</f>
        <v>0.49804999999999999</v>
      </c>
      <c r="S3" s="1">
        <f>G23</f>
        <v>0.12836234691397294</v>
      </c>
    </row>
    <row r="4" spans="1:19" ht="15.75" customHeight="1" x14ac:dyDescent="0.15">
      <c r="A4" s="1">
        <v>1</v>
      </c>
      <c r="B4" s="1">
        <v>1</v>
      </c>
      <c r="C4" s="1">
        <f t="shared" si="0"/>
        <v>2</v>
      </c>
      <c r="D4" s="1">
        <v>3.2000000000000001E-2</v>
      </c>
      <c r="E4" s="1">
        <v>0.28399999999999997</v>
      </c>
      <c r="F4" s="1">
        <v>4.2999999999999997E-2</v>
      </c>
      <c r="G4" s="1">
        <v>0.32700000000000001</v>
      </c>
      <c r="H4" s="1" t="s">
        <v>14</v>
      </c>
      <c r="K4" s="1">
        <v>3</v>
      </c>
      <c r="L4" s="1">
        <v>5.5854249999999999</v>
      </c>
      <c r="M4" s="1"/>
      <c r="N4" s="1">
        <v>2.1568500000000004</v>
      </c>
      <c r="O4" s="1"/>
      <c r="P4" s="1">
        <v>6.3139000000000003</v>
      </c>
      <c r="Q4" s="1"/>
      <c r="R4" s="1">
        <v>8.4707750000000015</v>
      </c>
    </row>
    <row r="5" spans="1:19" ht="15.75" customHeight="1" x14ac:dyDescent="0.15">
      <c r="A5" s="1">
        <v>1</v>
      </c>
      <c r="B5" s="1">
        <v>1</v>
      </c>
      <c r="C5" s="1">
        <f t="shared" si="0"/>
        <v>2</v>
      </c>
      <c r="D5" s="1">
        <v>3.2000000000000001E-2</v>
      </c>
      <c r="E5" s="1">
        <v>0.36399999999999999</v>
      </c>
      <c r="F5" s="1">
        <v>4.2999999999999997E-2</v>
      </c>
      <c r="G5" s="1">
        <v>0.40699999999999997</v>
      </c>
      <c r="H5" s="1" t="s">
        <v>14</v>
      </c>
      <c r="K5" s="1">
        <v>4</v>
      </c>
      <c r="L5" s="1">
        <v>76.805133333333316</v>
      </c>
      <c r="M5" s="1"/>
      <c r="N5" s="1">
        <v>7.1073999999999993</v>
      </c>
      <c r="O5" s="1"/>
      <c r="P5" s="1">
        <v>85.157049999999984</v>
      </c>
      <c r="Q5" s="1"/>
      <c r="R5" s="1">
        <v>92.264600000000002</v>
      </c>
    </row>
    <row r="6" spans="1:19" ht="15.75" customHeight="1" x14ac:dyDescent="0.15">
      <c r="A6" s="1">
        <v>1</v>
      </c>
      <c r="B6" s="1">
        <v>1</v>
      </c>
      <c r="C6" s="1">
        <f t="shared" si="0"/>
        <v>2</v>
      </c>
      <c r="D6" s="1">
        <v>4.1000000000000002E-2</v>
      </c>
      <c r="E6" s="1">
        <v>0.30499999999999999</v>
      </c>
      <c r="F6" s="1">
        <v>5.1999999999999998E-2</v>
      </c>
      <c r="G6" s="1">
        <v>0.35599999999999998</v>
      </c>
      <c r="H6" s="1" t="s">
        <v>14</v>
      </c>
      <c r="K6" s="1">
        <v>5</v>
      </c>
      <c r="L6" s="1">
        <v>518.53460000000007</v>
      </c>
      <c r="M6" s="1"/>
      <c r="N6" s="1">
        <v>16.984925000000004</v>
      </c>
      <c r="O6" s="1"/>
      <c r="P6" s="1">
        <v>567.96707500000002</v>
      </c>
      <c r="Q6" s="1"/>
      <c r="R6" s="1">
        <v>584.95208750000006</v>
      </c>
    </row>
    <row r="7" spans="1:19" ht="15.75" customHeight="1" x14ac:dyDescent="0.15">
      <c r="A7" s="1">
        <v>1</v>
      </c>
      <c r="B7" s="1">
        <v>1</v>
      </c>
      <c r="C7" s="1">
        <f t="shared" si="0"/>
        <v>2</v>
      </c>
      <c r="D7" s="1">
        <v>0.16500000000000001</v>
      </c>
      <c r="E7" s="1">
        <v>0.26500000000000001</v>
      </c>
      <c r="F7" s="1">
        <v>0.17699999999999999</v>
      </c>
      <c r="G7" s="1">
        <v>0.442</v>
      </c>
      <c r="H7" s="1" t="s">
        <v>14</v>
      </c>
      <c r="K7" s="1">
        <v>6</v>
      </c>
      <c r="L7" s="1">
        <v>2405.6147999999998</v>
      </c>
      <c r="M7" s="1"/>
      <c r="N7" s="1">
        <v>42.390500000000003</v>
      </c>
      <c r="O7" s="1"/>
      <c r="P7" s="1">
        <v>2634.3815</v>
      </c>
      <c r="Q7" s="1"/>
      <c r="R7" s="1">
        <v>2676.7824999999998</v>
      </c>
    </row>
    <row r="8" spans="1:19" ht="15.75" customHeight="1" x14ac:dyDescent="0.15">
      <c r="A8" s="1">
        <v>1</v>
      </c>
      <c r="B8" s="1">
        <v>1</v>
      </c>
      <c r="C8" s="1">
        <f t="shared" si="0"/>
        <v>2</v>
      </c>
      <c r="D8" s="1">
        <v>4.2000000000000003E-2</v>
      </c>
      <c r="E8" s="1">
        <v>0.28799999999999998</v>
      </c>
      <c r="F8" s="1">
        <v>5.2999999999999999E-2</v>
      </c>
      <c r="G8" s="1">
        <v>0.34200000000000003</v>
      </c>
      <c r="H8" s="1" t="s">
        <v>14</v>
      </c>
    </row>
    <row r="9" spans="1:19" ht="15.75" customHeight="1" x14ac:dyDescent="0.15">
      <c r="A9" s="1">
        <v>1</v>
      </c>
      <c r="B9" s="1">
        <v>1</v>
      </c>
      <c r="C9" s="1">
        <f t="shared" si="0"/>
        <v>2</v>
      </c>
      <c r="D9" s="1">
        <v>2.9000000000000001E-2</v>
      </c>
      <c r="E9" s="1">
        <v>0.38100000000000001</v>
      </c>
      <c r="F9" s="1">
        <v>4.2999999999999997E-2</v>
      </c>
      <c r="G9" s="1">
        <v>0.42299999999999999</v>
      </c>
      <c r="H9" s="1" t="s">
        <v>14</v>
      </c>
    </row>
    <row r="10" spans="1:19" ht="15.75" customHeight="1" x14ac:dyDescent="0.15">
      <c r="A10" s="1">
        <v>1</v>
      </c>
      <c r="B10" s="1">
        <v>1</v>
      </c>
      <c r="C10" s="1">
        <f t="shared" si="0"/>
        <v>2</v>
      </c>
      <c r="D10" s="1">
        <v>0.04</v>
      </c>
      <c r="E10" s="1">
        <v>0.48899999999999999</v>
      </c>
      <c r="F10" s="1">
        <v>5.0999999999999997E-2</v>
      </c>
      <c r="G10" s="1">
        <v>0.54</v>
      </c>
      <c r="H10" s="1" t="s">
        <v>14</v>
      </c>
    </row>
    <row r="11" spans="1:19" ht="15.75" customHeight="1" x14ac:dyDescent="0.15">
      <c r="A11" s="1">
        <v>1</v>
      </c>
      <c r="B11" s="1">
        <v>1</v>
      </c>
      <c r="C11" s="1">
        <f t="shared" si="0"/>
        <v>2</v>
      </c>
      <c r="D11" s="1">
        <v>0.05</v>
      </c>
      <c r="E11" s="1">
        <v>0.42799999999999999</v>
      </c>
      <c r="F11" s="1">
        <v>6.2E-2</v>
      </c>
      <c r="G11" s="1">
        <v>0.49</v>
      </c>
      <c r="H11" s="1" t="s">
        <v>14</v>
      </c>
    </row>
    <row r="12" spans="1:19" ht="15.75" customHeight="1" x14ac:dyDescent="0.15">
      <c r="A12" s="1">
        <v>1</v>
      </c>
      <c r="B12" s="1">
        <v>1</v>
      </c>
      <c r="C12" s="1">
        <f t="shared" si="0"/>
        <v>2</v>
      </c>
      <c r="D12" s="1">
        <v>4.2000000000000003E-2</v>
      </c>
      <c r="E12" s="1">
        <v>0.35799999999999998</v>
      </c>
      <c r="F12" s="1">
        <v>5.5E-2</v>
      </c>
      <c r="G12" s="1">
        <v>0.41299999999999998</v>
      </c>
      <c r="H12" s="1" t="s">
        <v>14</v>
      </c>
    </row>
    <row r="13" spans="1:19" ht="15.75" customHeight="1" x14ac:dyDescent="0.15">
      <c r="A13" s="1">
        <v>1</v>
      </c>
      <c r="B13" s="1">
        <v>1</v>
      </c>
      <c r="C13" s="1">
        <f t="shared" si="0"/>
        <v>2</v>
      </c>
      <c r="D13" s="1">
        <v>5.1999999999999998E-2</v>
      </c>
      <c r="E13" s="1">
        <v>0.40100000000000002</v>
      </c>
      <c r="F13" s="1">
        <v>6.4000000000000001E-2</v>
      </c>
      <c r="G13" s="1">
        <v>0.46500000000000002</v>
      </c>
      <c r="H13" s="1" t="s">
        <v>14</v>
      </c>
    </row>
    <row r="14" spans="1:19" ht="15.75" customHeight="1" x14ac:dyDescent="0.15">
      <c r="A14" s="1">
        <v>1</v>
      </c>
      <c r="B14" s="1">
        <v>1</v>
      </c>
      <c r="C14" s="1">
        <f t="shared" si="0"/>
        <v>2</v>
      </c>
      <c r="D14" s="1">
        <v>5.3999999999999999E-2</v>
      </c>
      <c r="E14" s="1">
        <v>0.40799999999999997</v>
      </c>
      <c r="F14" s="1">
        <v>7.1999999999999995E-2</v>
      </c>
      <c r="G14" s="1">
        <v>0.48</v>
      </c>
      <c r="H14" s="1" t="s">
        <v>14</v>
      </c>
    </row>
    <row r="15" spans="1:19" ht="15.75" customHeight="1" x14ac:dyDescent="0.15">
      <c r="A15" s="1">
        <v>1</v>
      </c>
      <c r="B15" s="1">
        <v>1</v>
      </c>
      <c r="C15" s="1">
        <f t="shared" si="0"/>
        <v>2</v>
      </c>
      <c r="D15" s="1">
        <v>8.7999999999999995E-2</v>
      </c>
      <c r="E15" s="1">
        <v>0.41199999999999998</v>
      </c>
      <c r="F15" s="1">
        <v>0.11799999999999999</v>
      </c>
      <c r="G15" s="1">
        <v>0.53</v>
      </c>
      <c r="H15" s="1" t="s">
        <v>14</v>
      </c>
    </row>
    <row r="16" spans="1:19" ht="15.75" customHeight="1" x14ac:dyDescent="0.15">
      <c r="A16" s="1">
        <v>1</v>
      </c>
      <c r="B16" s="1">
        <v>1</v>
      </c>
      <c r="C16" s="1">
        <f t="shared" si="0"/>
        <v>2</v>
      </c>
      <c r="D16" s="1">
        <v>0.20100000000000001</v>
      </c>
      <c r="E16" s="1">
        <v>0.33700000000000002</v>
      </c>
      <c r="F16" s="1">
        <v>0.221</v>
      </c>
      <c r="G16" s="1">
        <v>0.55900000000000005</v>
      </c>
      <c r="H16" s="1" t="s">
        <v>14</v>
      </c>
    </row>
    <row r="17" spans="1:8" ht="15.75" customHeight="1" x14ac:dyDescent="0.15">
      <c r="A17" s="1">
        <v>1</v>
      </c>
      <c r="B17" s="1">
        <v>1</v>
      </c>
      <c r="C17" s="1">
        <f t="shared" si="0"/>
        <v>2</v>
      </c>
      <c r="D17" s="1">
        <v>0.39100000000000001</v>
      </c>
      <c r="E17" s="1">
        <v>0.35499999999999998</v>
      </c>
      <c r="F17" s="1">
        <v>0.41399999999999998</v>
      </c>
      <c r="G17" s="1">
        <v>0.76900000000000002</v>
      </c>
      <c r="H17" s="1" t="s">
        <v>14</v>
      </c>
    </row>
    <row r="18" spans="1:8" ht="15.75" customHeight="1" x14ac:dyDescent="0.15">
      <c r="A18" s="1">
        <v>1</v>
      </c>
      <c r="B18" s="1">
        <v>1</v>
      </c>
      <c r="C18" s="1">
        <f t="shared" si="0"/>
        <v>2</v>
      </c>
      <c r="D18" s="1">
        <v>0.185</v>
      </c>
      <c r="E18" s="1">
        <v>0.36399999999999999</v>
      </c>
      <c r="F18" s="1">
        <v>0.20699999999999999</v>
      </c>
      <c r="G18" s="1">
        <v>0.56999999999999995</v>
      </c>
      <c r="H18" s="1" t="s">
        <v>14</v>
      </c>
    </row>
    <row r="19" spans="1:8" ht="15.75" customHeight="1" x14ac:dyDescent="0.15">
      <c r="A19" s="1">
        <v>1</v>
      </c>
      <c r="B19" s="1">
        <v>1</v>
      </c>
      <c r="C19" s="1">
        <f t="shared" si="0"/>
        <v>2</v>
      </c>
      <c r="D19" s="1">
        <v>0.1</v>
      </c>
      <c r="E19" s="1">
        <v>0.377</v>
      </c>
      <c r="F19" s="1">
        <v>0.121</v>
      </c>
      <c r="G19" s="1">
        <v>0.498</v>
      </c>
      <c r="H19" s="1" t="s">
        <v>14</v>
      </c>
    </row>
    <row r="20" spans="1:8" ht="15.75" customHeight="1" x14ac:dyDescent="0.15">
      <c r="A20" s="1">
        <v>1</v>
      </c>
      <c r="B20" s="1">
        <v>1</v>
      </c>
      <c r="C20" s="1">
        <f t="shared" si="0"/>
        <v>2</v>
      </c>
      <c r="D20" s="1">
        <v>0.20300000000000001</v>
      </c>
      <c r="E20" s="1">
        <v>0.39100000000000001</v>
      </c>
      <c r="F20" s="1">
        <v>0.22600000000000001</v>
      </c>
      <c r="G20" s="1">
        <v>0.61699999999999999</v>
      </c>
      <c r="H20" s="1" t="s">
        <v>14</v>
      </c>
    </row>
    <row r="21" spans="1:8" ht="15.75" customHeight="1" x14ac:dyDescent="0.15">
      <c r="A21" s="1">
        <v>1</v>
      </c>
      <c r="B21" s="1">
        <v>1</v>
      </c>
      <c r="C21" s="1">
        <f t="shared" si="0"/>
        <v>2</v>
      </c>
      <c r="D21" s="1">
        <v>0.39300000000000002</v>
      </c>
      <c r="E21" s="1">
        <v>0.39400000000000002</v>
      </c>
      <c r="F21" s="1">
        <v>0.41899999999999998</v>
      </c>
      <c r="G21" s="1">
        <v>0.81299999999999994</v>
      </c>
      <c r="H21" s="1" t="s">
        <v>14</v>
      </c>
    </row>
    <row r="22" spans="1:8" ht="15.75" customHeight="1" x14ac:dyDescent="0.15">
      <c r="A22" s="1"/>
      <c r="B22" s="1"/>
      <c r="C22" s="1" t="s">
        <v>70</v>
      </c>
      <c r="D22" s="1">
        <f t="shared" ref="D22:G22" si="1">AVERAGE(D2:D21)</f>
        <v>0.11005000000000002</v>
      </c>
      <c r="E22" s="1">
        <f t="shared" si="1"/>
        <v>0.37229999999999991</v>
      </c>
      <c r="F22" s="1">
        <f t="shared" si="1"/>
        <v>0.12575</v>
      </c>
      <c r="G22" s="1">
        <f t="shared" si="1"/>
        <v>0.49804999999999999</v>
      </c>
      <c r="H22" s="1"/>
    </row>
    <row r="23" spans="1:8" ht="15.75" customHeight="1" x14ac:dyDescent="0.15">
      <c r="A23" s="1"/>
      <c r="B23" s="1"/>
      <c r="C23" s="1" t="s">
        <v>46</v>
      </c>
      <c r="D23" s="1">
        <f t="shared" ref="D23:G23" si="2">STDEV(D2:D21)</f>
        <v>0.11370158310243528</v>
      </c>
      <c r="E23" s="1">
        <f t="shared" si="2"/>
        <v>6.2183175927425366E-2</v>
      </c>
      <c r="F23" s="1">
        <f t="shared" si="2"/>
        <v>0.11831620212046415</v>
      </c>
      <c r="G23" s="1">
        <f t="shared" si="2"/>
        <v>0.12836234691397294</v>
      </c>
      <c r="H23" s="1"/>
    </row>
    <row r="24" spans="1:8" ht="15.75" customHeight="1" x14ac:dyDescent="0.15">
      <c r="A24" s="1">
        <v>1</v>
      </c>
      <c r="B24" s="1">
        <v>2</v>
      </c>
      <c r="C24" s="1">
        <f t="shared" ref="C24:C63" si="3">A24+B24</f>
        <v>3</v>
      </c>
      <c r="D24" s="1">
        <v>1.1020000000000001</v>
      </c>
      <c r="E24" s="1">
        <v>1.8140000000000001</v>
      </c>
      <c r="F24" s="1">
        <v>1.2649999999999999</v>
      </c>
      <c r="G24" s="1">
        <v>3.0790000000000002</v>
      </c>
      <c r="H24" s="1" t="s">
        <v>14</v>
      </c>
    </row>
    <row r="25" spans="1:8" ht="15.75" customHeight="1" x14ac:dyDescent="0.15">
      <c r="A25" s="1">
        <v>2</v>
      </c>
      <c r="B25" s="1">
        <v>1</v>
      </c>
      <c r="C25" s="1">
        <f t="shared" si="3"/>
        <v>3</v>
      </c>
      <c r="D25" s="1">
        <v>2.0790000000000002</v>
      </c>
      <c r="E25" s="1">
        <v>1.214</v>
      </c>
      <c r="F25" s="1">
        <v>2.3660000000000001</v>
      </c>
      <c r="G25" s="1">
        <v>3.58</v>
      </c>
      <c r="H25" s="1" t="s">
        <v>14</v>
      </c>
    </row>
    <row r="26" spans="1:8" ht="15.75" customHeight="1" x14ac:dyDescent="0.15">
      <c r="A26" s="1">
        <v>1</v>
      </c>
      <c r="B26" s="1">
        <v>2</v>
      </c>
      <c r="C26" s="1">
        <f t="shared" si="3"/>
        <v>3</v>
      </c>
      <c r="D26" s="1">
        <v>2.9809999999999999</v>
      </c>
      <c r="E26" s="1">
        <v>1.2</v>
      </c>
      <c r="F26" s="1">
        <v>3.2789999999999999</v>
      </c>
      <c r="G26" s="1">
        <v>4.4800000000000004</v>
      </c>
      <c r="H26" s="1" t="s">
        <v>14</v>
      </c>
    </row>
    <row r="27" spans="1:8" ht="15.75" customHeight="1" x14ac:dyDescent="0.15">
      <c r="A27" s="1">
        <v>2</v>
      </c>
      <c r="B27" s="1">
        <v>1</v>
      </c>
      <c r="C27" s="1">
        <f t="shared" si="3"/>
        <v>3</v>
      </c>
      <c r="D27" s="1">
        <v>1.6419999999999999</v>
      </c>
      <c r="E27" s="1">
        <v>1.3069999999999999</v>
      </c>
      <c r="F27" s="1">
        <v>2.0179999999999998</v>
      </c>
      <c r="G27" s="1">
        <v>3.3250000000000002</v>
      </c>
      <c r="H27" s="1" t="s">
        <v>14</v>
      </c>
    </row>
    <row r="28" spans="1:8" ht="15.75" customHeight="1" x14ac:dyDescent="0.15">
      <c r="A28" s="1">
        <v>1</v>
      </c>
      <c r="B28" s="1">
        <v>2</v>
      </c>
      <c r="C28" s="1">
        <f t="shared" si="3"/>
        <v>3</v>
      </c>
      <c r="D28" s="1">
        <v>1.7729999999999999</v>
      </c>
      <c r="E28" s="1">
        <v>1.639</v>
      </c>
      <c r="F28" s="1">
        <v>2.1459999999999999</v>
      </c>
      <c r="G28" s="1">
        <v>3.7850000000000001</v>
      </c>
      <c r="H28" s="1" t="s">
        <v>14</v>
      </c>
    </row>
    <row r="29" spans="1:8" ht="15.75" customHeight="1" x14ac:dyDescent="0.15">
      <c r="A29" s="1">
        <v>1</v>
      </c>
      <c r="B29" s="1">
        <v>2</v>
      </c>
      <c r="C29" s="1">
        <f t="shared" si="3"/>
        <v>3</v>
      </c>
      <c r="D29" s="1">
        <v>1.609</v>
      </c>
      <c r="E29" s="1">
        <v>2.7170000000000001</v>
      </c>
      <c r="F29" s="1">
        <v>1.9139999999999999</v>
      </c>
      <c r="G29" s="1">
        <v>4.63</v>
      </c>
      <c r="H29" s="1" t="s">
        <v>14</v>
      </c>
    </row>
    <row r="30" spans="1:8" ht="15.75" customHeight="1" x14ac:dyDescent="0.15">
      <c r="A30" s="1">
        <v>1</v>
      </c>
      <c r="B30" s="1">
        <v>2</v>
      </c>
      <c r="C30" s="1">
        <f t="shared" si="3"/>
        <v>3</v>
      </c>
      <c r="D30" s="1">
        <v>2.177</v>
      </c>
      <c r="E30" s="1">
        <v>1.5149999999999999</v>
      </c>
      <c r="F30" s="1">
        <v>2.6190000000000002</v>
      </c>
      <c r="G30" s="1">
        <v>4.1349999999999998</v>
      </c>
      <c r="H30" s="1" t="s">
        <v>14</v>
      </c>
    </row>
    <row r="31" spans="1:8" ht="15.75" customHeight="1" x14ac:dyDescent="0.15">
      <c r="A31" s="1">
        <v>2</v>
      </c>
      <c r="B31" s="1">
        <v>1</v>
      </c>
      <c r="C31" s="1">
        <f t="shared" si="3"/>
        <v>3</v>
      </c>
      <c r="D31" s="1">
        <v>1.7150000000000001</v>
      </c>
      <c r="E31" s="1">
        <v>2.8679999999999999</v>
      </c>
      <c r="F31" s="1">
        <v>2.1869999999999998</v>
      </c>
      <c r="G31" s="1">
        <v>5.0549999999999997</v>
      </c>
      <c r="H31" s="1" t="s">
        <v>14</v>
      </c>
    </row>
    <row r="32" spans="1:8" ht="15.75" customHeight="1" x14ac:dyDescent="0.15">
      <c r="A32" s="1">
        <v>2</v>
      </c>
      <c r="B32" s="1">
        <v>1</v>
      </c>
      <c r="C32" s="1">
        <f t="shared" si="3"/>
        <v>3</v>
      </c>
      <c r="D32" s="1">
        <v>2.069</v>
      </c>
      <c r="E32" s="1">
        <v>3.0409999999999999</v>
      </c>
      <c r="F32" s="1">
        <v>2.5569999999999999</v>
      </c>
      <c r="G32" s="1">
        <v>5.5970000000000004</v>
      </c>
      <c r="H32" s="1" t="s">
        <v>14</v>
      </c>
    </row>
    <row r="33" spans="1:8" ht="15.75" customHeight="1" x14ac:dyDescent="0.15">
      <c r="A33" s="1">
        <v>1</v>
      </c>
      <c r="B33" s="1">
        <v>2</v>
      </c>
      <c r="C33" s="1">
        <f t="shared" si="3"/>
        <v>3</v>
      </c>
      <c r="D33" s="1">
        <v>2.99</v>
      </c>
      <c r="E33" s="1">
        <v>2.472</v>
      </c>
      <c r="F33" s="1">
        <v>3.4940000000000002</v>
      </c>
      <c r="G33" s="1">
        <v>5.9660000000000002</v>
      </c>
      <c r="H33" s="1" t="s">
        <v>14</v>
      </c>
    </row>
    <row r="34" spans="1:8" ht="15.75" customHeight="1" x14ac:dyDescent="0.15">
      <c r="A34" s="1">
        <v>2</v>
      </c>
      <c r="B34" s="1">
        <v>1</v>
      </c>
      <c r="C34" s="1">
        <f t="shared" si="3"/>
        <v>3</v>
      </c>
      <c r="D34" s="1">
        <v>3.29</v>
      </c>
      <c r="E34" s="1">
        <v>2.52</v>
      </c>
      <c r="F34" s="1">
        <v>3.8119999999999998</v>
      </c>
      <c r="G34" s="1">
        <v>6.3310000000000004</v>
      </c>
      <c r="H34" s="1" t="s">
        <v>14</v>
      </c>
    </row>
    <row r="35" spans="1:8" ht="15.75" customHeight="1" x14ac:dyDescent="0.15">
      <c r="A35" s="1">
        <v>1</v>
      </c>
      <c r="B35" s="1">
        <v>2</v>
      </c>
      <c r="C35" s="1">
        <f t="shared" si="3"/>
        <v>3</v>
      </c>
      <c r="D35" s="1">
        <v>4.95</v>
      </c>
      <c r="E35" s="1">
        <v>1.73</v>
      </c>
      <c r="F35" s="1">
        <v>5.5369999999999999</v>
      </c>
      <c r="G35" s="1">
        <v>7.266</v>
      </c>
      <c r="H35" s="1" t="s">
        <v>14</v>
      </c>
    </row>
    <row r="36" spans="1:8" ht="15.75" customHeight="1" x14ac:dyDescent="0.15">
      <c r="A36" s="1">
        <v>1</v>
      </c>
      <c r="B36" s="1">
        <v>2</v>
      </c>
      <c r="C36" s="1">
        <f t="shared" si="3"/>
        <v>3</v>
      </c>
      <c r="D36" s="1">
        <v>2.6379999999999999</v>
      </c>
      <c r="E36" s="1">
        <v>2.0579999999999998</v>
      </c>
      <c r="F36" s="1">
        <v>3.2010000000000001</v>
      </c>
      <c r="G36" s="1">
        <v>5.2590000000000003</v>
      </c>
      <c r="H36" s="1" t="s">
        <v>14</v>
      </c>
    </row>
    <row r="37" spans="1:8" ht="15.75" customHeight="1" x14ac:dyDescent="0.15">
      <c r="A37" s="1">
        <v>2</v>
      </c>
      <c r="B37" s="1">
        <v>1</v>
      </c>
      <c r="C37" s="1">
        <f t="shared" si="3"/>
        <v>3</v>
      </c>
      <c r="D37" s="1">
        <v>5.2510000000000003</v>
      </c>
      <c r="E37" s="1">
        <v>1.375</v>
      </c>
      <c r="F37" s="1">
        <v>5.9340000000000002</v>
      </c>
      <c r="G37" s="1">
        <v>7.3090000000000002</v>
      </c>
      <c r="H37" s="1" t="s">
        <v>14</v>
      </c>
    </row>
    <row r="38" spans="1:8" ht="15.75" customHeight="1" x14ac:dyDescent="0.15">
      <c r="A38" s="1">
        <v>2</v>
      </c>
      <c r="B38" s="1">
        <v>1</v>
      </c>
      <c r="C38" s="1">
        <f t="shared" si="3"/>
        <v>3</v>
      </c>
      <c r="D38" s="1">
        <v>2.87</v>
      </c>
      <c r="E38" s="1">
        <v>2.5129999999999999</v>
      </c>
      <c r="F38" s="1">
        <v>3.4169999999999998</v>
      </c>
      <c r="G38" s="1">
        <v>5.93</v>
      </c>
      <c r="H38" s="1" t="s">
        <v>14</v>
      </c>
    </row>
    <row r="39" spans="1:8" ht="15.75" customHeight="1" x14ac:dyDescent="0.15">
      <c r="A39" s="1">
        <v>1</v>
      </c>
      <c r="B39" s="1">
        <v>2</v>
      </c>
      <c r="C39" s="1">
        <f t="shared" si="3"/>
        <v>3</v>
      </c>
      <c r="D39" s="1">
        <v>3.6560000000000001</v>
      </c>
      <c r="E39" s="1">
        <v>1.986</v>
      </c>
      <c r="F39" s="1">
        <v>4.2789999999999999</v>
      </c>
      <c r="G39" s="1">
        <v>6.2649999999999997</v>
      </c>
      <c r="H39" s="1" t="s">
        <v>14</v>
      </c>
    </row>
    <row r="40" spans="1:8" ht="15.75" customHeight="1" x14ac:dyDescent="0.15">
      <c r="A40" s="1">
        <v>1</v>
      </c>
      <c r="B40" s="1">
        <v>2</v>
      </c>
      <c r="C40" s="1">
        <f t="shared" si="3"/>
        <v>3</v>
      </c>
      <c r="D40" s="1">
        <v>2.9129999999999998</v>
      </c>
      <c r="E40" s="1">
        <v>2.133</v>
      </c>
      <c r="F40" s="1">
        <v>3.56</v>
      </c>
      <c r="G40" s="1">
        <v>5.6929999999999996</v>
      </c>
      <c r="H40" s="1" t="s">
        <v>14</v>
      </c>
    </row>
    <row r="41" spans="1:8" ht="15.75" customHeight="1" x14ac:dyDescent="0.15">
      <c r="A41" s="1">
        <v>2</v>
      </c>
      <c r="B41" s="1">
        <v>1</v>
      </c>
      <c r="C41" s="1">
        <f t="shared" si="3"/>
        <v>3</v>
      </c>
      <c r="D41" s="1">
        <v>3.5419999999999998</v>
      </c>
      <c r="E41" s="1">
        <v>1.9319999999999999</v>
      </c>
      <c r="F41" s="1">
        <v>4.2</v>
      </c>
      <c r="G41" s="1">
        <v>6.1319999999999997</v>
      </c>
      <c r="H41" s="1" t="s">
        <v>14</v>
      </c>
    </row>
    <row r="42" spans="1:8" ht="15.75" customHeight="1" x14ac:dyDescent="0.15">
      <c r="A42" s="1">
        <v>2</v>
      </c>
      <c r="B42" s="1">
        <v>1</v>
      </c>
      <c r="C42" s="1">
        <f t="shared" si="3"/>
        <v>3</v>
      </c>
      <c r="D42" s="1">
        <v>2.9769999999999999</v>
      </c>
      <c r="E42" s="1">
        <v>2.5739999999999998</v>
      </c>
      <c r="F42" s="1">
        <v>3.7160000000000002</v>
      </c>
      <c r="G42" s="1">
        <v>6.2889999999999997</v>
      </c>
      <c r="H42" s="1" t="s">
        <v>14</v>
      </c>
    </row>
    <row r="43" spans="1:8" ht="15.75" customHeight="1" x14ac:dyDescent="0.15">
      <c r="A43" s="1">
        <v>2</v>
      </c>
      <c r="B43" s="1">
        <v>1</v>
      </c>
      <c r="C43" s="1">
        <f t="shared" si="3"/>
        <v>3</v>
      </c>
      <c r="D43" s="1">
        <v>3.641</v>
      </c>
      <c r="E43" s="1">
        <v>2.161</v>
      </c>
      <c r="F43" s="1">
        <v>4.2770000000000001</v>
      </c>
      <c r="G43" s="1">
        <v>6.4379999999999997</v>
      </c>
      <c r="H43" s="1" t="s">
        <v>14</v>
      </c>
    </row>
    <row r="44" spans="1:8" ht="15.75" customHeight="1" x14ac:dyDescent="0.15">
      <c r="A44" s="1">
        <v>1</v>
      </c>
      <c r="B44" s="1">
        <v>2</v>
      </c>
      <c r="C44" s="1">
        <f t="shared" si="3"/>
        <v>3</v>
      </c>
      <c r="D44" s="1">
        <v>3.677</v>
      </c>
      <c r="E44" s="1">
        <v>2.177</v>
      </c>
      <c r="F44" s="1">
        <v>4.3680000000000003</v>
      </c>
      <c r="G44" s="1">
        <v>6.5460000000000003</v>
      </c>
      <c r="H44" s="1" t="s">
        <v>14</v>
      </c>
    </row>
    <row r="45" spans="1:8" ht="15.75" customHeight="1" x14ac:dyDescent="0.15">
      <c r="A45" s="1">
        <v>2</v>
      </c>
      <c r="B45" s="1">
        <v>1</v>
      </c>
      <c r="C45" s="1">
        <f t="shared" si="3"/>
        <v>3</v>
      </c>
      <c r="D45" s="1">
        <v>3.0369999999999999</v>
      </c>
      <c r="E45" s="1">
        <v>2.024</v>
      </c>
      <c r="F45" s="1">
        <v>3.722</v>
      </c>
      <c r="G45" s="1">
        <v>5.7460000000000004</v>
      </c>
      <c r="H45" s="1" t="s">
        <v>14</v>
      </c>
    </row>
    <row r="46" spans="1:8" ht="15.75" customHeight="1" x14ac:dyDescent="0.15">
      <c r="A46" s="1">
        <v>2</v>
      </c>
      <c r="B46" s="1">
        <v>1</v>
      </c>
      <c r="C46" s="1">
        <f t="shared" si="3"/>
        <v>3</v>
      </c>
      <c r="D46" s="1">
        <v>2.504</v>
      </c>
      <c r="E46" s="1">
        <v>2.044</v>
      </c>
      <c r="F46" s="1">
        <v>3.218</v>
      </c>
      <c r="G46" s="1">
        <v>5.2619999999999996</v>
      </c>
      <c r="H46" s="1" t="s">
        <v>14</v>
      </c>
    </row>
    <row r="47" spans="1:8" ht="15.75" customHeight="1" x14ac:dyDescent="0.15">
      <c r="A47" s="1">
        <v>2</v>
      </c>
      <c r="B47" s="1">
        <v>1</v>
      </c>
      <c r="C47" s="1">
        <f t="shared" si="3"/>
        <v>3</v>
      </c>
      <c r="D47" s="1">
        <v>8.8550000000000004</v>
      </c>
      <c r="E47" s="1">
        <v>2.0950000000000002</v>
      </c>
      <c r="F47" s="1">
        <v>9.5389999999999997</v>
      </c>
      <c r="G47" s="1">
        <v>11.634</v>
      </c>
      <c r="H47" s="1" t="s">
        <v>14</v>
      </c>
    </row>
    <row r="48" spans="1:8" ht="15.75" customHeight="1" x14ac:dyDescent="0.15">
      <c r="A48" s="1">
        <v>2</v>
      </c>
      <c r="B48" s="1">
        <v>1</v>
      </c>
      <c r="C48" s="1">
        <f t="shared" si="3"/>
        <v>3</v>
      </c>
      <c r="D48" s="1">
        <v>11.49</v>
      </c>
      <c r="E48" s="1">
        <v>2.3860000000000001</v>
      </c>
      <c r="F48" s="1">
        <v>12.265000000000001</v>
      </c>
      <c r="G48" s="1">
        <v>14.651</v>
      </c>
      <c r="H48" s="1" t="s">
        <v>14</v>
      </c>
    </row>
    <row r="49" spans="1:8" ht="15.75" customHeight="1" x14ac:dyDescent="0.15">
      <c r="A49" s="1">
        <v>1</v>
      </c>
      <c r="B49" s="1">
        <v>2</v>
      </c>
      <c r="C49" s="1">
        <f t="shared" si="3"/>
        <v>3</v>
      </c>
      <c r="D49" s="1">
        <v>3.246</v>
      </c>
      <c r="E49" s="1">
        <v>2.581</v>
      </c>
      <c r="F49" s="1">
        <v>4.085</v>
      </c>
      <c r="G49" s="1">
        <v>6.6660000000000004</v>
      </c>
      <c r="H49" s="1" t="s">
        <v>14</v>
      </c>
    </row>
    <row r="50" spans="1:8" ht="15.75" customHeight="1" x14ac:dyDescent="0.15">
      <c r="A50" s="1">
        <v>1</v>
      </c>
      <c r="B50" s="1">
        <v>2</v>
      </c>
      <c r="C50" s="1">
        <f t="shared" si="3"/>
        <v>3</v>
      </c>
      <c r="D50" s="1">
        <v>5.0629999999999997</v>
      </c>
      <c r="E50" s="1">
        <v>2.1760000000000002</v>
      </c>
      <c r="F50" s="1">
        <v>5.8730000000000002</v>
      </c>
      <c r="G50" s="1">
        <v>8.0489999999999995</v>
      </c>
      <c r="H50" s="1" t="s">
        <v>14</v>
      </c>
    </row>
    <row r="51" spans="1:8" ht="15.75" customHeight="1" x14ac:dyDescent="0.15">
      <c r="A51" s="1">
        <v>1</v>
      </c>
      <c r="B51" s="1">
        <v>2</v>
      </c>
      <c r="C51" s="1">
        <f t="shared" si="3"/>
        <v>3</v>
      </c>
      <c r="D51" s="1">
        <v>2.7709999999999999</v>
      </c>
      <c r="E51" s="1">
        <v>3.0150000000000001</v>
      </c>
      <c r="F51" s="1">
        <v>3.5259999999999998</v>
      </c>
      <c r="G51" s="1">
        <v>6.5410000000000004</v>
      </c>
      <c r="H51" s="1" t="s">
        <v>14</v>
      </c>
    </row>
    <row r="52" spans="1:8" ht="15.75" customHeight="1" x14ac:dyDescent="0.15">
      <c r="A52" s="1">
        <v>1</v>
      </c>
      <c r="B52" s="1">
        <v>2</v>
      </c>
      <c r="C52" s="1">
        <f t="shared" si="3"/>
        <v>3</v>
      </c>
      <c r="D52" s="1">
        <v>10.917</v>
      </c>
      <c r="E52" s="1">
        <v>1.5960000000000001</v>
      </c>
      <c r="F52" s="1">
        <v>11.781000000000001</v>
      </c>
      <c r="G52" s="1">
        <v>13.377000000000001</v>
      </c>
      <c r="H52" s="1" t="s">
        <v>14</v>
      </c>
    </row>
    <row r="53" spans="1:8" ht="15.75" customHeight="1" x14ac:dyDescent="0.15">
      <c r="A53" s="1">
        <v>1</v>
      </c>
      <c r="B53" s="1">
        <v>2</v>
      </c>
      <c r="C53" s="1">
        <f t="shared" si="3"/>
        <v>3</v>
      </c>
      <c r="D53" s="1">
        <v>3.7450000000000001</v>
      </c>
      <c r="E53" s="1">
        <v>2.46</v>
      </c>
      <c r="F53" s="1">
        <v>4.633</v>
      </c>
      <c r="G53" s="1">
        <v>7.0940000000000003</v>
      </c>
      <c r="H53" s="1" t="s">
        <v>14</v>
      </c>
    </row>
    <row r="54" spans="1:8" ht="15.75" customHeight="1" x14ac:dyDescent="0.15">
      <c r="A54" s="1">
        <v>2</v>
      </c>
      <c r="B54" s="1">
        <v>1</v>
      </c>
      <c r="C54" s="1">
        <f t="shared" si="3"/>
        <v>3</v>
      </c>
      <c r="D54" s="1">
        <v>11.898</v>
      </c>
      <c r="E54" s="1">
        <v>1.8180000000000001</v>
      </c>
      <c r="F54" s="1">
        <v>12.76</v>
      </c>
      <c r="G54" s="1">
        <v>14.577999999999999</v>
      </c>
      <c r="H54" s="1" t="s">
        <v>14</v>
      </c>
    </row>
    <row r="55" spans="1:8" ht="15.75" customHeight="1" x14ac:dyDescent="0.15">
      <c r="A55" s="1">
        <v>2</v>
      </c>
      <c r="B55" s="1">
        <v>1</v>
      </c>
      <c r="C55" s="1">
        <f t="shared" si="3"/>
        <v>3</v>
      </c>
      <c r="D55" s="1">
        <v>3.7469999999999999</v>
      </c>
      <c r="E55" s="1">
        <v>2.62</v>
      </c>
      <c r="F55" s="1">
        <v>4.6470000000000002</v>
      </c>
      <c r="G55" s="1">
        <v>7.2670000000000003</v>
      </c>
      <c r="H55" s="1" t="s">
        <v>14</v>
      </c>
    </row>
    <row r="56" spans="1:8" ht="15.75" customHeight="1" x14ac:dyDescent="0.15">
      <c r="A56" s="1">
        <v>1</v>
      </c>
      <c r="B56" s="1">
        <v>2</v>
      </c>
      <c r="C56" s="1">
        <f t="shared" si="3"/>
        <v>3</v>
      </c>
      <c r="D56" s="1">
        <v>14.561999999999999</v>
      </c>
      <c r="E56" s="1">
        <v>1.6240000000000001</v>
      </c>
      <c r="F56" s="1">
        <v>15.596</v>
      </c>
      <c r="G56" s="1">
        <v>17.22</v>
      </c>
      <c r="H56" s="1" t="s">
        <v>14</v>
      </c>
    </row>
    <row r="57" spans="1:8" ht="15.75" customHeight="1" x14ac:dyDescent="0.15">
      <c r="A57" s="1">
        <v>1</v>
      </c>
      <c r="B57" s="1">
        <v>2</v>
      </c>
      <c r="C57" s="1">
        <f t="shared" si="3"/>
        <v>3</v>
      </c>
      <c r="D57" s="1">
        <v>4.4790000000000001</v>
      </c>
      <c r="E57" s="1">
        <v>2.2269999999999999</v>
      </c>
      <c r="F57" s="1">
        <v>5.524</v>
      </c>
      <c r="G57" s="1">
        <v>7.7510000000000003</v>
      </c>
      <c r="H57" s="1" t="s">
        <v>14</v>
      </c>
    </row>
    <row r="58" spans="1:8" ht="15.75" customHeight="1" x14ac:dyDescent="0.15">
      <c r="A58" s="1">
        <v>2</v>
      </c>
      <c r="B58" s="1">
        <v>1</v>
      </c>
      <c r="C58" s="1">
        <f t="shared" si="3"/>
        <v>3</v>
      </c>
      <c r="D58" s="1">
        <v>7.4610000000000003</v>
      </c>
      <c r="E58" s="1">
        <v>2.6179999999999999</v>
      </c>
      <c r="F58" s="1">
        <v>8.452</v>
      </c>
      <c r="G58" s="1">
        <v>11.07</v>
      </c>
      <c r="H58" s="1" t="s">
        <v>14</v>
      </c>
    </row>
    <row r="59" spans="1:8" ht="15.75" customHeight="1" x14ac:dyDescent="0.15">
      <c r="A59" s="1">
        <v>2</v>
      </c>
      <c r="B59" s="1">
        <v>1</v>
      </c>
      <c r="C59" s="1">
        <f t="shared" si="3"/>
        <v>3</v>
      </c>
      <c r="D59" s="1">
        <v>5.7439999999999998</v>
      </c>
      <c r="E59" s="1">
        <v>2.3839999999999999</v>
      </c>
      <c r="F59" s="1">
        <v>6.8719999999999999</v>
      </c>
      <c r="G59" s="1">
        <v>9.2560000000000002</v>
      </c>
      <c r="H59" s="1" t="s">
        <v>14</v>
      </c>
    </row>
    <row r="60" spans="1:8" ht="15.75" customHeight="1" x14ac:dyDescent="0.15">
      <c r="A60" s="1">
        <v>1</v>
      </c>
      <c r="B60" s="1">
        <v>2</v>
      </c>
      <c r="C60" s="1">
        <f t="shared" si="3"/>
        <v>3</v>
      </c>
      <c r="D60" s="1">
        <v>17.927</v>
      </c>
      <c r="E60" s="1">
        <v>1.9670000000000001</v>
      </c>
      <c r="F60" s="1">
        <v>19.027000000000001</v>
      </c>
      <c r="G60" s="1">
        <v>20.994</v>
      </c>
      <c r="H60" s="1" t="s">
        <v>14</v>
      </c>
    </row>
    <row r="61" spans="1:8" ht="15.75" customHeight="1" x14ac:dyDescent="0.15">
      <c r="A61" s="1">
        <v>2</v>
      </c>
      <c r="B61" s="1">
        <v>1</v>
      </c>
      <c r="C61" s="1">
        <f t="shared" si="3"/>
        <v>3</v>
      </c>
      <c r="D61" s="1">
        <v>20.027000000000001</v>
      </c>
      <c r="E61" s="1">
        <v>2.1789999999999998</v>
      </c>
      <c r="F61" s="1">
        <v>21.347000000000001</v>
      </c>
      <c r="G61" s="1">
        <v>23.527000000000001</v>
      </c>
      <c r="H61" s="1" t="s">
        <v>14</v>
      </c>
    </row>
    <row r="62" spans="1:8" ht="15.75" customHeight="1" x14ac:dyDescent="0.15">
      <c r="A62" s="1">
        <v>2</v>
      </c>
      <c r="B62" s="1">
        <v>1</v>
      </c>
      <c r="C62" s="1">
        <f t="shared" si="3"/>
        <v>3</v>
      </c>
      <c r="D62" s="1">
        <v>14.923999999999999</v>
      </c>
      <c r="E62" s="1">
        <v>2.77</v>
      </c>
      <c r="F62" s="1">
        <v>16.431000000000001</v>
      </c>
      <c r="G62" s="1">
        <v>19.202000000000002</v>
      </c>
      <c r="H62" s="1" t="s">
        <v>14</v>
      </c>
    </row>
    <row r="63" spans="1:8" ht="15.75" customHeight="1" x14ac:dyDescent="0.15">
      <c r="A63" s="1">
        <v>1</v>
      </c>
      <c r="B63" s="1">
        <v>2</v>
      </c>
      <c r="C63" s="1">
        <f t="shared" si="3"/>
        <v>3</v>
      </c>
      <c r="D63" s="1">
        <v>11.478</v>
      </c>
      <c r="E63" s="1">
        <v>2.7440000000000002</v>
      </c>
      <c r="F63" s="1">
        <v>13.112</v>
      </c>
      <c r="G63" s="1">
        <v>15.856</v>
      </c>
      <c r="H63" s="1" t="s">
        <v>14</v>
      </c>
    </row>
    <row r="64" spans="1:8" ht="15.75" customHeight="1" x14ac:dyDescent="0.15">
      <c r="A64" s="1"/>
      <c r="B64" s="1"/>
      <c r="C64" s="1" t="s">
        <v>71</v>
      </c>
      <c r="D64" s="1">
        <f t="shared" ref="D64:G64" si="4">AVERAGE(D24:D63)</f>
        <v>5.5854249999999999</v>
      </c>
      <c r="E64" s="1">
        <f t="shared" si="4"/>
        <v>2.1568500000000004</v>
      </c>
      <c r="F64" s="1">
        <f t="shared" si="4"/>
        <v>6.3139000000000003</v>
      </c>
      <c r="G64" s="1">
        <f t="shared" si="4"/>
        <v>8.4707750000000015</v>
      </c>
      <c r="H64" s="1"/>
    </row>
    <row r="65" spans="1:8" ht="15.75" customHeight="1" x14ac:dyDescent="0.15">
      <c r="A65" s="1">
        <v>1</v>
      </c>
      <c r="B65" s="1">
        <v>3</v>
      </c>
      <c r="C65" s="1">
        <f t="shared" ref="C65:C124" si="5">A65+B65</f>
        <v>4</v>
      </c>
      <c r="D65" s="1">
        <v>21.763000000000002</v>
      </c>
      <c r="E65" s="1">
        <v>2.9260000000000002</v>
      </c>
      <c r="F65" s="1">
        <v>23.352</v>
      </c>
      <c r="G65" s="1">
        <v>26.277999999999999</v>
      </c>
      <c r="H65" s="1" t="s">
        <v>14</v>
      </c>
    </row>
    <row r="66" spans="1:8" ht="15.75" customHeight="1" x14ac:dyDescent="0.15">
      <c r="A66" s="1">
        <v>3</v>
      </c>
      <c r="B66" s="1">
        <v>1</v>
      </c>
      <c r="C66" s="1">
        <f t="shared" si="5"/>
        <v>4</v>
      </c>
      <c r="D66" s="1">
        <v>9.74</v>
      </c>
      <c r="E66" s="1">
        <v>3.512</v>
      </c>
      <c r="F66" s="1">
        <v>11.919</v>
      </c>
      <c r="G66" s="1">
        <v>15.430999999999999</v>
      </c>
      <c r="H66" s="1" t="s">
        <v>14</v>
      </c>
    </row>
    <row r="67" spans="1:8" ht="13" x14ac:dyDescent="0.15">
      <c r="A67" s="1">
        <v>2</v>
      </c>
      <c r="B67" s="1">
        <v>2</v>
      </c>
      <c r="C67" s="1">
        <f t="shared" si="5"/>
        <v>4</v>
      </c>
      <c r="D67" s="1">
        <v>17.327000000000002</v>
      </c>
      <c r="E67" s="1">
        <v>3.6739999999999999</v>
      </c>
      <c r="F67" s="1">
        <v>20.047999999999998</v>
      </c>
      <c r="G67" s="1">
        <v>23.722999999999999</v>
      </c>
      <c r="H67" s="1" t="s">
        <v>14</v>
      </c>
    </row>
    <row r="68" spans="1:8" ht="13" x14ac:dyDescent="0.15">
      <c r="A68" s="1">
        <v>1</v>
      </c>
      <c r="B68" s="1">
        <v>3</v>
      </c>
      <c r="C68" s="1">
        <f t="shared" si="5"/>
        <v>4</v>
      </c>
      <c r="D68" s="1">
        <v>25.727</v>
      </c>
      <c r="E68" s="1">
        <v>3.2490000000000001</v>
      </c>
      <c r="F68" s="1">
        <v>28.195</v>
      </c>
      <c r="G68" s="1">
        <v>31.443999999999999</v>
      </c>
      <c r="H68" s="1" t="s">
        <v>14</v>
      </c>
    </row>
    <row r="69" spans="1:8" ht="13" x14ac:dyDescent="0.15">
      <c r="A69" s="1">
        <v>3</v>
      </c>
      <c r="B69" s="1">
        <v>1</v>
      </c>
      <c r="C69" s="1">
        <f t="shared" si="5"/>
        <v>4</v>
      </c>
      <c r="D69" s="1">
        <v>39.188000000000002</v>
      </c>
      <c r="E69" s="1">
        <v>3.5979999999999999</v>
      </c>
      <c r="F69" s="1">
        <v>42.143000000000001</v>
      </c>
      <c r="G69" s="1">
        <v>45.741</v>
      </c>
      <c r="H69" s="1" t="s">
        <v>14</v>
      </c>
    </row>
    <row r="70" spans="1:8" ht="13" x14ac:dyDescent="0.15">
      <c r="A70" s="1">
        <v>1</v>
      </c>
      <c r="B70" s="1">
        <v>3</v>
      </c>
      <c r="C70" s="1">
        <f t="shared" si="5"/>
        <v>4</v>
      </c>
      <c r="D70" s="1">
        <v>16.937000000000001</v>
      </c>
      <c r="E70" s="1">
        <v>4.8550000000000004</v>
      </c>
      <c r="F70" s="1">
        <v>19.786000000000001</v>
      </c>
      <c r="G70" s="1">
        <v>24.640999999999998</v>
      </c>
      <c r="H70" s="1" t="s">
        <v>14</v>
      </c>
    </row>
    <row r="71" spans="1:8" ht="13" x14ac:dyDescent="0.15">
      <c r="A71" s="1">
        <v>3</v>
      </c>
      <c r="B71" s="1">
        <v>1</v>
      </c>
      <c r="C71" s="1">
        <f t="shared" si="5"/>
        <v>4</v>
      </c>
      <c r="D71" s="1">
        <v>20.39</v>
      </c>
      <c r="E71" s="1">
        <v>5.6509999999999998</v>
      </c>
      <c r="F71" s="1">
        <v>23.297000000000001</v>
      </c>
      <c r="G71" s="1">
        <v>28.948</v>
      </c>
      <c r="H71" s="1" t="s">
        <v>14</v>
      </c>
    </row>
    <row r="72" spans="1:8" ht="13" x14ac:dyDescent="0.15">
      <c r="A72" s="1">
        <v>1</v>
      </c>
      <c r="B72" s="1">
        <v>3</v>
      </c>
      <c r="C72" s="1">
        <f t="shared" si="5"/>
        <v>4</v>
      </c>
      <c r="D72" s="1">
        <v>17.539000000000001</v>
      </c>
      <c r="E72" s="1">
        <v>7.4189999999999996</v>
      </c>
      <c r="F72" s="1">
        <v>20.094000000000001</v>
      </c>
      <c r="G72" s="1">
        <v>27.513000000000002</v>
      </c>
      <c r="H72" s="1" t="s">
        <v>14</v>
      </c>
    </row>
    <row r="73" spans="1:8" ht="13" x14ac:dyDescent="0.15">
      <c r="A73" s="1">
        <v>3</v>
      </c>
      <c r="B73" s="1">
        <v>1</v>
      </c>
      <c r="C73" s="1">
        <f t="shared" si="5"/>
        <v>4</v>
      </c>
      <c r="D73" s="1">
        <v>27.925000000000001</v>
      </c>
      <c r="E73" s="1">
        <v>4.6790000000000003</v>
      </c>
      <c r="F73" s="1">
        <v>31.817</v>
      </c>
      <c r="G73" s="1">
        <v>36.497</v>
      </c>
      <c r="H73" s="1" t="s">
        <v>14</v>
      </c>
    </row>
    <row r="74" spans="1:8" ht="13" x14ac:dyDescent="0.15">
      <c r="A74" s="1">
        <v>2</v>
      </c>
      <c r="B74" s="1">
        <v>2</v>
      </c>
      <c r="C74" s="1">
        <f t="shared" si="5"/>
        <v>4</v>
      </c>
      <c r="D74" s="1">
        <v>69.212000000000003</v>
      </c>
      <c r="E74" s="1">
        <v>4.5510000000000002</v>
      </c>
      <c r="F74" s="1">
        <v>73.45</v>
      </c>
      <c r="G74" s="1">
        <v>78.001000000000005</v>
      </c>
      <c r="H74" s="1" t="s">
        <v>14</v>
      </c>
    </row>
    <row r="75" spans="1:8" ht="13" x14ac:dyDescent="0.15">
      <c r="A75" s="1">
        <v>3</v>
      </c>
      <c r="B75" s="1">
        <v>1</v>
      </c>
      <c r="C75" s="1">
        <f t="shared" si="5"/>
        <v>4</v>
      </c>
      <c r="D75" s="1">
        <v>16.716000000000001</v>
      </c>
      <c r="E75" s="1">
        <v>7.7539999999999996</v>
      </c>
      <c r="F75" s="1">
        <v>20.988</v>
      </c>
      <c r="G75" s="1">
        <v>28.742000000000001</v>
      </c>
      <c r="H75" s="1" t="s">
        <v>14</v>
      </c>
    </row>
    <row r="76" spans="1:8" ht="13" x14ac:dyDescent="0.15">
      <c r="A76" s="1">
        <v>2</v>
      </c>
      <c r="B76" s="1">
        <v>2</v>
      </c>
      <c r="C76" s="1">
        <f t="shared" si="5"/>
        <v>4</v>
      </c>
      <c r="D76" s="1">
        <v>37.212000000000003</v>
      </c>
      <c r="E76" s="1">
        <v>6.3280000000000003</v>
      </c>
      <c r="F76" s="1">
        <v>42.802999999999997</v>
      </c>
      <c r="G76" s="1">
        <v>49.131</v>
      </c>
      <c r="H76" s="1" t="s">
        <v>14</v>
      </c>
    </row>
    <row r="77" spans="1:8" ht="13" x14ac:dyDescent="0.15">
      <c r="A77" s="1">
        <v>3</v>
      </c>
      <c r="B77" s="1">
        <v>1</v>
      </c>
      <c r="C77" s="1">
        <f t="shared" si="5"/>
        <v>4</v>
      </c>
      <c r="D77" s="1">
        <v>30.643999999999998</v>
      </c>
      <c r="E77" s="1">
        <v>6.8869999999999996</v>
      </c>
      <c r="F77" s="1">
        <v>36.531999999999996</v>
      </c>
      <c r="G77" s="1">
        <v>43.418999999999997</v>
      </c>
      <c r="H77" s="1" t="s">
        <v>14</v>
      </c>
    </row>
    <row r="78" spans="1:8" ht="13" x14ac:dyDescent="0.15">
      <c r="A78" s="1">
        <v>2</v>
      </c>
      <c r="B78" s="1">
        <v>2</v>
      </c>
      <c r="C78" s="1">
        <f t="shared" si="5"/>
        <v>4</v>
      </c>
      <c r="D78" s="1">
        <v>26.728000000000002</v>
      </c>
      <c r="E78" s="1">
        <v>7.1</v>
      </c>
      <c r="F78" s="1">
        <v>31.744</v>
      </c>
      <c r="G78" s="1">
        <v>38.844000000000001</v>
      </c>
      <c r="H78" s="1" t="s">
        <v>14</v>
      </c>
    </row>
    <row r="79" spans="1:8" ht="13" x14ac:dyDescent="0.15">
      <c r="A79" s="1">
        <v>2</v>
      </c>
      <c r="B79" s="1">
        <v>2</v>
      </c>
      <c r="C79" s="1">
        <f t="shared" si="5"/>
        <v>4</v>
      </c>
      <c r="D79" s="1">
        <v>40.284999999999997</v>
      </c>
      <c r="E79" s="1">
        <v>6.4020000000000001</v>
      </c>
      <c r="F79" s="1">
        <v>46.11</v>
      </c>
      <c r="G79" s="1">
        <v>52.512</v>
      </c>
      <c r="H79" s="1" t="s">
        <v>14</v>
      </c>
    </row>
    <row r="80" spans="1:8" ht="13" x14ac:dyDescent="0.15">
      <c r="A80" s="1">
        <v>3</v>
      </c>
      <c r="B80" s="1">
        <v>1</v>
      </c>
      <c r="C80" s="1">
        <f t="shared" si="5"/>
        <v>4</v>
      </c>
      <c r="D80" s="1">
        <v>44.509</v>
      </c>
      <c r="E80" s="1">
        <v>4.4630000000000001</v>
      </c>
      <c r="F80" s="1">
        <v>49.845999999999997</v>
      </c>
      <c r="G80" s="1">
        <v>54.308999999999997</v>
      </c>
      <c r="H80" s="1" t="s">
        <v>14</v>
      </c>
    </row>
    <row r="81" spans="1:8" ht="13" x14ac:dyDescent="0.15">
      <c r="A81" s="1">
        <v>2</v>
      </c>
      <c r="B81" s="1">
        <v>2</v>
      </c>
      <c r="C81" s="1">
        <f t="shared" si="5"/>
        <v>4</v>
      </c>
      <c r="D81" s="1">
        <v>33.601999999999997</v>
      </c>
      <c r="E81" s="1">
        <v>9.3369999999999997</v>
      </c>
      <c r="F81" s="1">
        <v>39.442</v>
      </c>
      <c r="G81" s="1">
        <v>48.78</v>
      </c>
      <c r="H81" s="1" t="s">
        <v>14</v>
      </c>
    </row>
    <row r="82" spans="1:8" ht="13" x14ac:dyDescent="0.15">
      <c r="A82" s="1">
        <v>1</v>
      </c>
      <c r="B82" s="1">
        <v>3</v>
      </c>
      <c r="C82" s="1">
        <f t="shared" si="5"/>
        <v>4</v>
      </c>
      <c r="D82" s="1">
        <v>35.43</v>
      </c>
      <c r="E82" s="1">
        <v>6.5629999999999997</v>
      </c>
      <c r="F82" s="1">
        <v>42.537999999999997</v>
      </c>
      <c r="G82" s="1">
        <v>49.100999999999999</v>
      </c>
      <c r="H82" s="1" t="s">
        <v>14</v>
      </c>
    </row>
    <row r="83" spans="1:8" ht="13" x14ac:dyDescent="0.15">
      <c r="A83" s="1">
        <v>1</v>
      </c>
      <c r="B83" s="1">
        <v>3</v>
      </c>
      <c r="C83" s="1">
        <f t="shared" si="5"/>
        <v>4</v>
      </c>
      <c r="D83" s="1">
        <v>33.573999999999998</v>
      </c>
      <c r="E83" s="1">
        <v>6.3970000000000002</v>
      </c>
      <c r="F83" s="1">
        <v>40.023000000000003</v>
      </c>
      <c r="G83" s="1">
        <v>46.42</v>
      </c>
      <c r="H83" s="1" t="s">
        <v>14</v>
      </c>
    </row>
    <row r="84" spans="1:8" ht="13" x14ac:dyDescent="0.15">
      <c r="A84" s="1">
        <v>2</v>
      </c>
      <c r="B84" s="1">
        <v>2</v>
      </c>
      <c r="C84" s="1">
        <f t="shared" si="5"/>
        <v>4</v>
      </c>
      <c r="D84" s="1">
        <v>52.247</v>
      </c>
      <c r="E84" s="1">
        <v>6.5449999999999999</v>
      </c>
      <c r="F84" s="1">
        <v>58.838000000000001</v>
      </c>
      <c r="G84" s="1">
        <v>65.382999999999996</v>
      </c>
      <c r="H84" s="1" t="s">
        <v>14</v>
      </c>
    </row>
    <row r="85" spans="1:8" ht="13" x14ac:dyDescent="0.15">
      <c r="A85" s="1">
        <v>1</v>
      </c>
      <c r="B85" s="1">
        <v>3</v>
      </c>
      <c r="C85" s="1">
        <f t="shared" si="5"/>
        <v>4</v>
      </c>
      <c r="D85" s="1">
        <v>48.030999999999999</v>
      </c>
      <c r="E85" s="1">
        <v>6.0250000000000004</v>
      </c>
      <c r="F85" s="1">
        <v>55.026000000000003</v>
      </c>
      <c r="G85" s="1">
        <v>61.05</v>
      </c>
      <c r="H85" s="1" t="s">
        <v>14</v>
      </c>
    </row>
    <row r="86" spans="1:8" ht="13" x14ac:dyDescent="0.15">
      <c r="A86" s="1">
        <v>1</v>
      </c>
      <c r="B86" s="1">
        <v>3</v>
      </c>
      <c r="C86" s="1">
        <f t="shared" si="5"/>
        <v>4</v>
      </c>
      <c r="D86" s="1">
        <v>30.835999999999999</v>
      </c>
      <c r="E86" s="1">
        <v>6.7069999999999999</v>
      </c>
      <c r="F86" s="1">
        <v>38.255000000000003</v>
      </c>
      <c r="G86" s="1">
        <v>44.962000000000003</v>
      </c>
      <c r="H86" s="1" t="s">
        <v>14</v>
      </c>
    </row>
    <row r="87" spans="1:8" ht="13" x14ac:dyDescent="0.15">
      <c r="A87" s="1">
        <v>2</v>
      </c>
      <c r="B87" s="1">
        <v>2</v>
      </c>
      <c r="C87" s="1">
        <f t="shared" si="5"/>
        <v>4</v>
      </c>
      <c r="D87" s="1">
        <v>36.359000000000002</v>
      </c>
      <c r="E87" s="1">
        <v>9.5129999999999999</v>
      </c>
      <c r="F87" s="1">
        <v>43.423999999999999</v>
      </c>
      <c r="G87" s="1">
        <v>52.936999999999998</v>
      </c>
      <c r="H87" s="1" t="s">
        <v>14</v>
      </c>
    </row>
    <row r="88" spans="1:8" ht="13" x14ac:dyDescent="0.15">
      <c r="A88" s="1">
        <v>3</v>
      </c>
      <c r="B88" s="1">
        <v>1</v>
      </c>
      <c r="C88" s="1">
        <f t="shared" si="5"/>
        <v>4</v>
      </c>
      <c r="D88" s="1">
        <v>81.209999999999994</v>
      </c>
      <c r="E88" s="1">
        <v>7.01</v>
      </c>
      <c r="F88" s="1">
        <v>88.807000000000002</v>
      </c>
      <c r="G88" s="1">
        <v>95.816999999999993</v>
      </c>
      <c r="H88" s="1" t="s">
        <v>14</v>
      </c>
    </row>
    <row r="89" spans="1:8" ht="13" x14ac:dyDescent="0.15">
      <c r="A89" s="1">
        <v>1</v>
      </c>
      <c r="B89" s="1">
        <v>3</v>
      </c>
      <c r="C89" s="1">
        <f t="shared" si="5"/>
        <v>4</v>
      </c>
      <c r="D89" s="1">
        <v>46.337000000000003</v>
      </c>
      <c r="E89" s="1">
        <v>7.8090000000000002</v>
      </c>
      <c r="F89" s="1">
        <v>54.2</v>
      </c>
      <c r="G89" s="1">
        <v>62.01</v>
      </c>
      <c r="H89" s="1" t="s">
        <v>14</v>
      </c>
    </row>
    <row r="90" spans="1:8" ht="13" x14ac:dyDescent="0.15">
      <c r="A90" s="1">
        <v>1</v>
      </c>
      <c r="B90" s="1">
        <v>3</v>
      </c>
      <c r="C90" s="1">
        <f t="shared" si="5"/>
        <v>4</v>
      </c>
      <c r="D90" s="1">
        <v>55.252000000000002</v>
      </c>
      <c r="E90" s="1">
        <v>6.8879999999999999</v>
      </c>
      <c r="F90" s="1">
        <v>63.765999999999998</v>
      </c>
      <c r="G90" s="1">
        <v>70.653999999999996</v>
      </c>
      <c r="H90" s="1" t="s">
        <v>14</v>
      </c>
    </row>
    <row r="91" spans="1:8" ht="13" x14ac:dyDescent="0.15">
      <c r="A91" s="1">
        <v>1</v>
      </c>
      <c r="B91" s="1">
        <v>3</v>
      </c>
      <c r="C91" s="1">
        <f t="shared" si="5"/>
        <v>4</v>
      </c>
      <c r="D91" s="1">
        <v>40.317999999999998</v>
      </c>
      <c r="E91" s="1">
        <v>8.4280000000000008</v>
      </c>
      <c r="F91" s="1">
        <v>48.058999999999997</v>
      </c>
      <c r="G91" s="1">
        <v>56.487000000000002</v>
      </c>
      <c r="H91" s="1" t="s">
        <v>14</v>
      </c>
    </row>
    <row r="92" spans="1:8" ht="13" x14ac:dyDescent="0.15">
      <c r="A92" s="1">
        <v>2</v>
      </c>
      <c r="B92" s="1">
        <v>2</v>
      </c>
      <c r="C92" s="1">
        <f t="shared" si="5"/>
        <v>4</v>
      </c>
      <c r="D92" s="1">
        <v>53.896000000000001</v>
      </c>
      <c r="E92" s="1">
        <v>7.6520000000000001</v>
      </c>
      <c r="F92" s="1">
        <v>62.737000000000002</v>
      </c>
      <c r="G92" s="1">
        <v>70.388999999999996</v>
      </c>
      <c r="H92" s="1" t="s">
        <v>14</v>
      </c>
    </row>
    <row r="93" spans="1:8" ht="13" x14ac:dyDescent="0.15">
      <c r="A93" s="1">
        <v>3</v>
      </c>
      <c r="B93" s="1">
        <v>1</v>
      </c>
      <c r="C93" s="1">
        <f t="shared" si="5"/>
        <v>4</v>
      </c>
      <c r="D93" s="1">
        <v>81.5</v>
      </c>
      <c r="E93" s="1">
        <v>7.319</v>
      </c>
      <c r="F93" s="1">
        <v>90.480999999999995</v>
      </c>
      <c r="G93" s="1">
        <v>97.8</v>
      </c>
      <c r="H93" s="1" t="s">
        <v>14</v>
      </c>
    </row>
    <row r="94" spans="1:8" ht="13" x14ac:dyDescent="0.15">
      <c r="A94" s="1">
        <v>2</v>
      </c>
      <c r="B94" s="1">
        <v>2</v>
      </c>
      <c r="C94" s="1">
        <f t="shared" si="5"/>
        <v>4</v>
      </c>
      <c r="D94" s="1">
        <v>102.85899999999999</v>
      </c>
      <c r="E94" s="1">
        <v>6.14</v>
      </c>
      <c r="F94" s="1">
        <v>111.807</v>
      </c>
      <c r="G94" s="1">
        <v>117.947</v>
      </c>
      <c r="H94" s="1" t="s">
        <v>14</v>
      </c>
    </row>
    <row r="95" spans="1:8" ht="13" x14ac:dyDescent="0.15">
      <c r="A95" s="1">
        <v>1</v>
      </c>
      <c r="B95" s="1">
        <v>3</v>
      </c>
      <c r="C95" s="1">
        <f t="shared" si="5"/>
        <v>4</v>
      </c>
      <c r="D95" s="1">
        <v>41.698</v>
      </c>
      <c r="E95" s="1">
        <v>7.1369999999999996</v>
      </c>
      <c r="F95" s="1">
        <v>50.347000000000001</v>
      </c>
      <c r="G95" s="1">
        <v>57.484000000000002</v>
      </c>
      <c r="H95" s="1" t="s">
        <v>14</v>
      </c>
    </row>
    <row r="96" spans="1:8" ht="13" x14ac:dyDescent="0.15">
      <c r="A96" s="1">
        <v>3</v>
      </c>
      <c r="B96" s="1">
        <v>1</v>
      </c>
      <c r="C96" s="1">
        <f t="shared" si="5"/>
        <v>4</v>
      </c>
      <c r="D96" s="1">
        <v>38.936</v>
      </c>
      <c r="E96" s="1">
        <v>9.7289999999999992</v>
      </c>
      <c r="F96" s="1">
        <v>47.776000000000003</v>
      </c>
      <c r="G96" s="1">
        <v>57.505000000000003</v>
      </c>
      <c r="H96" s="1" t="s">
        <v>14</v>
      </c>
    </row>
    <row r="97" spans="1:8" ht="13" x14ac:dyDescent="0.15">
      <c r="A97" s="1">
        <v>1</v>
      </c>
      <c r="B97" s="1">
        <v>3</v>
      </c>
      <c r="C97" s="1">
        <f t="shared" si="5"/>
        <v>4</v>
      </c>
      <c r="D97" s="1">
        <v>36.027999999999999</v>
      </c>
      <c r="E97" s="1">
        <v>9.2650000000000006</v>
      </c>
      <c r="F97" s="1">
        <v>45.03</v>
      </c>
      <c r="G97" s="1">
        <v>54.295999999999999</v>
      </c>
      <c r="H97" s="1" t="s">
        <v>14</v>
      </c>
    </row>
    <row r="98" spans="1:8" ht="13" x14ac:dyDescent="0.15">
      <c r="A98" s="1">
        <v>1</v>
      </c>
      <c r="B98" s="1">
        <v>3</v>
      </c>
      <c r="C98" s="1">
        <f t="shared" si="5"/>
        <v>4</v>
      </c>
      <c r="D98" s="1">
        <v>79.884</v>
      </c>
      <c r="E98" s="1">
        <v>6.5670000000000002</v>
      </c>
      <c r="F98" s="1">
        <v>88.662999999999997</v>
      </c>
      <c r="G98" s="1">
        <v>95.23</v>
      </c>
      <c r="H98" s="1" t="s">
        <v>14</v>
      </c>
    </row>
    <row r="99" spans="1:8" ht="13" x14ac:dyDescent="0.15">
      <c r="A99" s="1">
        <v>3</v>
      </c>
      <c r="B99" s="1">
        <v>1</v>
      </c>
      <c r="C99" s="1">
        <f t="shared" si="5"/>
        <v>4</v>
      </c>
      <c r="D99" s="1">
        <v>55.387</v>
      </c>
      <c r="E99" s="1">
        <v>7.569</v>
      </c>
      <c r="F99" s="1">
        <v>64.117000000000004</v>
      </c>
      <c r="G99" s="1">
        <v>71.686000000000007</v>
      </c>
      <c r="H99" s="1" t="s">
        <v>14</v>
      </c>
    </row>
    <row r="100" spans="1:8" ht="13" x14ac:dyDescent="0.15">
      <c r="A100" s="1">
        <v>3</v>
      </c>
      <c r="B100" s="1">
        <v>1</v>
      </c>
      <c r="C100" s="1">
        <f t="shared" si="5"/>
        <v>4</v>
      </c>
      <c r="D100" s="1">
        <v>81.778000000000006</v>
      </c>
      <c r="E100" s="1">
        <v>7.165</v>
      </c>
      <c r="F100" s="1">
        <v>91.088999999999999</v>
      </c>
      <c r="G100" s="1">
        <v>98.254000000000005</v>
      </c>
      <c r="H100" s="1" t="s">
        <v>14</v>
      </c>
    </row>
    <row r="101" spans="1:8" ht="13" x14ac:dyDescent="0.15">
      <c r="A101" s="1">
        <v>1</v>
      </c>
      <c r="B101" s="1">
        <v>3</v>
      </c>
      <c r="C101" s="1">
        <f t="shared" si="5"/>
        <v>4</v>
      </c>
      <c r="D101" s="1">
        <v>57.036999999999999</v>
      </c>
      <c r="E101" s="1">
        <v>7.4560000000000004</v>
      </c>
      <c r="F101" s="1">
        <v>66.486000000000004</v>
      </c>
      <c r="G101" s="1">
        <v>73.942999999999998</v>
      </c>
      <c r="H101" s="1" t="s">
        <v>14</v>
      </c>
    </row>
    <row r="102" spans="1:8" ht="13" x14ac:dyDescent="0.15">
      <c r="A102" s="1">
        <v>3</v>
      </c>
      <c r="B102" s="1">
        <v>1</v>
      </c>
      <c r="C102" s="1">
        <f t="shared" si="5"/>
        <v>4</v>
      </c>
      <c r="D102" s="1">
        <v>50.305</v>
      </c>
      <c r="E102" s="1">
        <v>7.3959999999999999</v>
      </c>
      <c r="F102" s="1">
        <v>60.441000000000003</v>
      </c>
      <c r="G102" s="1">
        <v>67.837999999999994</v>
      </c>
      <c r="H102" s="1" t="s">
        <v>14</v>
      </c>
    </row>
    <row r="103" spans="1:8" ht="13" x14ac:dyDescent="0.15">
      <c r="A103" s="1">
        <v>2</v>
      </c>
      <c r="B103" s="1">
        <v>2</v>
      </c>
      <c r="C103" s="1">
        <f t="shared" si="5"/>
        <v>4</v>
      </c>
      <c r="D103" s="1">
        <v>138.191</v>
      </c>
      <c r="E103" s="1">
        <v>6.2160000000000002</v>
      </c>
      <c r="F103" s="1">
        <v>147.61699999999999</v>
      </c>
      <c r="G103" s="1">
        <v>153.834</v>
      </c>
      <c r="H103" s="1" t="s">
        <v>14</v>
      </c>
    </row>
    <row r="104" spans="1:8" ht="13" x14ac:dyDescent="0.15">
      <c r="A104" s="1">
        <v>2</v>
      </c>
      <c r="B104" s="1">
        <v>2</v>
      </c>
      <c r="C104" s="1">
        <f t="shared" si="5"/>
        <v>4</v>
      </c>
      <c r="D104" s="1">
        <v>119.55500000000001</v>
      </c>
      <c r="E104" s="1">
        <v>7.8170000000000002</v>
      </c>
      <c r="F104" s="1">
        <v>129.84399999999999</v>
      </c>
      <c r="G104" s="1">
        <v>137.66200000000001</v>
      </c>
      <c r="H104" s="1" t="s">
        <v>14</v>
      </c>
    </row>
    <row r="105" spans="1:8" ht="13" x14ac:dyDescent="0.15">
      <c r="A105" s="1">
        <v>3</v>
      </c>
      <c r="B105" s="1">
        <v>1</v>
      </c>
      <c r="C105" s="1">
        <f t="shared" si="5"/>
        <v>4</v>
      </c>
      <c r="D105" s="1">
        <v>54.445999999999998</v>
      </c>
      <c r="E105" s="1">
        <v>8.891</v>
      </c>
      <c r="F105" s="1">
        <v>64.004999999999995</v>
      </c>
      <c r="G105" s="1">
        <v>72.896000000000001</v>
      </c>
      <c r="H105" s="1" t="s">
        <v>14</v>
      </c>
    </row>
    <row r="106" spans="1:8" ht="13" x14ac:dyDescent="0.15">
      <c r="A106" s="1">
        <v>2</v>
      </c>
      <c r="B106" s="1">
        <v>2</v>
      </c>
      <c r="C106" s="1">
        <f t="shared" si="5"/>
        <v>4</v>
      </c>
      <c r="D106" s="1">
        <v>51.506999999999998</v>
      </c>
      <c r="E106" s="1">
        <v>9.06</v>
      </c>
      <c r="F106" s="1">
        <v>61.029000000000003</v>
      </c>
      <c r="G106" s="1">
        <v>70.088999999999999</v>
      </c>
      <c r="H106" s="1" t="s">
        <v>14</v>
      </c>
    </row>
    <row r="107" spans="1:8" ht="13" x14ac:dyDescent="0.15">
      <c r="A107" s="1">
        <v>1</v>
      </c>
      <c r="B107" s="1">
        <v>3</v>
      </c>
      <c r="C107" s="1">
        <f t="shared" si="5"/>
        <v>4</v>
      </c>
      <c r="D107" s="1">
        <v>131.36699999999999</v>
      </c>
      <c r="E107" s="1">
        <v>6.01</v>
      </c>
      <c r="F107" s="1">
        <v>141.642</v>
      </c>
      <c r="G107" s="1">
        <v>147.65199999999999</v>
      </c>
      <c r="H107" s="1" t="s">
        <v>14</v>
      </c>
    </row>
    <row r="108" spans="1:8" ht="13" x14ac:dyDescent="0.15">
      <c r="A108" s="1">
        <v>3</v>
      </c>
      <c r="B108" s="1">
        <v>1</v>
      </c>
      <c r="C108" s="1">
        <f t="shared" si="5"/>
        <v>4</v>
      </c>
      <c r="D108" s="1">
        <v>85.323999999999998</v>
      </c>
      <c r="E108" s="1">
        <v>7.4169999999999998</v>
      </c>
      <c r="F108" s="1">
        <v>95.375</v>
      </c>
      <c r="G108" s="1">
        <v>102.792</v>
      </c>
      <c r="H108" s="1" t="s">
        <v>14</v>
      </c>
    </row>
    <row r="109" spans="1:8" ht="13" x14ac:dyDescent="0.15">
      <c r="A109" s="1">
        <v>2</v>
      </c>
      <c r="B109" s="1">
        <v>2</v>
      </c>
      <c r="C109" s="1">
        <f t="shared" si="5"/>
        <v>4</v>
      </c>
      <c r="D109" s="1">
        <v>102.379</v>
      </c>
      <c r="E109" s="1">
        <v>8.5719999999999992</v>
      </c>
      <c r="F109" s="1">
        <v>112.562</v>
      </c>
      <c r="G109" s="1">
        <v>121.134</v>
      </c>
      <c r="H109" s="1" t="s">
        <v>14</v>
      </c>
    </row>
    <row r="110" spans="1:8" ht="13" x14ac:dyDescent="0.15">
      <c r="A110" s="1">
        <v>2</v>
      </c>
      <c r="B110" s="1">
        <v>2</v>
      </c>
      <c r="C110" s="1">
        <f t="shared" si="5"/>
        <v>4</v>
      </c>
      <c r="D110" s="1">
        <v>83.909000000000006</v>
      </c>
      <c r="E110" s="1">
        <v>9.1590000000000007</v>
      </c>
      <c r="F110" s="1">
        <v>94.403000000000006</v>
      </c>
      <c r="G110" s="1">
        <v>103.562</v>
      </c>
      <c r="H110" s="1" t="s">
        <v>14</v>
      </c>
    </row>
    <row r="111" spans="1:8" ht="13" x14ac:dyDescent="0.15">
      <c r="A111" s="1">
        <v>3</v>
      </c>
      <c r="B111" s="1">
        <v>1</v>
      </c>
      <c r="C111" s="1">
        <f t="shared" si="5"/>
        <v>4</v>
      </c>
      <c r="D111" s="1">
        <v>97.593000000000004</v>
      </c>
      <c r="E111" s="1">
        <v>6.9729999999999999</v>
      </c>
      <c r="F111" s="1">
        <v>108.672</v>
      </c>
      <c r="G111" s="1">
        <v>115.645</v>
      </c>
      <c r="H111" s="1" t="s">
        <v>14</v>
      </c>
    </row>
    <row r="112" spans="1:8" ht="13" x14ac:dyDescent="0.15">
      <c r="A112" s="1">
        <v>1</v>
      </c>
      <c r="B112" s="1">
        <v>3</v>
      </c>
      <c r="C112" s="1">
        <f t="shared" si="5"/>
        <v>4</v>
      </c>
      <c r="D112" s="1">
        <v>153.459</v>
      </c>
      <c r="E112" s="1">
        <v>6.3040000000000003</v>
      </c>
      <c r="F112" s="1">
        <v>164.85</v>
      </c>
      <c r="G112" s="1">
        <v>171.154</v>
      </c>
      <c r="H112" s="1" t="s">
        <v>14</v>
      </c>
    </row>
    <row r="113" spans="1:8" ht="13" x14ac:dyDescent="0.15">
      <c r="A113" s="1">
        <v>2</v>
      </c>
      <c r="B113" s="1">
        <v>2</v>
      </c>
      <c r="C113" s="1">
        <f t="shared" si="5"/>
        <v>4</v>
      </c>
      <c r="D113" s="1">
        <v>128.584</v>
      </c>
      <c r="E113" s="1">
        <v>8.51</v>
      </c>
      <c r="F113" s="1">
        <v>138.99100000000001</v>
      </c>
      <c r="G113" s="1">
        <v>147.501</v>
      </c>
      <c r="H113" s="1" t="s">
        <v>14</v>
      </c>
    </row>
    <row r="114" spans="1:8" ht="13" x14ac:dyDescent="0.15">
      <c r="A114" s="1">
        <v>3</v>
      </c>
      <c r="B114" s="1">
        <v>1</v>
      </c>
      <c r="C114" s="1">
        <f t="shared" si="5"/>
        <v>4</v>
      </c>
      <c r="D114" s="1">
        <v>78.513999999999996</v>
      </c>
      <c r="E114" s="1">
        <v>9.0109999999999992</v>
      </c>
      <c r="F114" s="1">
        <v>89.35</v>
      </c>
      <c r="G114" s="1">
        <v>98.361000000000004</v>
      </c>
      <c r="H114" s="1" t="s">
        <v>14</v>
      </c>
    </row>
    <row r="115" spans="1:8" ht="13" x14ac:dyDescent="0.15">
      <c r="A115" s="1">
        <v>2</v>
      </c>
      <c r="B115" s="1">
        <v>2</v>
      </c>
      <c r="C115" s="1">
        <f t="shared" si="5"/>
        <v>4</v>
      </c>
      <c r="D115" s="1">
        <v>109.19499999999999</v>
      </c>
      <c r="E115" s="1">
        <v>7.8289999999999997</v>
      </c>
      <c r="F115" s="1">
        <v>119.392</v>
      </c>
      <c r="G115" s="1">
        <v>127.221</v>
      </c>
      <c r="H115" s="1" t="s">
        <v>14</v>
      </c>
    </row>
    <row r="116" spans="1:8" ht="13" x14ac:dyDescent="0.15">
      <c r="A116" s="1">
        <v>1</v>
      </c>
      <c r="B116" s="1">
        <v>3</v>
      </c>
      <c r="C116" s="1">
        <f t="shared" si="5"/>
        <v>4</v>
      </c>
      <c r="D116" s="1">
        <v>161.11199999999999</v>
      </c>
      <c r="E116" s="1">
        <v>6.117</v>
      </c>
      <c r="F116" s="1">
        <v>171.76499999999999</v>
      </c>
      <c r="G116" s="1">
        <v>177.88200000000001</v>
      </c>
      <c r="H116" s="1" t="s">
        <v>14</v>
      </c>
    </row>
    <row r="117" spans="1:8" ht="13" x14ac:dyDescent="0.15">
      <c r="A117" s="1">
        <v>3</v>
      </c>
      <c r="B117" s="1">
        <v>1</v>
      </c>
      <c r="C117" s="1">
        <f t="shared" si="5"/>
        <v>4</v>
      </c>
      <c r="D117" s="1">
        <v>133.703</v>
      </c>
      <c r="E117" s="1">
        <v>6.29</v>
      </c>
      <c r="F117" s="1">
        <v>145.078</v>
      </c>
      <c r="G117" s="1">
        <v>151.369</v>
      </c>
      <c r="H117" s="1" t="s">
        <v>14</v>
      </c>
    </row>
    <row r="118" spans="1:8" ht="13" x14ac:dyDescent="0.15">
      <c r="A118" s="1">
        <v>3</v>
      </c>
      <c r="B118" s="1">
        <v>1</v>
      </c>
      <c r="C118" s="1">
        <f t="shared" si="5"/>
        <v>4</v>
      </c>
      <c r="D118" s="1">
        <v>186.63800000000001</v>
      </c>
      <c r="E118" s="1">
        <v>9.4329999999999998</v>
      </c>
      <c r="F118" s="1">
        <v>200.006</v>
      </c>
      <c r="G118" s="1">
        <v>209.43899999999999</v>
      </c>
      <c r="H118" s="1" t="s">
        <v>14</v>
      </c>
    </row>
    <row r="119" spans="1:8" ht="13" x14ac:dyDescent="0.15">
      <c r="A119" s="1">
        <v>2</v>
      </c>
      <c r="B119" s="1">
        <v>2</v>
      </c>
      <c r="C119" s="1">
        <f t="shared" si="5"/>
        <v>4</v>
      </c>
      <c r="D119" s="1">
        <v>221.72900000000001</v>
      </c>
      <c r="E119" s="1">
        <v>9.2720000000000002</v>
      </c>
      <c r="F119" s="1">
        <v>235.994</v>
      </c>
      <c r="G119" s="1">
        <v>245.26599999999999</v>
      </c>
      <c r="H119" s="1" t="s">
        <v>14</v>
      </c>
    </row>
    <row r="120" spans="1:8" ht="13" x14ac:dyDescent="0.15">
      <c r="A120" s="1">
        <v>3</v>
      </c>
      <c r="B120" s="1">
        <v>1</v>
      </c>
      <c r="C120" s="1">
        <f t="shared" si="5"/>
        <v>4</v>
      </c>
      <c r="D120" s="1">
        <v>83.540999999999997</v>
      </c>
      <c r="E120" s="1">
        <v>9.1649999999999991</v>
      </c>
      <c r="F120" s="1">
        <v>96.905000000000001</v>
      </c>
      <c r="G120" s="1">
        <v>106.07</v>
      </c>
      <c r="H120" s="1" t="s">
        <v>14</v>
      </c>
    </row>
    <row r="121" spans="1:8" ht="13" x14ac:dyDescent="0.15">
      <c r="A121" s="1">
        <v>1</v>
      </c>
      <c r="B121" s="1">
        <v>3</v>
      </c>
      <c r="C121" s="1">
        <f t="shared" si="5"/>
        <v>4</v>
      </c>
      <c r="D121" s="1">
        <v>274.16699999999997</v>
      </c>
      <c r="E121" s="1">
        <v>9.4990000000000006</v>
      </c>
      <c r="F121" s="1">
        <v>288.654</v>
      </c>
      <c r="G121" s="1">
        <v>298.154</v>
      </c>
      <c r="H121" s="1" t="s">
        <v>14</v>
      </c>
    </row>
    <row r="122" spans="1:8" ht="13" x14ac:dyDescent="0.15">
      <c r="A122" s="1">
        <v>2</v>
      </c>
      <c r="B122" s="1">
        <v>2</v>
      </c>
      <c r="C122" s="1">
        <f t="shared" si="5"/>
        <v>4</v>
      </c>
      <c r="D122" s="1">
        <v>294.69900000000001</v>
      </c>
      <c r="E122" s="1">
        <v>7.4470000000000001</v>
      </c>
      <c r="F122" s="1">
        <v>310.97500000000002</v>
      </c>
      <c r="G122" s="1">
        <v>318.42099999999999</v>
      </c>
      <c r="H122" s="1" t="s">
        <v>14</v>
      </c>
    </row>
    <row r="123" spans="1:8" ht="13" x14ac:dyDescent="0.15">
      <c r="A123" s="1">
        <v>2</v>
      </c>
      <c r="B123" s="1">
        <v>2</v>
      </c>
      <c r="C123" s="1">
        <f t="shared" si="5"/>
        <v>4</v>
      </c>
      <c r="D123" s="1">
        <v>156.09700000000001</v>
      </c>
      <c r="E123" s="1">
        <v>10.019</v>
      </c>
      <c r="F123" s="1">
        <v>172.72200000000001</v>
      </c>
      <c r="G123" s="1">
        <v>182.74100000000001</v>
      </c>
      <c r="H123" s="1" t="s">
        <v>14</v>
      </c>
    </row>
    <row r="124" spans="1:8" ht="13" x14ac:dyDescent="0.15">
      <c r="A124" s="1">
        <v>1</v>
      </c>
      <c r="B124" s="1">
        <v>3</v>
      </c>
      <c r="C124" s="1">
        <f t="shared" si="5"/>
        <v>4</v>
      </c>
      <c r="D124" s="1">
        <v>128.25299999999999</v>
      </c>
      <c r="E124" s="1">
        <v>9.7680000000000007</v>
      </c>
      <c r="F124" s="1">
        <v>146.11600000000001</v>
      </c>
      <c r="G124" s="1">
        <v>155.88399999999999</v>
      </c>
      <c r="H124" s="1" t="s">
        <v>14</v>
      </c>
    </row>
    <row r="125" spans="1:8" ht="13" x14ac:dyDescent="0.15">
      <c r="A125" s="1"/>
      <c r="B125" s="1"/>
      <c r="C125" s="1" t="s">
        <v>71</v>
      </c>
      <c r="D125" s="1">
        <f t="shared" ref="D125:G125" si="6">AVERAGE(D65:D124)</f>
        <v>76.805133333333316</v>
      </c>
      <c r="E125" s="1">
        <f t="shared" si="6"/>
        <v>7.1073999999999993</v>
      </c>
      <c r="F125" s="1">
        <f t="shared" si="6"/>
        <v>85.157049999999984</v>
      </c>
      <c r="G125" s="1">
        <f t="shared" si="6"/>
        <v>92.264600000000002</v>
      </c>
      <c r="H125" s="1"/>
    </row>
    <row r="126" spans="1:8" ht="13" x14ac:dyDescent="0.15">
      <c r="A126" s="1">
        <v>4</v>
      </c>
      <c r="B126" s="1">
        <v>1</v>
      </c>
      <c r="C126" s="1">
        <f t="shared" ref="C126:C205" si="7">A126+B126</f>
        <v>5</v>
      </c>
      <c r="D126" s="1">
        <v>40.643000000000001</v>
      </c>
      <c r="E126" s="1">
        <v>5.9139999999999997</v>
      </c>
      <c r="F126" s="1">
        <v>46.64</v>
      </c>
      <c r="G126" s="1">
        <v>52.554000000000002</v>
      </c>
      <c r="H126" s="1" t="s">
        <v>14</v>
      </c>
    </row>
    <row r="127" spans="1:8" ht="13" x14ac:dyDescent="0.15">
      <c r="A127" s="1">
        <v>4</v>
      </c>
      <c r="B127" s="1">
        <v>1</v>
      </c>
      <c r="C127" s="1">
        <f t="shared" si="7"/>
        <v>5</v>
      </c>
      <c r="D127" s="1">
        <v>61.177</v>
      </c>
      <c r="E127" s="1">
        <v>6.0720000000000001</v>
      </c>
      <c r="F127" s="1">
        <v>69.094999999999999</v>
      </c>
      <c r="G127" s="1">
        <v>75.167000000000002</v>
      </c>
      <c r="H127" s="1" t="s">
        <v>14</v>
      </c>
    </row>
    <row r="128" spans="1:8" ht="13" x14ac:dyDescent="0.15">
      <c r="A128" s="1">
        <v>1</v>
      </c>
      <c r="B128" s="1">
        <v>4</v>
      </c>
      <c r="C128" s="1">
        <f t="shared" si="7"/>
        <v>5</v>
      </c>
      <c r="D128" s="1">
        <v>97.87</v>
      </c>
      <c r="E128" s="1">
        <v>7.4059999999999997</v>
      </c>
      <c r="F128" s="1">
        <v>107.89400000000001</v>
      </c>
      <c r="G128" s="1">
        <v>115.3</v>
      </c>
      <c r="H128" s="1" t="s">
        <v>14</v>
      </c>
    </row>
    <row r="129" spans="1:8" ht="13" x14ac:dyDescent="0.15">
      <c r="A129" s="1">
        <v>1</v>
      </c>
      <c r="B129" s="1">
        <v>4</v>
      </c>
      <c r="C129" s="1">
        <f t="shared" si="7"/>
        <v>5</v>
      </c>
      <c r="D129" s="1">
        <v>163.43700000000001</v>
      </c>
      <c r="E129" s="1">
        <v>6.9619999999999997</v>
      </c>
      <c r="F129" s="1">
        <v>176.50200000000001</v>
      </c>
      <c r="G129" s="1">
        <v>183.46299999999999</v>
      </c>
      <c r="H129" s="1" t="s">
        <v>14</v>
      </c>
    </row>
    <row r="130" spans="1:8" ht="13" x14ac:dyDescent="0.15">
      <c r="A130" s="1">
        <v>4</v>
      </c>
      <c r="B130" s="1">
        <v>1</v>
      </c>
      <c r="C130" s="1">
        <f t="shared" si="7"/>
        <v>5</v>
      </c>
      <c r="D130" s="1">
        <v>78.986000000000004</v>
      </c>
      <c r="E130" s="1">
        <v>8.94</v>
      </c>
      <c r="F130" s="1">
        <v>90.706999999999994</v>
      </c>
      <c r="G130" s="1">
        <v>99.647999999999996</v>
      </c>
      <c r="H130" s="1" t="s">
        <v>14</v>
      </c>
    </row>
    <row r="131" spans="1:8" ht="13" x14ac:dyDescent="0.15">
      <c r="A131" s="1">
        <v>1</v>
      </c>
      <c r="B131" s="1">
        <v>4</v>
      </c>
      <c r="C131" s="1">
        <f t="shared" si="7"/>
        <v>5</v>
      </c>
      <c r="D131" s="1">
        <v>79.656000000000006</v>
      </c>
      <c r="E131" s="1">
        <v>11.151999999999999</v>
      </c>
      <c r="F131" s="1">
        <v>88.665000000000006</v>
      </c>
      <c r="G131" s="1">
        <v>99.816999999999993</v>
      </c>
      <c r="H131" s="1" t="s">
        <v>14</v>
      </c>
    </row>
    <row r="132" spans="1:8" ht="13" x14ac:dyDescent="0.15">
      <c r="A132" s="1">
        <v>1</v>
      </c>
      <c r="B132" s="1">
        <v>4</v>
      </c>
      <c r="C132" s="1">
        <f t="shared" si="7"/>
        <v>5</v>
      </c>
      <c r="D132" s="1">
        <v>168.917</v>
      </c>
      <c r="E132" s="1">
        <v>6.8789999999999996</v>
      </c>
      <c r="F132" s="1">
        <v>183.88300000000001</v>
      </c>
      <c r="G132" s="1">
        <v>190.761</v>
      </c>
      <c r="H132" s="1" t="s">
        <v>14</v>
      </c>
    </row>
    <row r="133" spans="1:8" ht="13" x14ac:dyDescent="0.15">
      <c r="A133" s="1">
        <v>4</v>
      </c>
      <c r="B133" s="1">
        <v>1</v>
      </c>
      <c r="C133" s="1">
        <f t="shared" si="7"/>
        <v>5</v>
      </c>
      <c r="D133" s="1">
        <v>229.64099999999999</v>
      </c>
      <c r="E133" s="1">
        <v>6.8289999999999997</v>
      </c>
      <c r="F133" s="1">
        <v>244.15700000000001</v>
      </c>
      <c r="G133" s="1">
        <v>250.98599999999999</v>
      </c>
      <c r="H133" s="1" t="s">
        <v>14</v>
      </c>
    </row>
    <row r="134" spans="1:8" ht="13" x14ac:dyDescent="0.15">
      <c r="A134" s="1">
        <v>2</v>
      </c>
      <c r="B134" s="1">
        <v>3</v>
      </c>
      <c r="C134" s="1">
        <f t="shared" si="7"/>
        <v>5</v>
      </c>
      <c r="D134" s="1">
        <v>149.76400000000001</v>
      </c>
      <c r="E134" s="1">
        <v>8.6430000000000007</v>
      </c>
      <c r="F134" s="1">
        <v>163.29400000000001</v>
      </c>
      <c r="G134" s="1">
        <v>171.93700000000001</v>
      </c>
      <c r="H134" s="1" t="s">
        <v>14</v>
      </c>
    </row>
    <row r="135" spans="1:8" ht="13" x14ac:dyDescent="0.15">
      <c r="A135" s="1">
        <v>3</v>
      </c>
      <c r="B135" s="1">
        <v>2</v>
      </c>
      <c r="C135" s="1">
        <f t="shared" si="7"/>
        <v>5</v>
      </c>
      <c r="D135" s="1">
        <v>131.14099999999999</v>
      </c>
      <c r="E135" s="1">
        <v>9.4009999999999998</v>
      </c>
      <c r="F135" s="1">
        <v>147.739</v>
      </c>
      <c r="G135" s="1">
        <v>157.13999999999999</v>
      </c>
      <c r="H135" s="1" t="s">
        <v>14</v>
      </c>
    </row>
    <row r="136" spans="1:8" ht="13" x14ac:dyDescent="0.15">
      <c r="A136" s="1">
        <v>3</v>
      </c>
      <c r="B136" s="1">
        <v>2</v>
      </c>
      <c r="C136" s="1">
        <f t="shared" si="7"/>
        <v>5</v>
      </c>
      <c r="D136" s="1">
        <v>258.495</v>
      </c>
      <c r="E136" s="1">
        <v>9.8350000000000009</v>
      </c>
      <c r="F136" s="1">
        <v>274.14600000000002</v>
      </c>
      <c r="G136" s="1">
        <v>283.98099999999999</v>
      </c>
      <c r="H136" s="1" t="s">
        <v>14</v>
      </c>
    </row>
    <row r="137" spans="1:8" ht="13" x14ac:dyDescent="0.15">
      <c r="A137" s="1">
        <v>2</v>
      </c>
      <c r="B137" s="1">
        <v>3</v>
      </c>
      <c r="C137" s="1">
        <f t="shared" si="7"/>
        <v>5</v>
      </c>
      <c r="D137" s="1">
        <v>277.45800000000003</v>
      </c>
      <c r="E137" s="1">
        <v>10.465</v>
      </c>
      <c r="F137" s="1">
        <v>295.60300000000001</v>
      </c>
      <c r="G137" s="1">
        <v>306.06900000000002</v>
      </c>
      <c r="H137" s="1" t="s">
        <v>14</v>
      </c>
    </row>
    <row r="138" spans="1:8" ht="13" x14ac:dyDescent="0.15">
      <c r="A138" s="1">
        <v>2</v>
      </c>
      <c r="B138" s="1">
        <v>3</v>
      </c>
      <c r="C138" s="1">
        <f t="shared" si="7"/>
        <v>5</v>
      </c>
      <c r="D138" s="1">
        <v>303.27300000000002</v>
      </c>
      <c r="E138" s="1">
        <v>9.0190000000000001</v>
      </c>
      <c r="F138" s="1">
        <v>321.68900000000002</v>
      </c>
      <c r="G138" s="1">
        <v>330.70800000000003</v>
      </c>
      <c r="H138" s="1" t="s">
        <v>14</v>
      </c>
    </row>
    <row r="139" spans="1:8" ht="13" x14ac:dyDescent="0.15">
      <c r="A139" s="1">
        <v>3</v>
      </c>
      <c r="B139" s="1">
        <v>2</v>
      </c>
      <c r="C139" s="1">
        <f t="shared" si="7"/>
        <v>5</v>
      </c>
      <c r="D139" s="1">
        <v>195.32499999999999</v>
      </c>
      <c r="E139" s="1">
        <v>12.923</v>
      </c>
      <c r="F139" s="1">
        <v>220.30699999999999</v>
      </c>
      <c r="G139" s="1">
        <v>233.23099999999999</v>
      </c>
      <c r="H139" s="1" t="s">
        <v>14</v>
      </c>
    </row>
    <row r="140" spans="1:8" ht="13" x14ac:dyDescent="0.15">
      <c r="A140" s="1">
        <v>3</v>
      </c>
      <c r="B140" s="1">
        <v>2</v>
      </c>
      <c r="C140" s="1">
        <f t="shared" si="7"/>
        <v>5</v>
      </c>
      <c r="D140" s="1">
        <v>388.97</v>
      </c>
      <c r="E140" s="1">
        <v>9.5449999999999999</v>
      </c>
      <c r="F140" s="1">
        <v>411.99299999999999</v>
      </c>
      <c r="G140" s="1">
        <v>421.53800000000001</v>
      </c>
      <c r="H140" s="1" t="s">
        <v>14</v>
      </c>
    </row>
    <row r="141" spans="1:8" ht="13" x14ac:dyDescent="0.15">
      <c r="A141" s="1">
        <v>4</v>
      </c>
      <c r="B141" s="1">
        <v>1</v>
      </c>
      <c r="C141" s="1">
        <f t="shared" si="7"/>
        <v>5</v>
      </c>
      <c r="D141" s="1">
        <v>276.899</v>
      </c>
      <c r="E141" s="1">
        <v>11.085000000000001</v>
      </c>
      <c r="F141" s="1">
        <v>302.80399999999997</v>
      </c>
      <c r="G141" s="1">
        <v>313.88900000000001</v>
      </c>
      <c r="H141" s="1" t="s">
        <v>14</v>
      </c>
    </row>
    <row r="142" spans="1:8" ht="13" x14ac:dyDescent="0.15">
      <c r="A142" s="1">
        <v>1</v>
      </c>
      <c r="B142" s="1">
        <v>4</v>
      </c>
      <c r="C142" s="1">
        <f t="shared" si="7"/>
        <v>5</v>
      </c>
      <c r="D142" s="1">
        <v>159.85499999999999</v>
      </c>
      <c r="E142" s="1">
        <v>11.821999999999999</v>
      </c>
      <c r="F142" s="1">
        <v>189.05</v>
      </c>
      <c r="G142" s="1">
        <v>200.87200000000001</v>
      </c>
      <c r="H142" s="1" t="s">
        <v>14</v>
      </c>
    </row>
    <row r="143" spans="1:8" ht="13" x14ac:dyDescent="0.15">
      <c r="A143" s="1">
        <v>2</v>
      </c>
      <c r="B143" s="1">
        <v>3</v>
      </c>
      <c r="C143" s="1">
        <f t="shared" si="7"/>
        <v>5</v>
      </c>
      <c r="D143" s="1">
        <v>205.864</v>
      </c>
      <c r="E143" s="1">
        <v>15.000999999999999</v>
      </c>
      <c r="F143" s="1">
        <v>232.77600000000001</v>
      </c>
      <c r="G143" s="1">
        <v>247.77699999999999</v>
      </c>
      <c r="H143" s="1" t="s">
        <v>14</v>
      </c>
    </row>
    <row r="144" spans="1:8" ht="13" x14ac:dyDescent="0.15">
      <c r="A144" s="1">
        <v>2</v>
      </c>
      <c r="B144" s="1">
        <v>3</v>
      </c>
      <c r="C144" s="1">
        <f t="shared" si="7"/>
        <v>5</v>
      </c>
      <c r="D144" s="1">
        <v>160.99</v>
      </c>
      <c r="E144" s="1">
        <v>17.033000000000001</v>
      </c>
      <c r="F144" s="1">
        <v>191.596</v>
      </c>
      <c r="G144" s="1">
        <v>208.62899999999999</v>
      </c>
      <c r="H144" s="1" t="s">
        <v>14</v>
      </c>
    </row>
    <row r="145" spans="1:8" ht="13" x14ac:dyDescent="0.15">
      <c r="A145" s="1">
        <v>4</v>
      </c>
      <c r="B145" s="1">
        <v>1</v>
      </c>
      <c r="C145" s="1">
        <f t="shared" si="7"/>
        <v>5</v>
      </c>
      <c r="D145" s="1">
        <v>182.042</v>
      </c>
      <c r="E145" s="1">
        <v>19.648</v>
      </c>
      <c r="F145" s="1">
        <v>208.08699999999999</v>
      </c>
      <c r="G145" s="1">
        <v>227.73599999999999</v>
      </c>
      <c r="H145" s="1" t="s">
        <v>14</v>
      </c>
    </row>
    <row r="146" spans="1:8" ht="13" x14ac:dyDescent="0.15">
      <c r="A146" s="1">
        <v>3</v>
      </c>
      <c r="B146" s="1">
        <v>2</v>
      </c>
      <c r="C146" s="1">
        <f t="shared" si="7"/>
        <v>5</v>
      </c>
      <c r="D146" s="1">
        <v>180.80600000000001</v>
      </c>
      <c r="E146" s="1">
        <v>21.492999999999999</v>
      </c>
      <c r="F146" s="1">
        <v>211.71</v>
      </c>
      <c r="G146" s="1">
        <v>233.203</v>
      </c>
      <c r="H146" s="1" t="s">
        <v>14</v>
      </c>
    </row>
    <row r="147" spans="1:8" ht="13" x14ac:dyDescent="0.15">
      <c r="A147" s="1">
        <v>1</v>
      </c>
      <c r="B147" s="1">
        <v>4</v>
      </c>
      <c r="C147" s="1">
        <f t="shared" si="7"/>
        <v>5</v>
      </c>
      <c r="D147" s="1">
        <v>251.94800000000001</v>
      </c>
      <c r="E147" s="1">
        <v>20.789000000000001</v>
      </c>
      <c r="F147" s="1">
        <v>284.67500000000001</v>
      </c>
      <c r="G147" s="1">
        <v>305.464</v>
      </c>
      <c r="H147" s="1" t="s">
        <v>14</v>
      </c>
    </row>
    <row r="148" spans="1:8" ht="13" x14ac:dyDescent="0.15">
      <c r="A148" s="1">
        <v>2</v>
      </c>
      <c r="B148" s="1">
        <v>3</v>
      </c>
      <c r="C148" s="1">
        <f t="shared" si="7"/>
        <v>5</v>
      </c>
      <c r="D148" s="1">
        <v>354.24099999999999</v>
      </c>
      <c r="E148" s="1">
        <v>12.672000000000001</v>
      </c>
      <c r="F148" s="1">
        <v>387.07499999999999</v>
      </c>
      <c r="G148" s="1">
        <v>399.74700000000001</v>
      </c>
      <c r="H148" s="1" t="s">
        <v>14</v>
      </c>
    </row>
    <row r="149" spans="1:8" ht="13" x14ac:dyDescent="0.15">
      <c r="A149" s="1">
        <v>1</v>
      </c>
      <c r="B149" s="1">
        <v>4</v>
      </c>
      <c r="C149" s="1">
        <f t="shared" si="7"/>
        <v>5</v>
      </c>
      <c r="D149" s="1">
        <v>188.99100000000001</v>
      </c>
      <c r="E149" s="1">
        <v>16.277999999999999</v>
      </c>
      <c r="F149" s="1">
        <v>225.017</v>
      </c>
      <c r="G149" s="1">
        <v>241.29499999999999</v>
      </c>
      <c r="H149" s="1" t="s">
        <v>14</v>
      </c>
    </row>
    <row r="150" spans="1:8" ht="13" x14ac:dyDescent="0.15">
      <c r="A150" s="1">
        <v>3</v>
      </c>
      <c r="B150" s="1">
        <v>2</v>
      </c>
      <c r="C150" s="1">
        <f t="shared" si="7"/>
        <v>5</v>
      </c>
      <c r="D150" s="1">
        <v>200.94</v>
      </c>
      <c r="E150" s="1">
        <v>18.486999999999998</v>
      </c>
      <c r="F150" s="1">
        <v>235.57599999999999</v>
      </c>
      <c r="G150" s="1">
        <v>254.06200000000001</v>
      </c>
      <c r="H150" s="1" t="s">
        <v>14</v>
      </c>
    </row>
    <row r="151" spans="1:8" ht="13" x14ac:dyDescent="0.15">
      <c r="A151" s="1">
        <v>3</v>
      </c>
      <c r="B151" s="1">
        <v>2</v>
      </c>
      <c r="C151" s="1">
        <f t="shared" si="7"/>
        <v>5</v>
      </c>
      <c r="D151" s="1">
        <v>378.68799999999999</v>
      </c>
      <c r="E151" s="1">
        <v>12.545999999999999</v>
      </c>
      <c r="F151" s="1">
        <v>417.25700000000001</v>
      </c>
      <c r="G151" s="1">
        <v>429.803</v>
      </c>
      <c r="H151" s="1" t="s">
        <v>14</v>
      </c>
    </row>
    <row r="152" spans="1:8" ht="13" x14ac:dyDescent="0.15">
      <c r="A152" s="1">
        <v>4</v>
      </c>
      <c r="B152" s="1">
        <v>1</v>
      </c>
      <c r="C152" s="1">
        <f t="shared" si="7"/>
        <v>5</v>
      </c>
      <c r="D152" s="1">
        <v>267.30799999999999</v>
      </c>
      <c r="E152" s="1">
        <v>14.025</v>
      </c>
      <c r="F152" s="1">
        <v>304.84899999999999</v>
      </c>
      <c r="G152" s="1">
        <v>318.87400000000002</v>
      </c>
      <c r="H152" s="1" t="s">
        <v>14</v>
      </c>
    </row>
    <row r="153" spans="1:8" ht="13" x14ac:dyDescent="0.15">
      <c r="A153" s="1">
        <v>4</v>
      </c>
      <c r="B153" s="1">
        <v>1</v>
      </c>
      <c r="C153" s="1">
        <f t="shared" si="7"/>
        <v>5</v>
      </c>
      <c r="D153" s="1">
        <v>378.40499999999997</v>
      </c>
      <c r="E153" s="1">
        <v>17.396000000000001</v>
      </c>
      <c r="F153" s="1">
        <v>416.40300000000002</v>
      </c>
      <c r="G153" s="1">
        <v>433.79899999999998</v>
      </c>
      <c r="H153" s="1" t="s">
        <v>14</v>
      </c>
    </row>
    <row r="154" spans="1:8" ht="13" x14ac:dyDescent="0.15">
      <c r="A154" s="1">
        <v>4</v>
      </c>
      <c r="B154" s="1">
        <v>1</v>
      </c>
      <c r="C154" s="1">
        <f t="shared" si="7"/>
        <v>5</v>
      </c>
      <c r="D154" s="1">
        <v>334.339</v>
      </c>
      <c r="E154" s="1">
        <v>14.183</v>
      </c>
      <c r="F154" s="1">
        <v>372.22500000000002</v>
      </c>
      <c r="G154" s="1">
        <v>386.40800000000002</v>
      </c>
      <c r="H154" s="1" t="s">
        <v>14</v>
      </c>
    </row>
    <row r="155" spans="1:8" ht="13" x14ac:dyDescent="0.15">
      <c r="A155" s="1">
        <v>2</v>
      </c>
      <c r="B155" s="1">
        <v>3</v>
      </c>
      <c r="C155" s="1">
        <f t="shared" si="7"/>
        <v>5</v>
      </c>
      <c r="D155" s="1">
        <v>520.26199999999994</v>
      </c>
      <c r="E155" s="1">
        <v>15.789</v>
      </c>
      <c r="F155" s="1">
        <v>564.35400000000004</v>
      </c>
      <c r="G155" s="1">
        <v>580.14300000000003</v>
      </c>
      <c r="H155" s="1" t="s">
        <v>14</v>
      </c>
    </row>
    <row r="156" spans="1:8" ht="13" x14ac:dyDescent="0.15">
      <c r="A156" s="1">
        <v>2</v>
      </c>
      <c r="B156" s="1">
        <v>3</v>
      </c>
      <c r="C156" s="1">
        <f t="shared" si="7"/>
        <v>5</v>
      </c>
      <c r="D156" s="1">
        <v>332.05200000000002</v>
      </c>
      <c r="E156" s="1">
        <v>24.541</v>
      </c>
      <c r="F156" s="1">
        <v>370.93</v>
      </c>
      <c r="G156" s="1">
        <v>395.471</v>
      </c>
      <c r="H156" s="1" t="s">
        <v>14</v>
      </c>
    </row>
    <row r="157" spans="1:8" ht="13" x14ac:dyDescent="0.15">
      <c r="A157" s="1">
        <v>3</v>
      </c>
      <c r="B157" s="1">
        <v>2</v>
      </c>
      <c r="C157" s="1">
        <f t="shared" si="7"/>
        <v>5</v>
      </c>
      <c r="D157" s="1">
        <v>617.827</v>
      </c>
      <c r="E157" s="1">
        <v>18.584</v>
      </c>
      <c r="F157" s="1">
        <v>667.39499999999998</v>
      </c>
      <c r="G157" s="1">
        <v>685.97900000000004</v>
      </c>
      <c r="H157" s="1" t="s">
        <v>14</v>
      </c>
    </row>
    <row r="158" spans="1:8" ht="13" x14ac:dyDescent="0.15">
      <c r="A158" s="1">
        <v>1</v>
      </c>
      <c r="B158" s="1">
        <v>4</v>
      </c>
      <c r="C158" s="1">
        <f t="shared" si="7"/>
        <v>5</v>
      </c>
      <c r="D158" s="1">
        <v>313.27699999999999</v>
      </c>
      <c r="E158" s="1">
        <v>15.423</v>
      </c>
      <c r="F158" s="1">
        <v>356.904</v>
      </c>
      <c r="G158" s="1">
        <v>372.327</v>
      </c>
      <c r="H158" s="1" t="s">
        <v>14</v>
      </c>
    </row>
    <row r="159" spans="1:8" ht="13" x14ac:dyDescent="0.15">
      <c r="A159" s="1">
        <v>1</v>
      </c>
      <c r="B159" s="1">
        <v>4</v>
      </c>
      <c r="C159" s="1">
        <f t="shared" si="7"/>
        <v>5</v>
      </c>
      <c r="D159" s="1">
        <v>472.95100000000002</v>
      </c>
      <c r="E159" s="1">
        <v>14.901</v>
      </c>
      <c r="F159" s="1">
        <v>519.60400000000004</v>
      </c>
      <c r="G159" s="1">
        <v>534.505</v>
      </c>
      <c r="H159" s="1" t="s">
        <v>14</v>
      </c>
    </row>
    <row r="160" spans="1:8" ht="13" x14ac:dyDescent="0.15">
      <c r="A160" s="1">
        <v>4</v>
      </c>
      <c r="B160" s="1">
        <v>1</v>
      </c>
      <c r="C160" s="1">
        <f t="shared" si="7"/>
        <v>5</v>
      </c>
      <c r="D160" s="1">
        <v>247.202</v>
      </c>
      <c r="E160" s="1">
        <v>13.583</v>
      </c>
      <c r="F160" s="1">
        <v>298.38499999999999</v>
      </c>
      <c r="G160" s="1">
        <v>311.96800000000002</v>
      </c>
      <c r="H160" s="1" t="s">
        <v>14</v>
      </c>
    </row>
    <row r="161" spans="1:8" ht="13" x14ac:dyDescent="0.15">
      <c r="A161" s="1">
        <v>1</v>
      </c>
      <c r="B161" s="1">
        <v>4</v>
      </c>
      <c r="C161" s="1">
        <f t="shared" si="7"/>
        <v>5</v>
      </c>
      <c r="D161" s="1">
        <v>657.98900000000003</v>
      </c>
      <c r="E161" s="1">
        <v>14.279</v>
      </c>
      <c r="F161" s="1">
        <v>707.54700000000003</v>
      </c>
      <c r="G161" s="1">
        <v>721.82500000000005</v>
      </c>
      <c r="H161" s="1" t="s">
        <v>14</v>
      </c>
    </row>
    <row r="162" spans="1:8" ht="13" x14ac:dyDescent="0.15">
      <c r="A162" s="1">
        <v>2</v>
      </c>
      <c r="B162" s="1">
        <v>3</v>
      </c>
      <c r="C162" s="1">
        <f t="shared" si="7"/>
        <v>5</v>
      </c>
      <c r="D162" s="1">
        <v>608.49699999999996</v>
      </c>
      <c r="E162" s="1">
        <v>16.885999999999999</v>
      </c>
      <c r="F162" s="1">
        <v>653.59400000000005</v>
      </c>
      <c r="G162" s="1">
        <v>670.48</v>
      </c>
      <c r="H162" s="1" t="s">
        <v>14</v>
      </c>
    </row>
    <row r="163" spans="1:8" ht="13" x14ac:dyDescent="0.15">
      <c r="A163" s="1">
        <v>3</v>
      </c>
      <c r="B163" s="1">
        <v>2</v>
      </c>
      <c r="C163" s="1">
        <f t="shared" si="7"/>
        <v>5</v>
      </c>
      <c r="D163" s="1">
        <v>385.15100000000001</v>
      </c>
      <c r="E163" s="1">
        <v>17.875</v>
      </c>
      <c r="F163" s="1">
        <v>435.62099999999998</v>
      </c>
      <c r="G163" s="1">
        <v>453.49599999999998</v>
      </c>
      <c r="H163" s="1" t="s">
        <v>14</v>
      </c>
    </row>
    <row r="164" spans="1:8" ht="13" x14ac:dyDescent="0.15">
      <c r="A164" s="1">
        <v>4</v>
      </c>
      <c r="B164" s="1">
        <v>1</v>
      </c>
      <c r="C164" s="1">
        <f t="shared" si="7"/>
        <v>5</v>
      </c>
      <c r="D164" s="1">
        <v>596.18899999999996</v>
      </c>
      <c r="E164" s="1">
        <v>17.585999999999999</v>
      </c>
      <c r="F164" s="1">
        <v>649.99599999999998</v>
      </c>
      <c r="G164" s="1">
        <v>667.58299999999997</v>
      </c>
      <c r="H164" s="1" t="s">
        <v>14</v>
      </c>
    </row>
    <row r="165" spans="1:8" ht="13" x14ac:dyDescent="0.15">
      <c r="A165" s="1">
        <v>1</v>
      </c>
      <c r="B165" s="1">
        <v>4</v>
      </c>
      <c r="C165" s="1">
        <f t="shared" si="7"/>
        <v>5</v>
      </c>
      <c r="D165" s="1">
        <v>496.416</v>
      </c>
      <c r="E165" s="1">
        <v>17.071000000000002</v>
      </c>
      <c r="F165" s="1">
        <v>544.56799999999998</v>
      </c>
      <c r="G165" s="1">
        <v>561.63900000000001</v>
      </c>
      <c r="H165" s="1" t="s">
        <v>14</v>
      </c>
    </row>
    <row r="166" spans="1:8" ht="13" x14ac:dyDescent="0.15">
      <c r="A166" s="1">
        <v>4</v>
      </c>
      <c r="B166" s="1">
        <v>1</v>
      </c>
      <c r="C166" s="1">
        <f t="shared" si="7"/>
        <v>5</v>
      </c>
      <c r="D166" s="1">
        <v>372.78100000000001</v>
      </c>
      <c r="E166" s="1">
        <v>16.119</v>
      </c>
      <c r="F166" s="1">
        <v>422.25400000000002</v>
      </c>
      <c r="G166" s="1">
        <v>438.37299999999999</v>
      </c>
      <c r="H166" s="1" t="s">
        <v>14</v>
      </c>
    </row>
    <row r="167" spans="1:8" ht="13" x14ac:dyDescent="0.15">
      <c r="A167" s="1">
        <v>1</v>
      </c>
      <c r="B167" s="1">
        <v>4</v>
      </c>
      <c r="C167" s="1">
        <f t="shared" si="7"/>
        <v>5</v>
      </c>
      <c r="D167" s="1">
        <v>692.27</v>
      </c>
      <c r="E167" s="1">
        <v>14.754</v>
      </c>
      <c r="F167" s="1">
        <v>748.899</v>
      </c>
      <c r="G167" s="1">
        <v>763.654</v>
      </c>
      <c r="H167" s="1" t="s">
        <v>14</v>
      </c>
    </row>
    <row r="168" spans="1:8" ht="13" x14ac:dyDescent="0.15">
      <c r="A168" s="1">
        <v>1</v>
      </c>
      <c r="B168" s="1">
        <v>4</v>
      </c>
      <c r="C168" s="1">
        <f t="shared" si="7"/>
        <v>5</v>
      </c>
      <c r="D168" s="1">
        <v>375.09699999999998</v>
      </c>
      <c r="E168" s="1">
        <v>21.39</v>
      </c>
      <c r="F168" s="1">
        <v>426.14699999999999</v>
      </c>
      <c r="G168" s="1">
        <v>447.53699999999998</v>
      </c>
      <c r="H168" s="1" t="s">
        <v>14</v>
      </c>
    </row>
    <row r="169" spans="1:8" ht="13" x14ac:dyDescent="0.15">
      <c r="A169" s="1">
        <v>4</v>
      </c>
      <c r="B169" s="1">
        <v>1</v>
      </c>
      <c r="C169" s="1">
        <f t="shared" si="7"/>
        <v>5</v>
      </c>
      <c r="D169" s="1">
        <v>476.76</v>
      </c>
      <c r="E169" s="1">
        <v>16.056000000000001</v>
      </c>
      <c r="F169" s="1">
        <v>529.85599999999999</v>
      </c>
      <c r="G169" s="1">
        <v>545.91200000000003</v>
      </c>
      <c r="H169" s="1" t="s">
        <v>14</v>
      </c>
    </row>
    <row r="170" spans="1:8" ht="13" x14ac:dyDescent="0.15">
      <c r="A170" s="1">
        <v>2</v>
      </c>
      <c r="B170" s="1">
        <v>3</v>
      </c>
      <c r="C170" s="1">
        <f t="shared" si="7"/>
        <v>5</v>
      </c>
      <c r="D170" s="1">
        <v>884.601</v>
      </c>
      <c r="E170" s="1">
        <v>16.701000000000001</v>
      </c>
      <c r="F170" s="1">
        <v>938.99400000000003</v>
      </c>
      <c r="G170" s="1">
        <v>955.69500000000005</v>
      </c>
      <c r="H170" s="1" t="s">
        <v>14</v>
      </c>
    </row>
    <row r="171" spans="1:8" ht="13" x14ac:dyDescent="0.15">
      <c r="A171" s="1">
        <v>1</v>
      </c>
      <c r="B171" s="1">
        <v>4</v>
      </c>
      <c r="C171" s="1">
        <f t="shared" si="7"/>
        <v>5</v>
      </c>
      <c r="D171" s="1">
        <v>428.68</v>
      </c>
      <c r="E171" s="1">
        <v>17.917000000000002</v>
      </c>
      <c r="F171" s="1">
        <v>488.06</v>
      </c>
      <c r="G171" s="1">
        <v>505.97800000000001</v>
      </c>
      <c r="H171" s="1" t="s">
        <v>14</v>
      </c>
    </row>
    <row r="172" spans="1:8" ht="13" x14ac:dyDescent="0.15">
      <c r="A172" s="1">
        <v>2</v>
      </c>
      <c r="B172" s="1">
        <v>3</v>
      </c>
      <c r="C172" s="1">
        <f t="shared" si="7"/>
        <v>5</v>
      </c>
      <c r="D172" s="1">
        <v>757.00099999999998</v>
      </c>
      <c r="E172" s="1">
        <v>18.766999999999999</v>
      </c>
      <c r="F172" s="1">
        <v>817.90499999999997</v>
      </c>
      <c r="G172" s="1">
        <v>836.67200000000003</v>
      </c>
      <c r="H172" s="1" t="s">
        <v>14</v>
      </c>
    </row>
    <row r="173" spans="1:8" ht="13" x14ac:dyDescent="0.15">
      <c r="A173" s="1">
        <v>4</v>
      </c>
      <c r="B173" s="1">
        <v>1</v>
      </c>
      <c r="C173" s="1">
        <f t="shared" si="7"/>
        <v>5</v>
      </c>
      <c r="D173" s="1">
        <v>591.22699999999998</v>
      </c>
      <c r="E173" s="1">
        <v>17.957000000000001</v>
      </c>
      <c r="F173" s="1">
        <v>646.64</v>
      </c>
      <c r="G173" s="1">
        <v>664.59699999999998</v>
      </c>
      <c r="H173" s="1" t="s">
        <v>14</v>
      </c>
    </row>
    <row r="174" spans="1:8" ht="13" x14ac:dyDescent="0.15">
      <c r="A174" s="1">
        <v>4</v>
      </c>
      <c r="B174" s="1">
        <v>1</v>
      </c>
      <c r="C174" s="1">
        <f t="shared" si="7"/>
        <v>5</v>
      </c>
      <c r="D174" s="1">
        <v>641.04499999999996</v>
      </c>
      <c r="E174" s="1">
        <v>14.285</v>
      </c>
      <c r="F174" s="1">
        <v>702.94</v>
      </c>
      <c r="G174" s="1">
        <v>717.22500000000002</v>
      </c>
      <c r="H174" s="1" t="s">
        <v>14</v>
      </c>
    </row>
    <row r="175" spans="1:8" ht="13" x14ac:dyDescent="0.15">
      <c r="A175" s="1">
        <v>1</v>
      </c>
      <c r="B175" s="1">
        <v>4</v>
      </c>
      <c r="C175" s="1">
        <f t="shared" si="7"/>
        <v>5</v>
      </c>
      <c r="D175" s="1">
        <v>268.23099999999999</v>
      </c>
      <c r="E175" s="1">
        <v>22.721</v>
      </c>
      <c r="F175" s="1">
        <v>327.61099999999999</v>
      </c>
      <c r="G175" s="1">
        <v>350.33199999999999</v>
      </c>
      <c r="H175" s="1" t="s">
        <v>14</v>
      </c>
    </row>
    <row r="176" spans="1:8" ht="13" x14ac:dyDescent="0.15">
      <c r="A176" s="1">
        <v>2</v>
      </c>
      <c r="B176" s="1">
        <v>3</v>
      </c>
      <c r="C176" s="1">
        <f t="shared" si="7"/>
        <v>5</v>
      </c>
      <c r="D176" s="1">
        <v>324.06799999999998</v>
      </c>
      <c r="E176" s="1">
        <v>24.533000000000001</v>
      </c>
      <c r="F176" s="1">
        <v>383.04700000000003</v>
      </c>
      <c r="G176" s="1">
        <v>407.58</v>
      </c>
      <c r="H176" s="1" t="s">
        <v>14</v>
      </c>
    </row>
    <row r="177" spans="1:8" ht="13" x14ac:dyDescent="0.15">
      <c r="A177" s="1">
        <v>3</v>
      </c>
      <c r="B177" s="1">
        <v>2</v>
      </c>
      <c r="C177" s="1">
        <f t="shared" si="7"/>
        <v>5</v>
      </c>
      <c r="D177" s="1">
        <v>328.48500000000001</v>
      </c>
      <c r="E177" s="1">
        <v>24.686</v>
      </c>
      <c r="F177" s="1">
        <v>384.20100000000002</v>
      </c>
      <c r="G177" s="1">
        <v>408.88600000000002</v>
      </c>
      <c r="H177" s="1" t="s">
        <v>14</v>
      </c>
    </row>
    <row r="178" spans="1:8" ht="13" x14ac:dyDescent="0.15">
      <c r="A178" s="1">
        <v>3</v>
      </c>
      <c r="B178" s="1">
        <v>2</v>
      </c>
      <c r="C178" s="1">
        <f t="shared" si="7"/>
        <v>5</v>
      </c>
      <c r="D178" s="1">
        <v>739.95399999999995</v>
      </c>
      <c r="E178" s="1">
        <v>17.452999999999999</v>
      </c>
      <c r="F178" s="1">
        <v>798.77499999999998</v>
      </c>
      <c r="G178" s="1">
        <v>816.22799999999995</v>
      </c>
      <c r="H178" s="1" t="s">
        <v>14</v>
      </c>
    </row>
    <row r="179" spans="1:8" ht="13" x14ac:dyDescent="0.15">
      <c r="A179" s="1">
        <v>3</v>
      </c>
      <c r="B179" s="1">
        <v>2</v>
      </c>
      <c r="C179" s="1">
        <f t="shared" si="7"/>
        <v>5</v>
      </c>
      <c r="D179" s="1">
        <v>698.28899999999999</v>
      </c>
      <c r="E179" s="1">
        <v>16.73</v>
      </c>
      <c r="F179" s="1">
        <v>760.58399999999995</v>
      </c>
      <c r="G179" s="1">
        <v>777.31299999999999</v>
      </c>
      <c r="H179" s="1" t="s">
        <v>14</v>
      </c>
    </row>
    <row r="180" spans="1:8" ht="13" x14ac:dyDescent="0.15">
      <c r="A180" s="1">
        <v>3</v>
      </c>
      <c r="B180" s="1">
        <v>2</v>
      </c>
      <c r="C180" s="1">
        <f t="shared" si="7"/>
        <v>5</v>
      </c>
      <c r="D180" s="1">
        <v>566.58699999999999</v>
      </c>
      <c r="E180" s="1">
        <v>18.381</v>
      </c>
      <c r="F180" s="1">
        <v>632.72900000000004</v>
      </c>
      <c r="G180" s="1">
        <v>651.11</v>
      </c>
      <c r="H180" s="1" t="s">
        <v>14</v>
      </c>
    </row>
    <row r="181" spans="1:8" ht="13" x14ac:dyDescent="0.15">
      <c r="A181" s="1">
        <v>2</v>
      </c>
      <c r="B181" s="1">
        <v>3</v>
      </c>
      <c r="C181" s="1">
        <f t="shared" si="7"/>
        <v>5</v>
      </c>
      <c r="D181" s="1">
        <v>834.30499999999995</v>
      </c>
      <c r="E181" s="1">
        <v>15.236000000000001</v>
      </c>
      <c r="F181" s="1">
        <v>899.72900000000004</v>
      </c>
      <c r="G181" s="1">
        <v>914.96500000000003</v>
      </c>
      <c r="H181" s="1" t="s">
        <v>14</v>
      </c>
    </row>
    <row r="182" spans="1:8" ht="13" x14ac:dyDescent="0.15">
      <c r="A182" s="1">
        <v>4</v>
      </c>
      <c r="B182" s="1">
        <v>1</v>
      </c>
      <c r="C182" s="1">
        <f t="shared" si="7"/>
        <v>5</v>
      </c>
      <c r="D182" s="1">
        <v>372.18799999999999</v>
      </c>
      <c r="E182" s="1">
        <v>24.867000000000001</v>
      </c>
      <c r="F182" s="1">
        <v>438.00299999999999</v>
      </c>
      <c r="G182" s="1">
        <v>462.87099999999998</v>
      </c>
      <c r="H182" s="1" t="s">
        <v>14</v>
      </c>
    </row>
    <row r="183" spans="1:8" ht="13" x14ac:dyDescent="0.15">
      <c r="A183" s="1">
        <v>3</v>
      </c>
      <c r="B183" s="1">
        <v>2</v>
      </c>
      <c r="C183" s="1">
        <f t="shared" si="7"/>
        <v>5</v>
      </c>
      <c r="D183" s="1">
        <v>957.43499999999995</v>
      </c>
      <c r="E183" s="1">
        <v>20.286000000000001</v>
      </c>
      <c r="F183" s="1">
        <v>1020.183</v>
      </c>
      <c r="G183" s="1">
        <v>1040.47</v>
      </c>
      <c r="H183" s="1" t="s">
        <v>14</v>
      </c>
    </row>
    <row r="184" spans="1:8" ht="13" x14ac:dyDescent="0.15">
      <c r="A184" s="1">
        <v>4</v>
      </c>
      <c r="B184" s="1">
        <v>1</v>
      </c>
      <c r="C184" s="1">
        <f t="shared" si="7"/>
        <v>5</v>
      </c>
      <c r="D184" s="1">
        <v>601.59199999999998</v>
      </c>
      <c r="E184" s="1">
        <v>19.416</v>
      </c>
      <c r="F184" s="1">
        <v>669.9</v>
      </c>
      <c r="G184" s="1">
        <v>689.31600000000003</v>
      </c>
      <c r="H184" s="1" t="s">
        <v>14</v>
      </c>
    </row>
    <row r="185" spans="1:8" ht="13" x14ac:dyDescent="0.15">
      <c r="A185" s="1">
        <v>4</v>
      </c>
      <c r="B185" s="1">
        <v>1</v>
      </c>
      <c r="C185" s="1">
        <f t="shared" si="7"/>
        <v>5</v>
      </c>
      <c r="D185" s="1">
        <v>402.94900000000001</v>
      </c>
      <c r="E185" s="1">
        <v>22.355</v>
      </c>
      <c r="F185" s="1">
        <v>467.12700000000001</v>
      </c>
      <c r="G185" s="1">
        <v>489.48200000000003</v>
      </c>
      <c r="H185" s="1" t="s">
        <v>14</v>
      </c>
    </row>
    <row r="186" spans="1:8" ht="13" x14ac:dyDescent="0.15">
      <c r="A186" s="1">
        <v>1</v>
      </c>
      <c r="B186" s="1">
        <v>4</v>
      </c>
      <c r="C186" s="1">
        <f t="shared" si="7"/>
        <v>5</v>
      </c>
      <c r="D186" s="1">
        <v>917.11</v>
      </c>
      <c r="E186" s="1">
        <v>14.782999999999999</v>
      </c>
      <c r="F186" s="1">
        <v>980.45699999999999</v>
      </c>
      <c r="G186" s="1">
        <v>995.24099999999999</v>
      </c>
      <c r="H186" s="1" t="s">
        <v>14</v>
      </c>
    </row>
    <row r="187" spans="1:8" ht="13" x14ac:dyDescent="0.15">
      <c r="A187" s="1">
        <v>3</v>
      </c>
      <c r="B187" s="1">
        <v>2</v>
      </c>
      <c r="C187" s="1">
        <f t="shared" si="7"/>
        <v>5</v>
      </c>
      <c r="D187" s="1">
        <v>605.47500000000002</v>
      </c>
      <c r="E187" s="1">
        <v>23.981000000000002</v>
      </c>
      <c r="F187" s="1">
        <v>673.09699999999998</v>
      </c>
      <c r="G187" s="1">
        <v>697.07799999999997</v>
      </c>
      <c r="H187" s="1" t="s">
        <v>14</v>
      </c>
    </row>
    <row r="188" spans="1:8" ht="13" x14ac:dyDescent="0.15">
      <c r="A188" s="1">
        <v>1</v>
      </c>
      <c r="B188" s="1">
        <v>4</v>
      </c>
      <c r="C188" s="1">
        <f t="shared" si="7"/>
        <v>5</v>
      </c>
      <c r="D188" s="1">
        <v>437.49299999999999</v>
      </c>
      <c r="E188" s="1">
        <v>21.47</v>
      </c>
      <c r="F188" s="1">
        <v>506.22500000000002</v>
      </c>
      <c r="G188" s="1">
        <v>527.69500000000005</v>
      </c>
      <c r="H188" s="1" t="s">
        <v>14</v>
      </c>
    </row>
    <row r="189" spans="1:8" ht="13" x14ac:dyDescent="0.15">
      <c r="A189" s="1">
        <v>2</v>
      </c>
      <c r="B189" s="1">
        <v>3</v>
      </c>
      <c r="C189" s="1">
        <f t="shared" si="7"/>
        <v>5</v>
      </c>
      <c r="D189" s="1">
        <v>681.64300000000003</v>
      </c>
      <c r="E189" s="1">
        <v>24.843</v>
      </c>
      <c r="F189" s="1">
        <v>751.35</v>
      </c>
      <c r="G189" s="1">
        <v>776.19299999999998</v>
      </c>
      <c r="H189" s="1" t="s">
        <v>14</v>
      </c>
    </row>
    <row r="190" spans="1:8" ht="13" x14ac:dyDescent="0.15">
      <c r="A190" s="1">
        <v>3</v>
      </c>
      <c r="B190" s="1">
        <v>2</v>
      </c>
      <c r="C190" s="1">
        <f t="shared" si="7"/>
        <v>5</v>
      </c>
      <c r="D190" s="1">
        <v>934.08100000000002</v>
      </c>
      <c r="E190" s="1">
        <v>17.832999999999998</v>
      </c>
      <c r="F190" s="1">
        <v>1008.879</v>
      </c>
      <c r="G190" s="1">
        <v>1026.713</v>
      </c>
      <c r="H190" s="1" t="s">
        <v>14</v>
      </c>
    </row>
    <row r="191" spans="1:8" ht="13" x14ac:dyDescent="0.15">
      <c r="A191" s="1">
        <v>1</v>
      </c>
      <c r="B191" s="1">
        <v>4</v>
      </c>
      <c r="C191" s="1">
        <f t="shared" si="7"/>
        <v>5</v>
      </c>
      <c r="D191" s="1">
        <v>876.13499999999999</v>
      </c>
      <c r="E191" s="1">
        <v>19.972999999999999</v>
      </c>
      <c r="F191" s="1">
        <v>952.37400000000002</v>
      </c>
      <c r="G191" s="1">
        <v>972.34799999999996</v>
      </c>
      <c r="H191" s="1" t="s">
        <v>14</v>
      </c>
    </row>
    <row r="192" spans="1:8" ht="13" x14ac:dyDescent="0.15">
      <c r="A192" s="1">
        <v>2</v>
      </c>
      <c r="B192" s="1">
        <v>3</v>
      </c>
      <c r="C192" s="1">
        <f t="shared" si="7"/>
        <v>5</v>
      </c>
      <c r="D192" s="1">
        <v>869.92600000000004</v>
      </c>
      <c r="E192" s="1">
        <v>22.018000000000001</v>
      </c>
      <c r="F192" s="1">
        <v>948.07600000000002</v>
      </c>
      <c r="G192" s="1">
        <v>970.09500000000003</v>
      </c>
      <c r="H192" s="1" t="s">
        <v>14</v>
      </c>
    </row>
    <row r="193" spans="1:8" ht="13" x14ac:dyDescent="0.15">
      <c r="A193" s="1">
        <v>3</v>
      </c>
      <c r="B193" s="1">
        <v>2</v>
      </c>
      <c r="C193" s="1">
        <f t="shared" si="7"/>
        <v>5</v>
      </c>
      <c r="D193" s="1">
        <v>1078.3109999999999</v>
      </c>
      <c r="E193" s="1">
        <v>22.056000000000001</v>
      </c>
      <c r="F193" s="1">
        <v>1155.723</v>
      </c>
      <c r="G193" s="1">
        <v>1177.779</v>
      </c>
      <c r="H193" s="1" t="s">
        <v>14</v>
      </c>
    </row>
    <row r="194" spans="1:8" ht="13" x14ac:dyDescent="0.15">
      <c r="A194" s="1">
        <v>2</v>
      </c>
      <c r="B194" s="1">
        <v>3</v>
      </c>
      <c r="C194" s="1">
        <f t="shared" si="7"/>
        <v>5</v>
      </c>
      <c r="D194" s="1">
        <v>932.75900000000001</v>
      </c>
      <c r="E194" s="1">
        <v>22.3</v>
      </c>
      <c r="F194" s="1">
        <v>1004.864</v>
      </c>
      <c r="G194" s="1">
        <v>1027.164</v>
      </c>
      <c r="H194" s="1" t="s">
        <v>14</v>
      </c>
    </row>
    <row r="195" spans="1:8" ht="13" x14ac:dyDescent="0.15">
      <c r="A195" s="1">
        <v>2</v>
      </c>
      <c r="B195" s="1">
        <v>3</v>
      </c>
      <c r="C195" s="1">
        <f t="shared" si="7"/>
        <v>5</v>
      </c>
      <c r="D195" s="1">
        <v>1331.7049999999999</v>
      </c>
      <c r="E195" s="1">
        <v>18.338999999999999</v>
      </c>
      <c r="F195" s="1">
        <v>1414.519</v>
      </c>
      <c r="G195" s="1">
        <v>1432.8579999999999</v>
      </c>
      <c r="H195" s="1" t="s">
        <v>14</v>
      </c>
    </row>
    <row r="196" spans="1:8" ht="13" x14ac:dyDescent="0.15">
      <c r="A196" s="1">
        <v>3</v>
      </c>
      <c r="B196" s="1">
        <v>2</v>
      </c>
      <c r="C196" s="1">
        <f t="shared" si="7"/>
        <v>5</v>
      </c>
      <c r="D196" s="1">
        <v>705.43399999999997</v>
      </c>
      <c r="E196" s="1">
        <v>21.065999999999999</v>
      </c>
      <c r="F196" s="1">
        <v>784.75599999999997</v>
      </c>
      <c r="G196" s="1">
        <v>805.822</v>
      </c>
      <c r="H196" s="1" t="s">
        <v>14</v>
      </c>
    </row>
    <row r="197" spans="1:8" ht="13" x14ac:dyDescent="0.15">
      <c r="A197" s="1">
        <v>2</v>
      </c>
      <c r="B197" s="1">
        <v>3</v>
      </c>
      <c r="C197" s="1">
        <f t="shared" si="7"/>
        <v>5</v>
      </c>
      <c r="D197" s="1">
        <v>508.09300000000002</v>
      </c>
      <c r="E197" s="1">
        <v>23.323</v>
      </c>
      <c r="F197" s="1">
        <v>586.59900000000005</v>
      </c>
      <c r="G197" s="1">
        <v>609.923</v>
      </c>
      <c r="H197" s="1" t="s">
        <v>14</v>
      </c>
    </row>
    <row r="198" spans="1:8" ht="13" x14ac:dyDescent="0.15">
      <c r="A198" s="1">
        <v>2</v>
      </c>
      <c r="B198" s="1">
        <v>3</v>
      </c>
      <c r="C198" s="1">
        <f t="shared" si="7"/>
        <v>5</v>
      </c>
      <c r="D198" s="1">
        <v>1338.758</v>
      </c>
      <c r="E198" s="1">
        <v>24.123999999999999</v>
      </c>
      <c r="F198" s="1">
        <v>1420.325</v>
      </c>
      <c r="G198" s="1">
        <v>1444.4490000000001</v>
      </c>
      <c r="H198" s="1" t="s">
        <v>14</v>
      </c>
    </row>
    <row r="199" spans="1:8" ht="13" x14ac:dyDescent="0.15">
      <c r="A199" s="1">
        <v>1</v>
      </c>
      <c r="B199" s="1">
        <v>4</v>
      </c>
      <c r="C199" s="1">
        <f t="shared" si="7"/>
        <v>5</v>
      </c>
      <c r="D199" s="1">
        <v>1373.328</v>
      </c>
      <c r="E199" s="1">
        <v>25.016999999999999</v>
      </c>
      <c r="F199" s="1">
        <v>1461.461</v>
      </c>
      <c r="G199" s="1">
        <v>1486.4780000000001</v>
      </c>
      <c r="H199" s="1" t="s">
        <v>14</v>
      </c>
    </row>
    <row r="200" spans="1:8" ht="13" x14ac:dyDescent="0.15">
      <c r="A200" s="1">
        <v>3</v>
      </c>
      <c r="B200" s="1">
        <v>2</v>
      </c>
      <c r="C200" s="1">
        <f t="shared" si="7"/>
        <v>5</v>
      </c>
      <c r="D200" s="1">
        <v>1365.8019999999999</v>
      </c>
      <c r="E200" s="1">
        <v>25.010999999999999</v>
      </c>
      <c r="F200" s="1">
        <v>1455.8330000000001</v>
      </c>
      <c r="G200" s="1">
        <v>1480.8440000000001</v>
      </c>
      <c r="H200" s="1" t="s">
        <v>14</v>
      </c>
    </row>
    <row r="201" spans="1:8" ht="13" x14ac:dyDescent="0.15">
      <c r="A201" s="1">
        <v>4</v>
      </c>
      <c r="B201" s="1">
        <v>1</v>
      </c>
      <c r="C201" s="1">
        <f t="shared" si="7"/>
        <v>5</v>
      </c>
      <c r="D201" s="1">
        <v>1414.2380000000001</v>
      </c>
      <c r="E201" s="1">
        <v>23.925999999999998</v>
      </c>
      <c r="F201" s="1">
        <v>1494.6389999999999</v>
      </c>
      <c r="G201" s="1">
        <v>1518.5650000000001</v>
      </c>
      <c r="H201" s="1" t="s">
        <v>14</v>
      </c>
    </row>
    <row r="202" spans="1:8" ht="13" x14ac:dyDescent="0.15">
      <c r="A202" s="1">
        <v>3</v>
      </c>
      <c r="B202" s="1">
        <v>2</v>
      </c>
      <c r="C202" s="1">
        <f t="shared" si="7"/>
        <v>5</v>
      </c>
      <c r="D202" s="1">
        <v>1221.3240000000001</v>
      </c>
      <c r="E202" s="1">
        <v>24.087</v>
      </c>
      <c r="F202" s="1">
        <v>1306.075</v>
      </c>
      <c r="G202" s="1">
        <v>1330.162</v>
      </c>
      <c r="H202" s="1" t="s">
        <v>14</v>
      </c>
    </row>
    <row r="203" spans="1:8" ht="13" x14ac:dyDescent="0.15">
      <c r="A203" s="1">
        <v>4</v>
      </c>
      <c r="B203" s="1">
        <v>1</v>
      </c>
      <c r="C203" s="1">
        <f t="shared" si="7"/>
        <v>5</v>
      </c>
      <c r="D203" s="1">
        <v>583.51099999999997</v>
      </c>
      <c r="E203" s="1">
        <v>20.786999999999999</v>
      </c>
      <c r="F203" s="1">
        <v>667.26199999999994</v>
      </c>
      <c r="G203" s="1">
        <v>688.048</v>
      </c>
      <c r="H203" s="1" t="s">
        <v>14</v>
      </c>
    </row>
    <row r="204" spans="1:8" ht="13" x14ac:dyDescent="0.15">
      <c r="A204" s="1">
        <v>2</v>
      </c>
      <c r="B204" s="1">
        <v>3</v>
      </c>
      <c r="C204" s="1">
        <f t="shared" si="7"/>
        <v>5</v>
      </c>
      <c r="D204" s="1">
        <v>869.66</v>
      </c>
      <c r="E204" s="1">
        <v>22.123999999999999</v>
      </c>
      <c r="F204" s="1">
        <v>951.15499999999997</v>
      </c>
      <c r="G204" s="1">
        <v>973.279</v>
      </c>
      <c r="H204" s="1" t="s">
        <v>14</v>
      </c>
    </row>
    <row r="205" spans="1:8" ht="13" x14ac:dyDescent="0.15">
      <c r="A205" s="1">
        <v>1</v>
      </c>
      <c r="B205" s="1">
        <v>4</v>
      </c>
      <c r="C205" s="1">
        <f t="shared" si="7"/>
        <v>5</v>
      </c>
      <c r="D205" s="1">
        <v>730.55499999999995</v>
      </c>
      <c r="E205" s="1">
        <v>22.161999999999999</v>
      </c>
      <c r="F205" s="1">
        <v>819.80100000000004</v>
      </c>
      <c r="G205" s="1">
        <v>841.96299999999997</v>
      </c>
      <c r="H205" s="1" t="s">
        <v>14</v>
      </c>
    </row>
    <row r="206" spans="1:8" ht="13" x14ac:dyDescent="0.15">
      <c r="A206" s="5"/>
      <c r="B206" s="5"/>
      <c r="C206" s="1" t="s">
        <v>71</v>
      </c>
      <c r="D206" s="1">
        <f t="shared" ref="D206:G206" si="8">AVERAGE(D126:D205)</f>
        <v>518.53460000000007</v>
      </c>
      <c r="E206" s="1">
        <f t="shared" si="8"/>
        <v>16.984925000000004</v>
      </c>
      <c r="F206" s="1">
        <f t="shared" si="8"/>
        <v>567.96707500000002</v>
      </c>
      <c r="G206" s="1">
        <f t="shared" si="8"/>
        <v>584.95208750000006</v>
      </c>
      <c r="H206" s="6"/>
    </row>
    <row r="207" spans="1:8" ht="13" x14ac:dyDescent="0.15">
      <c r="A207" s="5">
        <v>1</v>
      </c>
      <c r="B207" s="5">
        <v>5</v>
      </c>
      <c r="C207" s="1">
        <f t="shared" ref="C207:C216" si="9">A207+B207</f>
        <v>6</v>
      </c>
      <c r="D207" s="5">
        <v>1670.18</v>
      </c>
      <c r="E207" s="5">
        <v>43.302999999999997</v>
      </c>
      <c r="F207" s="5">
        <v>1844.8610000000001</v>
      </c>
      <c r="G207" s="5">
        <v>1888.165</v>
      </c>
      <c r="H207" s="6" t="s">
        <v>14</v>
      </c>
    </row>
    <row r="208" spans="1:8" ht="13" x14ac:dyDescent="0.15">
      <c r="A208" s="5">
        <v>5</v>
      </c>
      <c r="B208" s="5">
        <v>1</v>
      </c>
      <c r="C208" s="1">
        <f t="shared" si="9"/>
        <v>6</v>
      </c>
      <c r="D208" s="5">
        <v>1321.098</v>
      </c>
      <c r="E208" s="5">
        <v>44.652999999999999</v>
      </c>
      <c r="F208" s="5">
        <v>1499.4659999999999</v>
      </c>
      <c r="G208" s="5">
        <v>1544.1189999999999</v>
      </c>
      <c r="H208" s="6" t="s">
        <v>14</v>
      </c>
    </row>
    <row r="209" spans="1:8" ht="13" x14ac:dyDescent="0.15">
      <c r="A209" s="5">
        <v>4</v>
      </c>
      <c r="B209" s="5">
        <v>2</v>
      </c>
      <c r="C209" s="1">
        <f t="shared" si="9"/>
        <v>6</v>
      </c>
      <c r="D209" s="5">
        <v>1831.8030000000001</v>
      </c>
      <c r="E209" s="5">
        <v>48.069000000000003</v>
      </c>
      <c r="F209" s="5">
        <v>2031.787</v>
      </c>
      <c r="G209" s="5">
        <v>2079.8560000000002</v>
      </c>
      <c r="H209" s="6" t="s">
        <v>14</v>
      </c>
    </row>
    <row r="210" spans="1:8" ht="13" x14ac:dyDescent="0.15">
      <c r="A210" s="5">
        <v>3</v>
      </c>
      <c r="B210" s="5">
        <v>3</v>
      </c>
      <c r="C210" s="1">
        <f t="shared" si="9"/>
        <v>6</v>
      </c>
      <c r="D210" s="5">
        <v>1867.59</v>
      </c>
      <c r="E210" s="5">
        <v>49.667999999999999</v>
      </c>
      <c r="F210" s="5">
        <v>2081.2660000000001</v>
      </c>
      <c r="G210" s="5">
        <v>2130.9340000000002</v>
      </c>
      <c r="H210" s="6" t="s">
        <v>14</v>
      </c>
    </row>
    <row r="211" spans="1:8" ht="13" x14ac:dyDescent="0.15">
      <c r="A211" s="5">
        <v>5</v>
      </c>
      <c r="B211" s="5">
        <v>1</v>
      </c>
      <c r="C211" s="1">
        <f t="shared" si="9"/>
        <v>6</v>
      </c>
      <c r="D211" s="5">
        <v>2403.0940000000001</v>
      </c>
      <c r="E211" s="5">
        <v>34.633000000000003</v>
      </c>
      <c r="F211" s="5">
        <v>2630.558</v>
      </c>
      <c r="G211" s="5">
        <v>2665.2089999999998</v>
      </c>
      <c r="H211" s="6" t="s">
        <v>14</v>
      </c>
    </row>
    <row r="212" spans="1:8" ht="13" x14ac:dyDescent="0.15">
      <c r="A212" s="5">
        <v>1</v>
      </c>
      <c r="B212" s="5">
        <v>5</v>
      </c>
      <c r="C212" s="1">
        <f t="shared" si="9"/>
        <v>6</v>
      </c>
      <c r="D212" s="5">
        <v>1784.203</v>
      </c>
      <c r="E212" s="5">
        <v>33.5</v>
      </c>
      <c r="F212" s="5">
        <v>2014.1379999999999</v>
      </c>
      <c r="G212" s="5">
        <v>2047.652</v>
      </c>
      <c r="H212" s="6" t="s">
        <v>14</v>
      </c>
    </row>
    <row r="213" spans="1:8" ht="13" x14ac:dyDescent="0.15">
      <c r="A213" s="5">
        <v>2</v>
      </c>
      <c r="B213" s="5">
        <v>4</v>
      </c>
      <c r="C213" s="1">
        <f t="shared" si="9"/>
        <v>6</v>
      </c>
      <c r="D213" s="5">
        <v>2365.8209999999999</v>
      </c>
      <c r="E213" s="5">
        <v>51.408999999999999</v>
      </c>
      <c r="F213" s="5">
        <v>2587.518</v>
      </c>
      <c r="G213" s="5">
        <v>2638.9279999999999</v>
      </c>
      <c r="H213" s="6" t="s">
        <v>14</v>
      </c>
    </row>
    <row r="214" spans="1:8" ht="13" x14ac:dyDescent="0.15">
      <c r="A214" s="5">
        <v>2</v>
      </c>
      <c r="B214" s="5">
        <v>4</v>
      </c>
      <c r="C214" s="1">
        <f t="shared" si="9"/>
        <v>6</v>
      </c>
      <c r="D214" s="5">
        <v>3752.6819999999998</v>
      </c>
      <c r="E214" s="5">
        <v>36.74</v>
      </c>
      <c r="F214" s="5">
        <v>4000.4580000000001</v>
      </c>
      <c r="G214" s="5">
        <v>4037.22</v>
      </c>
      <c r="H214" s="6" t="s">
        <v>14</v>
      </c>
    </row>
    <row r="215" spans="1:8" ht="13" x14ac:dyDescent="0.15">
      <c r="A215" s="5">
        <v>3</v>
      </c>
      <c r="B215" s="5">
        <v>3</v>
      </c>
      <c r="C215" s="1">
        <f t="shared" si="9"/>
        <v>6</v>
      </c>
      <c r="D215" s="5">
        <v>3476.6959999999999</v>
      </c>
      <c r="E215" s="5">
        <v>40.531999999999996</v>
      </c>
      <c r="F215" s="5">
        <v>3746.107</v>
      </c>
      <c r="G215" s="5">
        <v>3786.6579999999999</v>
      </c>
      <c r="H215" s="6" t="s">
        <v>14</v>
      </c>
    </row>
    <row r="216" spans="1:8" ht="13" x14ac:dyDescent="0.15">
      <c r="A216" s="5">
        <v>4</v>
      </c>
      <c r="B216" s="5">
        <v>2</v>
      </c>
      <c r="C216" s="1">
        <f t="shared" si="9"/>
        <v>6</v>
      </c>
      <c r="D216" s="5">
        <v>3582.9810000000002</v>
      </c>
      <c r="E216" s="5">
        <v>41.398000000000003</v>
      </c>
      <c r="F216" s="5">
        <v>3907.6559999999999</v>
      </c>
      <c r="G216" s="5">
        <v>3949.0839999999998</v>
      </c>
      <c r="H216" s="6" t="s">
        <v>14</v>
      </c>
    </row>
    <row r="217" spans="1:8" ht="13" x14ac:dyDescent="0.15">
      <c r="A217" s="1"/>
      <c r="B217" s="1"/>
      <c r="C217" s="1" t="s">
        <v>71</v>
      </c>
      <c r="D217" s="1">
        <f t="shared" ref="D217:G217" si="10">AVERAGE(D207:D216)</f>
        <v>2405.6147999999998</v>
      </c>
      <c r="E217" s="1">
        <f t="shared" si="10"/>
        <v>42.390500000000003</v>
      </c>
      <c r="F217" s="1">
        <f t="shared" si="10"/>
        <v>2634.3815</v>
      </c>
      <c r="G217" s="1">
        <f t="shared" si="10"/>
        <v>2676.7824999999998</v>
      </c>
      <c r="H217" s="1"/>
    </row>
    <row r="218" spans="1:8" ht="13" x14ac:dyDescent="0.15">
      <c r="A218" s="1"/>
      <c r="B218" s="1"/>
      <c r="H218" s="1"/>
    </row>
    <row r="418" spans="1:8" ht="13" x14ac:dyDescent="0.15">
      <c r="A418" s="5"/>
      <c r="B418" s="5"/>
      <c r="D418" s="5"/>
      <c r="E418" s="5"/>
      <c r="F418" s="5"/>
      <c r="G418" s="5"/>
      <c r="H418" s="6"/>
    </row>
    <row r="419" spans="1:8" ht="13" x14ac:dyDescent="0.15">
      <c r="A419" s="5"/>
      <c r="B419" s="5"/>
      <c r="D419" s="5"/>
      <c r="E419" s="5"/>
      <c r="F419" s="5"/>
      <c r="G419" s="5"/>
      <c r="H419" s="6"/>
    </row>
    <row r="420" spans="1:8" ht="13" x14ac:dyDescent="0.15">
      <c r="A420" s="5"/>
      <c r="B420" s="5"/>
      <c r="D420" s="5"/>
      <c r="E420" s="5"/>
      <c r="F420" s="5"/>
      <c r="G420" s="5"/>
      <c r="H420" s="6"/>
    </row>
    <row r="421" spans="1:8" ht="13" x14ac:dyDescent="0.15">
      <c r="A421" s="5"/>
      <c r="B421" s="5"/>
      <c r="D421" s="5"/>
      <c r="E421" s="5"/>
      <c r="F421" s="5"/>
      <c r="G421" s="5"/>
      <c r="H421" s="6"/>
    </row>
    <row r="422" spans="1:8" ht="13" x14ac:dyDescent="0.15">
      <c r="A422" s="5"/>
      <c r="B422" s="5"/>
      <c r="D422" s="5"/>
      <c r="E422" s="5"/>
      <c r="F422" s="5"/>
      <c r="G422" s="5"/>
      <c r="H422" s="6"/>
    </row>
    <row r="423" spans="1:8" ht="13" x14ac:dyDescent="0.15">
      <c r="A423" s="5"/>
      <c r="B423" s="5"/>
      <c r="D423" s="5"/>
      <c r="E423" s="5"/>
      <c r="F423" s="5"/>
      <c r="G423" s="5"/>
      <c r="H423" s="6"/>
    </row>
    <row r="424" spans="1:8" ht="13" x14ac:dyDescent="0.15">
      <c r="A424" s="5"/>
      <c r="B424" s="5"/>
      <c r="D424" s="5"/>
      <c r="E424" s="5"/>
      <c r="F424" s="5"/>
      <c r="G424" s="5"/>
      <c r="H424" s="6"/>
    </row>
    <row r="425" spans="1:8" ht="13" x14ac:dyDescent="0.15">
      <c r="A425" s="5"/>
      <c r="B425" s="5"/>
      <c r="D425" s="5"/>
      <c r="E425" s="5"/>
      <c r="F425" s="5"/>
      <c r="G425" s="5"/>
      <c r="H425" s="6"/>
    </row>
    <row r="426" spans="1:8" ht="13" x14ac:dyDescent="0.15">
      <c r="A426" s="5"/>
      <c r="B426" s="5"/>
      <c r="D426" s="5"/>
      <c r="E426" s="5"/>
      <c r="F426" s="5"/>
      <c r="G426" s="5"/>
      <c r="H426" s="6"/>
    </row>
    <row r="427" spans="1:8" ht="13" x14ac:dyDescent="0.15">
      <c r="A427" s="5"/>
      <c r="B427" s="5"/>
      <c r="D427" s="5"/>
      <c r="E427" s="5"/>
      <c r="F427" s="5"/>
      <c r="G427" s="5"/>
      <c r="H427" s="6"/>
    </row>
    <row r="628" spans="1:8" ht="13" x14ac:dyDescent="0.15">
      <c r="A628" s="5"/>
      <c r="B628" s="5"/>
      <c r="D628" s="5"/>
      <c r="E628" s="5"/>
      <c r="F628" s="5"/>
      <c r="G628" s="5"/>
      <c r="H628" s="6"/>
    </row>
    <row r="629" spans="1:8" ht="13" x14ac:dyDescent="0.15">
      <c r="A629" s="5"/>
      <c r="B629" s="5"/>
      <c r="D629" s="5"/>
      <c r="E629" s="5"/>
      <c r="F629" s="5"/>
      <c r="G629" s="5"/>
      <c r="H629" s="6"/>
    </row>
    <row r="630" spans="1:8" ht="13" x14ac:dyDescent="0.15">
      <c r="A630" s="5"/>
      <c r="B630" s="5"/>
      <c r="D630" s="5"/>
      <c r="E630" s="5"/>
      <c r="F630" s="5"/>
      <c r="G630" s="5"/>
      <c r="H630" s="6"/>
    </row>
    <row r="631" spans="1:8" ht="13" x14ac:dyDescent="0.15">
      <c r="A631" s="5"/>
      <c r="B631" s="5"/>
      <c r="D631" s="5"/>
      <c r="E631" s="5"/>
      <c r="F631" s="5"/>
      <c r="G631" s="5"/>
      <c r="H631" s="6"/>
    </row>
    <row r="632" spans="1:8" ht="13" x14ac:dyDescent="0.15">
      <c r="A632" s="5"/>
      <c r="B632" s="5"/>
      <c r="D632" s="5"/>
      <c r="E632" s="5"/>
      <c r="F632" s="5"/>
      <c r="G632" s="5"/>
      <c r="H632" s="6"/>
    </row>
    <row r="633" spans="1:8" ht="13" x14ac:dyDescent="0.15">
      <c r="A633" s="5"/>
      <c r="B633" s="5"/>
      <c r="D633" s="5"/>
      <c r="E633" s="5"/>
      <c r="F633" s="5"/>
      <c r="G633" s="5"/>
      <c r="H633" s="6"/>
    </row>
    <row r="634" spans="1:8" ht="13" x14ac:dyDescent="0.15">
      <c r="A634" s="5"/>
      <c r="B634" s="5"/>
      <c r="D634" s="5"/>
      <c r="E634" s="5"/>
      <c r="F634" s="5"/>
      <c r="G634" s="5"/>
      <c r="H634" s="6"/>
    </row>
    <row r="635" spans="1:8" ht="13" x14ac:dyDescent="0.15">
      <c r="A635" s="5"/>
      <c r="B635" s="5"/>
      <c r="D635" s="5"/>
      <c r="E635" s="5"/>
      <c r="F635" s="5"/>
      <c r="G635" s="5"/>
      <c r="H635" s="6"/>
    </row>
    <row r="636" spans="1:8" ht="13" x14ac:dyDescent="0.15">
      <c r="A636" s="5"/>
      <c r="B636" s="5"/>
      <c r="D636" s="5"/>
      <c r="E636" s="5"/>
      <c r="F636" s="5"/>
      <c r="G636" s="5"/>
      <c r="H636" s="6"/>
    </row>
    <row r="637" spans="1:8" ht="13" x14ac:dyDescent="0.15">
      <c r="A637" s="5"/>
      <c r="B637" s="5"/>
      <c r="D637" s="5"/>
      <c r="E637" s="5"/>
      <c r="F637" s="5"/>
      <c r="G637" s="5"/>
      <c r="H637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Explanation of Dardel variables</vt:lpstr>
      <vt:lpstr>dardel_experiment_results</vt:lpstr>
      <vt:lpstr>ratio all lines vs critical lin</vt:lpstr>
      <vt:lpstr>focus on ratio all lines vs cri</vt:lpstr>
      <vt:lpstr>graphpruningtime</vt:lpstr>
      <vt:lpstr>graphtime</vt:lpstr>
      <vt:lpstr>graphpruningnumber_cp</vt:lpstr>
      <vt:lpstr>graphtotal_timevnumber critical</vt:lpstr>
      <vt:lpstr>Avrg time vs sum of rectangles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Robyn Brooks</cp:lastModifiedBy>
  <dcterms:created xsi:type="dcterms:W3CDTF">2025-11-24T15:47:30Z</dcterms:created>
  <dcterms:modified xsi:type="dcterms:W3CDTF">2025-11-24T15:47:30Z</dcterms:modified>
</cp:coreProperties>
</file>